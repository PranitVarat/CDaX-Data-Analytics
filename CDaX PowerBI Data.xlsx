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oenix\Desktop\pranit\"/>
    </mc:Choice>
  </mc:AlternateContent>
  <xr:revisionPtr revIDLastSave="0" documentId="13_ncr:1_{155BBBAB-654E-4E68-94D3-1B8B729885E7}" xr6:coauthVersionLast="47" xr6:coauthVersionMax="47" xr10:uidLastSave="{00000000-0000-0000-0000-000000000000}"/>
  <bookViews>
    <workbookView xWindow="-108" yWindow="-108" windowWidth="23256" windowHeight="12456" firstSheet="4" activeTab="8" xr2:uid="{201E6053-CAC3-4249-BC90-C9F9B9574146}"/>
  </bookViews>
  <sheets>
    <sheet name="Users" sheetId="1" r:id="rId1"/>
    <sheet name="Courses" sheetId="2" r:id="rId2"/>
    <sheet name="Modules" sheetId="3" r:id="rId3"/>
    <sheet name="Videos" sheetId="4" r:id="rId4"/>
    <sheet name="Purchases" sheetId="5" r:id="rId5"/>
    <sheet name="Favorites" sheetId="6" r:id="rId6"/>
    <sheet name="Video_Progress" sheetId="7" r:id="rId7"/>
    <sheet name="User_Streaks" sheetId="8" r:id="rId8"/>
    <sheet name="Sheet1" sheetId="9" r:id="rId9"/>
  </sheets>
  <externalReferences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9" l="1"/>
  <c r="C14" i="9"/>
  <c r="C13" i="9"/>
  <c r="C25" i="9"/>
  <c r="C22" i="9" a="1"/>
  <c r="C22" i="9" s="1"/>
  <c r="C21" i="9"/>
  <c r="C20" i="9" a="1"/>
  <c r="C20" i="9" s="1"/>
  <c r="C19" i="9" a="1"/>
  <c r="C19" i="9" s="1"/>
  <c r="C18" i="9" a="1"/>
  <c r="C18" i="9" s="1"/>
  <c r="C6" i="9"/>
  <c r="C5" i="9"/>
  <c r="C3" i="9" a="1"/>
  <c r="C3" i="9" s="1"/>
  <c r="C2" i="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<sst xmlns="http://schemas.openxmlformats.org/spreadsheetml/2006/main" count="290" uniqueCount="185">
  <si>
    <t>id</t>
  </si>
  <si>
    <t>role</t>
  </si>
  <si>
    <t>is_active</t>
  </si>
  <si>
    <t>is_email_verified</t>
  </si>
  <si>
    <t>is_new_user</t>
  </si>
  <si>
    <t>created_at</t>
  </si>
  <si>
    <t>analytics_enabled</t>
  </si>
  <si>
    <t>STUDENT</t>
  </si>
  <si>
    <t>title</t>
  </si>
  <si>
    <t>category</t>
  </si>
  <si>
    <t>instructor</t>
  </si>
  <si>
    <t>instructor_id</t>
  </si>
  <si>
    <t>enrolled_students</t>
  </si>
  <si>
    <t>price</t>
  </si>
  <si>
    <t>discount_price</t>
  </si>
  <si>
    <t>rating</t>
  </si>
  <si>
    <t>total_ratings</t>
  </si>
  <si>
    <t>total_duration_sec</t>
  </si>
  <si>
    <t>level</t>
  </si>
  <si>
    <t>sub_category</t>
  </si>
  <si>
    <t>is_featured</t>
  </si>
  <si>
    <t>is_popular</t>
  </si>
  <si>
    <t>is_published</t>
  </si>
  <si>
    <t>Complete Java Programming</t>
  </si>
  <si>
    <t>Programming</t>
  </si>
  <si>
    <t>Dr. Rajesh Verma</t>
  </si>
  <si>
    <t>INSTR_001</t>
  </si>
  <si>
    <t>Intermediate</t>
  </si>
  <si>
    <t>Backend</t>
  </si>
  <si>
    <t>Python Programming Mastery</t>
  </si>
  <si>
    <t>Prof. Anjali Desai</t>
  </si>
  <si>
    <t>INSTR_002</t>
  </si>
  <si>
    <t>Beginner</t>
  </si>
  <si>
    <t>Data Science</t>
  </si>
  <si>
    <t>Flutter Mobile Development</t>
  </si>
  <si>
    <t>Mobile Development</t>
  </si>
  <si>
    <t>Flutter</t>
  </si>
  <si>
    <t>C/C++ Programming Course</t>
  </si>
  <si>
    <t>System</t>
  </si>
  <si>
    <t>C# .NET Development</t>
  </si>
  <si>
    <t>Desktop</t>
  </si>
  <si>
    <t>Data Structures &amp; Algorithms</t>
  </si>
  <si>
    <t>Computer Science</t>
  </si>
  <si>
    <t>Advanced</t>
  </si>
  <si>
    <t>Algorithms</t>
  </si>
  <si>
    <t>React Web Development</t>
  </si>
  <si>
    <t>Web Development</t>
  </si>
  <si>
    <t>Frontend</t>
  </si>
  <si>
    <t>course_id</t>
  </si>
  <si>
    <t>duration_sec</t>
  </si>
  <si>
    <t>Module 1</t>
  </si>
  <si>
    <t>Module 2</t>
  </si>
  <si>
    <t>Module 3</t>
  </si>
  <si>
    <t>Module 4</t>
  </si>
  <si>
    <t>Module 5</t>
  </si>
  <si>
    <t>Module 6</t>
  </si>
  <si>
    <t>module_id</t>
  </si>
  <si>
    <t>display_order</t>
  </si>
  <si>
    <t>is_preview</t>
  </si>
  <si>
    <t>Video 1</t>
  </si>
  <si>
    <t>Video 2</t>
  </si>
  <si>
    <t>Video 3</t>
  </si>
  <si>
    <t>Video 4</t>
  </si>
  <si>
    <t>Video 5</t>
  </si>
  <si>
    <t>Video 6</t>
  </si>
  <si>
    <t>Video 7</t>
  </si>
  <si>
    <t>Video 8</t>
  </si>
  <si>
    <t>Video 9</t>
  </si>
  <si>
    <t>Video 10</t>
  </si>
  <si>
    <t>Video 11</t>
  </si>
  <si>
    <t>Video 12</t>
  </si>
  <si>
    <t>Video 13</t>
  </si>
  <si>
    <t>Video 14</t>
  </si>
  <si>
    <t>Video 15</t>
  </si>
  <si>
    <t>Video 16</t>
  </si>
  <si>
    <t>Video 17</t>
  </si>
  <si>
    <t>Video 18</t>
  </si>
  <si>
    <t>Video 19</t>
  </si>
  <si>
    <t>Video 20</t>
  </si>
  <si>
    <t>Video 21</t>
  </si>
  <si>
    <t>Video 22</t>
  </si>
  <si>
    <t>Video 23</t>
  </si>
  <si>
    <t>Video 24</t>
  </si>
  <si>
    <t>Video 25</t>
  </si>
  <si>
    <t>Video 26</t>
  </si>
  <si>
    <t>Video 27</t>
  </si>
  <si>
    <t>Video 28</t>
  </si>
  <si>
    <t>Video 29</t>
  </si>
  <si>
    <t>Video 30</t>
  </si>
  <si>
    <t>purchased_on</t>
  </si>
  <si>
    <t>user_id</t>
  </si>
  <si>
    <t>video_id</t>
  </si>
  <si>
    <t>completed</t>
  </si>
  <si>
    <t>completed_on</t>
  </si>
  <si>
    <t>last_position_seconds</t>
  </si>
  <si>
    <t>watched_seconds</t>
  </si>
  <si>
    <t>streak_date</t>
  </si>
  <si>
    <t>total_available_seconds</t>
  </si>
  <si>
    <t>completed_videos_count</t>
  </si>
  <si>
    <t>total_videos_count</t>
  </si>
  <si>
    <t>progress_percentage</t>
  </si>
  <si>
    <t>is_active_day</t>
  </si>
  <si>
    <t>Category</t>
  </si>
  <si>
    <t>KPI Name</t>
  </si>
  <si>
    <t>Formula</t>
  </si>
  <si>
    <t>Data Source</t>
  </si>
  <si>
    <t>Frequency</t>
  </si>
  <si>
    <t>Business Purpose</t>
  </si>
  <si>
    <t>Student</t>
  </si>
  <si>
    <t>Registrations</t>
  </si>
  <si>
    <t>Daily / Monthly</t>
  </si>
  <si>
    <t>Measure student growth</t>
  </si>
  <si>
    <t>Active Students</t>
  </si>
  <si>
    <t>Users.id, is_active</t>
  </si>
  <si>
    <t>Measure active student accounts</t>
  </si>
  <si>
    <t>Attendance</t>
  </si>
  <si>
    <t>(Attended sessions / Expected sessions) × 100</t>
  </si>
  <si>
    <t>Measure live-class participation</t>
  </si>
  <si>
    <t>Learning Hours</t>
  </si>
  <si>
    <t>Video_Progress.watched_seconds, User_Streaks.watched_seconds</t>
  </si>
  <si>
    <t>Daily / Weekly / Monthly</t>
  </si>
  <si>
    <t>Measure learning time</t>
  </si>
  <si>
    <t>Streak</t>
  </si>
  <si>
    <t>User_Streaks.user_id, streak_date, is_active_day</t>
  </si>
  <si>
    <t>Daily</t>
  </si>
  <si>
    <t>Measure learning consistency</t>
  </si>
  <si>
    <t>Project Completion</t>
  </si>
  <si>
    <t>(Completed projects / Assigned projects) × 100</t>
  </si>
  <si>
    <t>Weekly / Monthly</t>
  </si>
  <si>
    <t>Measure practical learning completion</t>
  </si>
  <si>
    <t>Assessment Performance</t>
  </si>
  <si>
    <t>(SUM(obtained_marks) / SUM(total_marks)) × 100</t>
  </si>
  <si>
    <t>Measure assessment performance</t>
  </si>
  <si>
    <t>Course Completion</t>
  </si>
  <si>
    <t>User_Streaks.completed_videos_count, total_videos_count</t>
  </si>
  <si>
    <t>Measure course completion</t>
  </si>
  <si>
    <t>Business</t>
  </si>
  <si>
    <t>Demo Registrations</t>
  </si>
  <si>
    <t>COUNT(DISTINCT demo registrations)</t>
  </si>
  <si>
    <t>Measure demo demand</t>
  </si>
  <si>
    <t>Demo Attendance</t>
  </si>
  <si>
    <t>(Demo attendees / Demo registrations) × 100</t>
  </si>
  <si>
    <t>Measure demo participation</t>
  </si>
  <si>
    <t>Demo-to-Enrollment Conversion</t>
  </si>
  <si>
    <t>(Students enrolled after demo / Demo attendees) × 100</t>
  </si>
  <si>
    <t>Monthly</t>
  </si>
  <si>
    <t>Measure demo conversion</t>
  </si>
  <si>
    <t>Paid Students</t>
  </si>
  <si>
    <t>User_Course_Purchase.user_id</t>
  </si>
  <si>
    <t>Measure paying students</t>
  </si>
  <si>
    <t>Revenue</t>
  </si>
  <si>
    <t>Measure business revenue</t>
  </si>
  <si>
    <t>Renewal</t>
  </si>
  <si>
    <t>(Renewed subscriptions / Eligible subscriptions) × 100</t>
  </si>
  <si>
    <t>Measure customer retention</t>
  </si>
  <si>
    <t>Churn</t>
  </si>
  <si>
    <t>(Customers lost / Customers at beginning of period) × 100</t>
  </si>
  <si>
    <t>Measure customer loss</t>
  </si>
  <si>
    <t>ARPU</t>
  </si>
  <si>
    <t>Revenue / Average active paid students</t>
  </si>
  <si>
    <t>Measure average revenue per user</t>
  </si>
  <si>
    <t>Product</t>
  </si>
  <si>
    <t>DAU</t>
  </si>
  <si>
    <t>Measure daily product usage</t>
  </si>
  <si>
    <t>WAU</t>
  </si>
  <si>
    <t>Weekly</t>
  </si>
  <si>
    <t>Measure weekly product usage</t>
  </si>
  <si>
    <t>MAU</t>
  </si>
  <si>
    <t>Measure monthly product usage</t>
  </si>
  <si>
    <t>Feature Adoption</t>
  </si>
  <si>
    <t>Favorite_Courses.user_id, created_at</t>
  </si>
  <si>
    <t>Measure feature adoption</t>
  </si>
  <si>
    <t>Recording Usage</t>
  </si>
  <si>
    <t>Video_Progress.user_id, video_id, watched_seconds</t>
  </si>
  <si>
    <t>Measure recording usage</t>
  </si>
  <si>
    <t>Project Usage</t>
  </si>
  <si>
    <t>(Users accessing projects / Eligible users) × 100</t>
  </si>
  <si>
    <t>Measure project usage</t>
  </si>
  <si>
    <t>Support Usage</t>
  </si>
  <si>
    <t>(Users creating support requests / Active users) × 100</t>
  </si>
  <si>
    <t>Measure support usage</t>
  </si>
  <si>
    <t>Course Engagement</t>
  </si>
  <si>
    <t>Video_Progress.watched_seconds, User_Course_Purchase.user_id</t>
  </si>
  <si>
    <t>Measure course engagement</t>
  </si>
  <si>
    <t>Users.id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</si>
</sst>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2" borderId="0" xfId="1"/>
  </cellXfs>
  <cellStyles count="2">
    <cellStyle name="Bad" xfId="1" builtinId="27"/>
    <cellStyle name="Normal" xfId="0" builtinId="0"/>
  </cellStyles>
  <dxfs count="5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User%20Streak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urcha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 Streaks"/>
    </sheetNames>
    <definedNames>
      <definedName name="is_active_day"/>
      <definedName name="streak_date"/>
      <definedName name="user_id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rchase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616734-5E99-4830-8BE5-EDAD3FF9CF73}" name="Table1" displayName="Table1" ref="A1:G4" totalsRowShown="0">
  <autoFilter ref="A1:G4" xr:uid="{1A616734-5E99-4830-8BE5-EDAD3FF9CF73}"/>
  <tableColumns count="7">
    <tableColumn id="1" xr3:uid="{A88CB519-12BD-48AE-9E74-E0234D6D7429}" name="id"/>
    <tableColumn id="2" xr3:uid="{8A969FD9-81B6-43F5-8C79-E266E853D2D3}" name="role"/>
    <tableColumn id="3" xr3:uid="{6AA65F0B-4AFB-4D9B-8916-91A35A9B303E}" name="is_active"/>
    <tableColumn id="4" xr3:uid="{107E7014-8524-4C31-9F03-9425D34C279F}" name="is_email_verified"/>
    <tableColumn id="5" xr3:uid="{57F3F27C-0334-436A-A508-4A6D2181545B}" name="is_new_user"/>
    <tableColumn id="6" xr3:uid="{63AE219E-9680-49F1-8809-0DF6EFCCFCD3}" name="created_at" dataDxfId="3"/>
    <tableColumn id="7" xr3:uid="{085F7997-AD8E-4E82-A8DA-29A4C8F0BDD2}" name="analytics_enabl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B66B7C-138B-40BE-8010-80737AF93491}" name="Table2" displayName="Table2" ref="A1:P8" totalsRowShown="0">
  <autoFilter ref="A1:P8" xr:uid="{F1B66B7C-138B-40BE-8010-80737AF93491}"/>
  <tableColumns count="16">
    <tableColumn id="1" xr3:uid="{78657992-9E58-4577-AE70-4508269CEBA8}" name="id"/>
    <tableColumn id="2" xr3:uid="{D15F4525-1F77-41F3-A42D-26F1F7B24E84}" name="title"/>
    <tableColumn id="3" xr3:uid="{2671F986-B21A-413D-BE35-2E4CBD96CB61}" name="category"/>
    <tableColumn id="4" xr3:uid="{0F166767-93A9-4F76-B74A-F310481EABAC}" name="instructor"/>
    <tableColumn id="5" xr3:uid="{732E3D5F-A136-4869-A2D2-5A281B6FE153}" name="instructor_id"/>
    <tableColumn id="6" xr3:uid="{FB5A1FD7-7061-443C-91E4-E8271F91F6B6}" name="enrolled_students"/>
    <tableColumn id="7" xr3:uid="{22643CA6-7A19-4FB5-A6BF-5F4A0F5F2179}" name="price"/>
    <tableColumn id="8" xr3:uid="{9084EA70-1AED-40B4-BD69-58EB23B7AFD3}" name="discount_price"/>
    <tableColumn id="9" xr3:uid="{7FE80927-3DD7-488F-8C88-7BF9392CFB1C}" name="rating"/>
    <tableColumn id="10" xr3:uid="{1642FB29-37DD-41F2-9293-402FB245C70F}" name="total_ratings"/>
    <tableColumn id="11" xr3:uid="{C71B51FE-4419-496E-A6A4-631812948DE3}" name="total_duration_sec"/>
    <tableColumn id="12" xr3:uid="{DEC942D5-C379-4BDD-B8DC-C4C8B2A14AE7}" name="level"/>
    <tableColumn id="13" xr3:uid="{D68E1E16-EAD1-469B-AF1D-38B3EFA8BC40}" name="sub_category"/>
    <tableColumn id="14" xr3:uid="{B9629D8A-649F-4B79-A66C-8182F16A0207}" name="is_featured"/>
    <tableColumn id="15" xr3:uid="{1864D050-DBB4-4ED0-BE6B-A5D1AED5F414}" name="is_popular"/>
    <tableColumn id="16" xr3:uid="{2FADFAAA-93C6-4FF2-A9B3-AD19701F00A6}" name="is_publish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E5C48D-5EC8-49B3-B2A0-DA13697986F0}" name="Table3" displayName="Table3" ref="A1:D34" totalsRowShown="0">
  <autoFilter ref="A1:D34" xr:uid="{7BE5C48D-5EC8-49B3-B2A0-DA13697986F0}"/>
  <tableColumns count="4">
    <tableColumn id="1" xr3:uid="{BFEDB769-15B7-43C9-8697-A288E3F15675}" name="id"/>
    <tableColumn id="2" xr3:uid="{85ECF9F2-4D52-4E0B-B9BF-54DA8B729EB3}" name="title"/>
    <tableColumn id="3" xr3:uid="{2048DC28-5489-4D90-966A-5976802CB2B0}" name="course_id"/>
    <tableColumn id="4" xr3:uid="{B2FE4429-9600-4D1E-898E-2CAA5695CDFA}" name="duration_sec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FFAF8B6-10BA-42FF-B2B3-2BBF6F48BC9A}" name="Table10" displayName="Table10" ref="A1:F31" totalsRowShown="0">
  <autoFilter ref="A1:F31" xr:uid="{DFFAF8B6-10BA-42FF-B2B3-2BBF6F48BC9A}"/>
  <tableColumns count="6">
    <tableColumn id="1" xr3:uid="{67FDAF72-11A0-4CD5-90F8-B13FD90E4563}" name="id"/>
    <tableColumn id="2" xr3:uid="{100D4025-278B-4BB8-9685-E42A61171FF5}" name="title"/>
    <tableColumn id="3" xr3:uid="{9EE936C6-D709-4A4D-AC47-B5F4624759DC}" name="module_id"/>
    <tableColumn id="4" xr3:uid="{EF9BA7B7-02CA-4761-9601-D43F10C621E8}" name="duration_sec"/>
    <tableColumn id="5" xr3:uid="{DC8C117E-2F40-42EF-AD72-3AF0D047B923}" name="display_order"/>
    <tableColumn id="6" xr3:uid="{9B97F1A1-F8E5-49F6-A437-E1C01A00452A}" name="is_preview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C735DF-D1D3-4B5D-B58D-B945DCAC21D5}" name="Table6" displayName="Table6" ref="A1:D6" totalsRowShown="0">
  <autoFilter ref="A1:D6" xr:uid="{12C735DF-D1D3-4B5D-B58D-B945DCAC21D5}"/>
  <tableColumns count="4">
    <tableColumn id="1" xr3:uid="{371643FA-16C2-44A7-BF95-7F0D16B678BD}" name="id"/>
    <tableColumn id="2" xr3:uid="{DFFDCFC0-399C-4A75-8677-3ADBECFEBEF0}" name="purchased_on" dataDxfId="2"/>
    <tableColumn id="3" xr3:uid="{ECFA65E0-2332-400F-8072-425725C32464}" name="course_id"/>
    <tableColumn id="4" xr3:uid="{E5B54DC7-F0F0-4C09-9ED7-FA2413B3F357}" name="user_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817D76B-4DA8-4B13-91A7-AEEC60D6BE16}" name="Table7" displayName="Table7" ref="A1:D5" totalsRowShown="0">
  <autoFilter ref="A1:D5" xr:uid="{9817D76B-4DA8-4B13-91A7-AEEC60D6BE16}"/>
  <tableColumns count="4">
    <tableColumn id="1" xr3:uid="{21056544-0E09-4D77-9D10-DCE321655DDD}" name="id"/>
    <tableColumn id="2" xr3:uid="{B7BAD561-C85B-46CC-94AC-8FF13B3581EB}" name="created_at" dataDxfId="1"/>
    <tableColumn id="3" xr3:uid="{0301F95F-BD90-4268-B7F0-09CA66E1F3F5}" name="course_id"/>
    <tableColumn id="4" xr3:uid="{F8EBA834-3405-4760-BFEE-BE8DB7B53BDB}" name="user_i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51EB0CB-00C7-4B4D-8FAA-7CD685B8968E}" name="Table8" displayName="Table8" ref="A1:G5" totalsRowShown="0">
  <autoFilter ref="A1:G5" xr:uid="{A51EB0CB-00C7-4B4D-8FAA-7CD685B8968E}"/>
  <tableColumns count="7">
    <tableColumn id="1" xr3:uid="{64225E1B-9E71-4458-88F8-8B4DF9E1EFED}" name="id"/>
    <tableColumn id="2" xr3:uid="{93A76DC0-EF4D-4CA3-9A17-891EB9BCD030}" name="user_id"/>
    <tableColumn id="3" xr3:uid="{8584517B-31F0-43DF-962B-9D12970038C0}" name="video_id"/>
    <tableColumn id="4" xr3:uid="{3C71FF82-D954-44FB-80C5-3B55E09AE1B3}" name="completed"/>
    <tableColumn id="5" xr3:uid="{CC8E64F3-B596-461D-A288-29E9ED143519}" name="completed_on" dataDxfId="0"/>
    <tableColumn id="6" xr3:uid="{7C4AB813-0946-43A5-85FB-D8B1A0CEA22A}" name="last_position_seconds"/>
    <tableColumn id="7" xr3:uid="{36FE9403-5DCB-49EC-8016-A36BA73BAEF8}" name="watched_second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D602822-4880-4E84-86FC-984446DEA664}" name="Table9" displayName="Table9" ref="A1:I2" totalsRowShown="0">
  <autoFilter ref="A1:I2" xr:uid="{3D602822-4880-4E84-86FC-984446DEA664}"/>
  <tableColumns count="9">
    <tableColumn id="1" xr3:uid="{044E789B-A731-4612-AFCD-48D3BC34CEB7}" name="user_id"/>
    <tableColumn id="2" xr3:uid="{FCC65F22-2577-4ABA-B2B0-DAB7B1F46BBA}" name="course_id"/>
    <tableColumn id="3" xr3:uid="{C7AA4EEB-5F7D-4AFE-B3B0-4604ABFD83E4}" name="streak_date" dataDxfId="4"/>
    <tableColumn id="4" xr3:uid="{4998781C-446E-44DE-B374-AAA6F2AA5DB0}" name="watched_seconds"/>
    <tableColumn id="5" xr3:uid="{B3810986-7EEF-426C-8378-61A9ECE248DD}" name="total_available_seconds"/>
    <tableColumn id="6" xr3:uid="{767F6003-CDEF-41A3-A283-2687D760FF87}" name="completed_videos_count"/>
    <tableColumn id="7" xr3:uid="{0CF7EF19-D888-4490-84D6-27BBCB56F54A}" name="total_videos_count"/>
    <tableColumn id="8" xr3:uid="{847BCEAC-EF0C-49E2-A8B3-AB39DD431BAE}" name="progress_percentage"/>
    <tableColumn id="9" xr3:uid="{02C10BD2-D310-4478-ACF3-07A8902DBD7D}" name="is_active_da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1DC93E-9FF0-4028-B071-0DD053B56996}" name="Table95" displayName="Table95" ref="A1:F1048576" totalsRowShown="0">
  <autoFilter ref="A1:F1048576" xr:uid="{021DC93E-9FF0-4028-B071-0DD053B56996}"/>
  <tableColumns count="6">
    <tableColumn id="1" xr3:uid="{9BDC654E-E2D0-47C7-88E7-30D377673F66}" name="Category"/>
    <tableColumn id="2" xr3:uid="{249B4633-93B8-40F2-A629-BB2264B152EF}" name="KPI Name"/>
    <tableColumn id="3" xr3:uid="{ECBFBF5E-DDCA-4E82-AAB4-BE0415D95EF9}" name="Formula"/>
    <tableColumn id="4" xr3:uid="{21D1E149-2E29-4417-BC7B-553E4B0A4F7A}" name="Data Source"/>
    <tableColumn id="5" xr3:uid="{DE34415B-D314-4031-BD16-5AE8C6EC2798}" name="Frequency"/>
    <tableColumn id="6" xr3:uid="{7BBB46D7-C70C-42CB-8317-152DC1CC62D2}" name="Business Purpos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D6C3B-C4F1-4B29-9390-BEE5B17AB7BD}">
  <dimension ref="A1:G4"/>
  <sheetViews>
    <sheetView workbookViewId="0">
      <selection sqref="A1:I2"/>
    </sheetView>
  </sheetViews>
  <sheetFormatPr defaultRowHeight="14.4" x14ac:dyDescent="0.3"/>
  <cols>
    <col min="1" max="1" width="4.88671875" bestFit="1" customWidth="1"/>
    <col min="3" max="3" width="10.5546875" bestFit="1" customWidth="1"/>
    <col min="4" max="4" width="17" customWidth="1"/>
    <col min="5" max="5" width="12.77734375" customWidth="1"/>
    <col min="6" max="6" width="11.77734375" customWidth="1"/>
    <col min="7" max="7" width="18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b">
        <v>1</v>
      </c>
      <c r="D2" t="b">
        <v>1</v>
      </c>
      <c r="E2" t="b">
        <v>0</v>
      </c>
      <c r="F2" s="1">
        <v>46023</v>
      </c>
      <c r="G2" t="b">
        <v>1</v>
      </c>
    </row>
    <row r="3" spans="1:7" x14ac:dyDescent="0.3">
      <c r="A3">
        <v>2</v>
      </c>
      <c r="B3" t="s">
        <v>7</v>
      </c>
      <c r="C3" t="b">
        <v>1</v>
      </c>
      <c r="D3" t="b">
        <v>1</v>
      </c>
      <c r="E3" t="b">
        <v>0</v>
      </c>
      <c r="F3" s="1">
        <v>46024</v>
      </c>
      <c r="G3" t="b">
        <v>1</v>
      </c>
    </row>
    <row r="4" spans="1:7" x14ac:dyDescent="0.3">
      <c r="A4">
        <v>3</v>
      </c>
      <c r="B4" t="s">
        <v>7</v>
      </c>
      <c r="C4" t="b">
        <v>1</v>
      </c>
      <c r="D4" t="b">
        <v>1</v>
      </c>
      <c r="E4" t="b">
        <v>0</v>
      </c>
      <c r="F4" s="1">
        <v>46025</v>
      </c>
      <c r="G4" t="b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B0230-BEC6-4424-B186-D61057B0A683}">
  <dimension ref="A1:P8"/>
  <sheetViews>
    <sheetView topLeftCell="C1" workbookViewId="0">
      <selection sqref="A1:I2"/>
    </sheetView>
  </sheetViews>
  <sheetFormatPr defaultRowHeight="14.4" x14ac:dyDescent="0.3"/>
  <cols>
    <col min="1" max="1" width="4.88671875" bestFit="1" customWidth="1"/>
    <col min="2" max="2" width="24.5546875" bestFit="1" customWidth="1"/>
    <col min="3" max="3" width="17.44140625" bestFit="1" customWidth="1"/>
    <col min="4" max="4" width="15" bestFit="1" customWidth="1"/>
    <col min="5" max="5" width="13.77734375" bestFit="1" customWidth="1"/>
    <col min="6" max="6" width="18.21875" bestFit="1" customWidth="1"/>
    <col min="7" max="7" width="7.5546875" bestFit="1" customWidth="1"/>
    <col min="8" max="8" width="15.6640625" bestFit="1" customWidth="1"/>
    <col min="9" max="9" width="8" bestFit="1" customWidth="1"/>
    <col min="10" max="10" width="13.5546875" bestFit="1" customWidth="1"/>
    <col min="11" max="11" width="18.6640625" bestFit="1" customWidth="1"/>
    <col min="12" max="12" width="11.21875" bestFit="1" customWidth="1"/>
    <col min="13" max="13" width="14.109375" bestFit="1" customWidth="1"/>
    <col min="14" max="14" width="12.44140625" bestFit="1" customWidth="1"/>
    <col min="15" max="15" width="11.88671875" bestFit="1" customWidth="1"/>
    <col min="16" max="16" width="13.77734375" bestFit="1" customWidth="1"/>
  </cols>
  <sheetData>
    <row r="1" spans="1:16" x14ac:dyDescent="0.3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</row>
    <row r="2" spans="1:16" x14ac:dyDescent="0.3">
      <c r="A2">
        <v>1</v>
      </c>
      <c r="B2" t="s">
        <v>23</v>
      </c>
      <c r="C2" t="s">
        <v>24</v>
      </c>
      <c r="D2" t="s">
        <v>25</v>
      </c>
      <c r="E2" t="s">
        <v>26</v>
      </c>
      <c r="F2">
        <v>8500</v>
      </c>
      <c r="G2">
        <v>399</v>
      </c>
      <c r="H2">
        <v>1999</v>
      </c>
      <c r="I2">
        <v>4.7</v>
      </c>
      <c r="J2">
        <v>1250</v>
      </c>
      <c r="K2">
        <v>1800</v>
      </c>
      <c r="L2" t="s">
        <v>27</v>
      </c>
      <c r="M2" t="s">
        <v>28</v>
      </c>
      <c r="N2" t="b">
        <v>1</v>
      </c>
      <c r="O2" t="b">
        <v>1</v>
      </c>
      <c r="P2" t="b">
        <v>1</v>
      </c>
    </row>
    <row r="3" spans="1:16" x14ac:dyDescent="0.3">
      <c r="A3">
        <v>2</v>
      </c>
      <c r="B3" t="s">
        <v>29</v>
      </c>
      <c r="C3" t="s">
        <v>24</v>
      </c>
      <c r="D3" t="s">
        <v>30</v>
      </c>
      <c r="E3" t="s">
        <v>31</v>
      </c>
      <c r="F3">
        <v>5200</v>
      </c>
      <c r="G3">
        <v>299</v>
      </c>
      <c r="H3">
        <v>1799</v>
      </c>
      <c r="I3">
        <v>4.8</v>
      </c>
      <c r="J3">
        <v>890</v>
      </c>
      <c r="K3">
        <v>1500</v>
      </c>
      <c r="L3" t="s">
        <v>32</v>
      </c>
      <c r="M3" t="s">
        <v>33</v>
      </c>
      <c r="N3" t="b">
        <v>1</v>
      </c>
      <c r="O3" t="b">
        <v>1</v>
      </c>
      <c r="P3" t="b">
        <v>1</v>
      </c>
    </row>
    <row r="4" spans="1:16" x14ac:dyDescent="0.3">
      <c r="A4">
        <v>3</v>
      </c>
      <c r="B4" t="s">
        <v>34</v>
      </c>
      <c r="C4" t="s">
        <v>35</v>
      </c>
      <c r="D4" t="s">
        <v>25</v>
      </c>
      <c r="E4" t="s">
        <v>26</v>
      </c>
      <c r="F4">
        <v>7200</v>
      </c>
      <c r="G4">
        <v>499</v>
      </c>
      <c r="H4">
        <v>2099</v>
      </c>
      <c r="I4">
        <v>4.5999999999999996</v>
      </c>
      <c r="J4">
        <v>1100</v>
      </c>
      <c r="K4">
        <v>2000</v>
      </c>
      <c r="L4" t="s">
        <v>32</v>
      </c>
      <c r="M4" t="s">
        <v>36</v>
      </c>
      <c r="N4" t="b">
        <v>1</v>
      </c>
      <c r="O4" t="b">
        <v>0</v>
      </c>
      <c r="P4" t="b">
        <v>1</v>
      </c>
    </row>
    <row r="5" spans="1:16" x14ac:dyDescent="0.3">
      <c r="A5">
        <v>4</v>
      </c>
      <c r="B5" t="s">
        <v>37</v>
      </c>
      <c r="C5" t="s">
        <v>24</v>
      </c>
      <c r="D5" t="s">
        <v>30</v>
      </c>
      <c r="E5" t="s">
        <v>31</v>
      </c>
      <c r="F5">
        <v>3500</v>
      </c>
      <c r="G5">
        <v>1999</v>
      </c>
      <c r="H5">
        <v>1499</v>
      </c>
      <c r="I5">
        <v>4.5</v>
      </c>
      <c r="J5">
        <v>720</v>
      </c>
      <c r="K5">
        <v>1200</v>
      </c>
      <c r="L5" t="s">
        <v>27</v>
      </c>
      <c r="M5" t="s">
        <v>38</v>
      </c>
      <c r="N5" t="b">
        <v>0</v>
      </c>
      <c r="O5" t="b">
        <v>0</v>
      </c>
      <c r="P5" t="b">
        <v>1</v>
      </c>
    </row>
    <row r="6" spans="1:16" x14ac:dyDescent="0.3">
      <c r="A6">
        <v>5</v>
      </c>
      <c r="B6" t="s">
        <v>39</v>
      </c>
      <c r="C6" t="s">
        <v>24</v>
      </c>
      <c r="D6" t="s">
        <v>25</v>
      </c>
      <c r="E6" t="s">
        <v>26</v>
      </c>
      <c r="F6">
        <v>2800</v>
      </c>
      <c r="G6">
        <v>2299</v>
      </c>
      <c r="H6">
        <v>1699</v>
      </c>
      <c r="I6">
        <v>4.4000000000000004</v>
      </c>
      <c r="J6">
        <v>650</v>
      </c>
      <c r="K6">
        <v>1400</v>
      </c>
      <c r="L6" t="s">
        <v>27</v>
      </c>
      <c r="M6" t="s">
        <v>40</v>
      </c>
      <c r="N6" t="b">
        <v>0</v>
      </c>
      <c r="O6" t="b">
        <v>1</v>
      </c>
      <c r="P6" t="b">
        <v>1</v>
      </c>
    </row>
    <row r="7" spans="1:16" x14ac:dyDescent="0.3">
      <c r="A7">
        <v>6</v>
      </c>
      <c r="B7" t="s">
        <v>41</v>
      </c>
      <c r="C7" t="s">
        <v>42</v>
      </c>
      <c r="D7" t="s">
        <v>30</v>
      </c>
      <c r="E7" t="s">
        <v>31</v>
      </c>
      <c r="F7">
        <v>4800</v>
      </c>
      <c r="G7">
        <v>3499</v>
      </c>
      <c r="H7">
        <v>2599</v>
      </c>
      <c r="I7">
        <v>4.9000000000000004</v>
      </c>
      <c r="J7">
        <v>950</v>
      </c>
      <c r="K7">
        <v>2200</v>
      </c>
      <c r="L7" t="s">
        <v>43</v>
      </c>
      <c r="M7" t="s">
        <v>44</v>
      </c>
      <c r="N7" t="b">
        <v>0</v>
      </c>
      <c r="O7" t="b">
        <v>1</v>
      </c>
      <c r="P7" t="b">
        <v>1</v>
      </c>
    </row>
    <row r="8" spans="1:16" x14ac:dyDescent="0.3">
      <c r="A8">
        <v>7</v>
      </c>
      <c r="B8" t="s">
        <v>45</v>
      </c>
      <c r="C8" t="s">
        <v>46</v>
      </c>
      <c r="D8" t="s">
        <v>25</v>
      </c>
      <c r="E8" t="s">
        <v>26</v>
      </c>
      <c r="F8">
        <v>4100</v>
      </c>
      <c r="G8">
        <v>2799</v>
      </c>
      <c r="H8">
        <v>2099</v>
      </c>
      <c r="I8">
        <v>4.7</v>
      </c>
      <c r="J8">
        <v>880</v>
      </c>
      <c r="K8">
        <v>1600</v>
      </c>
      <c r="L8" t="s">
        <v>27</v>
      </c>
      <c r="M8" t="s">
        <v>47</v>
      </c>
      <c r="N8" t="b">
        <v>1</v>
      </c>
      <c r="O8" t="b">
        <v>0</v>
      </c>
      <c r="P8" t="b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B6512-91A8-4BD4-9AE7-30400AAEC5C8}">
  <dimension ref="A1:D34"/>
  <sheetViews>
    <sheetView workbookViewId="0">
      <selection sqref="A1:I2"/>
    </sheetView>
  </sheetViews>
  <sheetFormatPr defaultRowHeight="14.4" x14ac:dyDescent="0.3"/>
  <cols>
    <col min="1" max="1" width="4.88671875" bestFit="1" customWidth="1"/>
    <col min="2" max="2" width="8.21875" bestFit="1" customWidth="1"/>
    <col min="3" max="3" width="11.21875" bestFit="1" customWidth="1"/>
    <col min="4" max="4" width="13.88671875" bestFit="1" customWidth="1"/>
  </cols>
  <sheetData>
    <row r="1" spans="1:4" x14ac:dyDescent="0.3">
      <c r="A1" t="s">
        <v>0</v>
      </c>
      <c r="B1" t="s">
        <v>8</v>
      </c>
      <c r="C1" t="s">
        <v>48</v>
      </c>
      <c r="D1" t="s">
        <v>49</v>
      </c>
    </row>
    <row r="2" spans="1:4" x14ac:dyDescent="0.3">
      <c r="A2">
        <v>1</v>
      </c>
      <c r="B2" t="s">
        <v>50</v>
      </c>
      <c r="C2">
        <v>1</v>
      </c>
      <c r="D2">
        <v>3600</v>
      </c>
    </row>
    <row r="3" spans="1:4" x14ac:dyDescent="0.3">
      <c r="A3">
        <v>2</v>
      </c>
      <c r="B3" t="s">
        <v>51</v>
      </c>
      <c r="C3">
        <v>1</v>
      </c>
      <c r="D3">
        <v>3600</v>
      </c>
    </row>
    <row r="4" spans="1:4" x14ac:dyDescent="0.3">
      <c r="A4">
        <v>3</v>
      </c>
      <c r="B4" t="s">
        <v>52</v>
      </c>
      <c r="C4">
        <v>1</v>
      </c>
      <c r="D4">
        <v>3600</v>
      </c>
    </row>
    <row r="5" spans="1:4" x14ac:dyDescent="0.3">
      <c r="A5">
        <v>4</v>
      </c>
      <c r="B5" t="s">
        <v>53</v>
      </c>
      <c r="C5">
        <v>1</v>
      </c>
      <c r="D5">
        <v>3600</v>
      </c>
    </row>
    <row r="6" spans="1:4" x14ac:dyDescent="0.3">
      <c r="A6">
        <v>5</v>
      </c>
      <c r="B6" t="s">
        <v>54</v>
      </c>
      <c r="C6">
        <v>1</v>
      </c>
      <c r="D6">
        <v>3600</v>
      </c>
    </row>
    <row r="7" spans="1:4" x14ac:dyDescent="0.3">
      <c r="A7">
        <v>6</v>
      </c>
      <c r="B7" t="s">
        <v>55</v>
      </c>
      <c r="C7">
        <v>1</v>
      </c>
      <c r="D7">
        <v>3600</v>
      </c>
    </row>
    <row r="8" spans="1:4" x14ac:dyDescent="0.3">
      <c r="A8">
        <v>7</v>
      </c>
      <c r="B8" t="s">
        <v>50</v>
      </c>
      <c r="C8">
        <v>2</v>
      </c>
      <c r="D8">
        <v>3600</v>
      </c>
    </row>
    <row r="9" spans="1:4" x14ac:dyDescent="0.3">
      <c r="A9">
        <v>8</v>
      </c>
      <c r="B9" t="s">
        <v>51</v>
      </c>
      <c r="C9">
        <v>2</v>
      </c>
      <c r="D9">
        <v>3600</v>
      </c>
    </row>
    <row r="10" spans="1:4" x14ac:dyDescent="0.3">
      <c r="A10">
        <v>9</v>
      </c>
      <c r="B10" t="s">
        <v>52</v>
      </c>
      <c r="C10">
        <v>2</v>
      </c>
      <c r="D10">
        <v>3600</v>
      </c>
    </row>
    <row r="11" spans="1:4" x14ac:dyDescent="0.3">
      <c r="A11">
        <v>10</v>
      </c>
      <c r="B11" t="s">
        <v>53</v>
      </c>
      <c r="C11">
        <v>2</v>
      </c>
      <c r="D11">
        <v>3600</v>
      </c>
    </row>
    <row r="12" spans="1:4" x14ac:dyDescent="0.3">
      <c r="A12">
        <v>11</v>
      </c>
      <c r="B12" t="s">
        <v>54</v>
      </c>
      <c r="C12">
        <v>2</v>
      </c>
      <c r="D12">
        <v>3600</v>
      </c>
    </row>
    <row r="13" spans="1:4" x14ac:dyDescent="0.3">
      <c r="A13">
        <v>12</v>
      </c>
      <c r="B13" t="s">
        <v>50</v>
      </c>
      <c r="C13">
        <v>3</v>
      </c>
      <c r="D13">
        <v>3600</v>
      </c>
    </row>
    <row r="14" spans="1:4" x14ac:dyDescent="0.3">
      <c r="A14">
        <v>13</v>
      </c>
      <c r="B14" t="s">
        <v>51</v>
      </c>
      <c r="C14">
        <v>3</v>
      </c>
      <c r="D14">
        <v>3600</v>
      </c>
    </row>
    <row r="15" spans="1:4" x14ac:dyDescent="0.3">
      <c r="A15">
        <v>14</v>
      </c>
      <c r="B15" t="s">
        <v>52</v>
      </c>
      <c r="C15">
        <v>3</v>
      </c>
      <c r="D15">
        <v>3600</v>
      </c>
    </row>
    <row r="16" spans="1:4" x14ac:dyDescent="0.3">
      <c r="A16">
        <v>15</v>
      </c>
      <c r="B16" t="s">
        <v>53</v>
      </c>
      <c r="C16">
        <v>3</v>
      </c>
      <c r="D16">
        <v>3600</v>
      </c>
    </row>
    <row r="17" spans="1:4" x14ac:dyDescent="0.3">
      <c r="A17">
        <v>16</v>
      </c>
      <c r="B17" t="s">
        <v>54</v>
      </c>
      <c r="C17">
        <v>3</v>
      </c>
      <c r="D17">
        <v>3600</v>
      </c>
    </row>
    <row r="18" spans="1:4" x14ac:dyDescent="0.3">
      <c r="A18">
        <v>17</v>
      </c>
      <c r="B18" t="s">
        <v>50</v>
      </c>
      <c r="C18">
        <v>4</v>
      </c>
      <c r="D18">
        <v>3600</v>
      </c>
    </row>
    <row r="19" spans="1:4" x14ac:dyDescent="0.3">
      <c r="A19">
        <v>18</v>
      </c>
      <c r="B19" t="s">
        <v>51</v>
      </c>
      <c r="C19">
        <v>4</v>
      </c>
      <c r="D19">
        <v>3600</v>
      </c>
    </row>
    <row r="20" spans="1:4" x14ac:dyDescent="0.3">
      <c r="A20">
        <v>19</v>
      </c>
      <c r="B20" t="s">
        <v>52</v>
      </c>
      <c r="C20">
        <v>4</v>
      </c>
      <c r="D20">
        <v>3600</v>
      </c>
    </row>
    <row r="21" spans="1:4" x14ac:dyDescent="0.3">
      <c r="A21">
        <v>20</v>
      </c>
      <c r="B21" t="s">
        <v>53</v>
      </c>
      <c r="C21">
        <v>4</v>
      </c>
      <c r="D21">
        <v>3600</v>
      </c>
    </row>
    <row r="22" spans="1:4" x14ac:dyDescent="0.3">
      <c r="A22">
        <v>21</v>
      </c>
      <c r="B22" t="s">
        <v>50</v>
      </c>
      <c r="C22">
        <v>5</v>
      </c>
      <c r="D22">
        <v>3600</v>
      </c>
    </row>
    <row r="23" spans="1:4" x14ac:dyDescent="0.3">
      <c r="A23">
        <v>22</v>
      </c>
      <c r="B23" t="s">
        <v>51</v>
      </c>
      <c r="C23">
        <v>5</v>
      </c>
      <c r="D23">
        <v>3600</v>
      </c>
    </row>
    <row r="24" spans="1:4" x14ac:dyDescent="0.3">
      <c r="A24">
        <v>23</v>
      </c>
      <c r="B24" t="s">
        <v>52</v>
      </c>
      <c r="C24">
        <v>5</v>
      </c>
      <c r="D24">
        <v>3600</v>
      </c>
    </row>
    <row r="25" spans="1:4" x14ac:dyDescent="0.3">
      <c r="A25">
        <v>24</v>
      </c>
      <c r="B25" t="s">
        <v>53</v>
      </c>
      <c r="C25">
        <v>5</v>
      </c>
      <c r="D25">
        <v>3600</v>
      </c>
    </row>
    <row r="26" spans="1:4" x14ac:dyDescent="0.3">
      <c r="A26">
        <v>25</v>
      </c>
      <c r="B26" t="s">
        <v>50</v>
      </c>
      <c r="C26">
        <v>6</v>
      </c>
      <c r="D26">
        <v>3600</v>
      </c>
    </row>
    <row r="27" spans="1:4" x14ac:dyDescent="0.3">
      <c r="A27">
        <v>26</v>
      </c>
      <c r="B27" t="s">
        <v>51</v>
      </c>
      <c r="C27">
        <v>6</v>
      </c>
      <c r="D27">
        <v>3600</v>
      </c>
    </row>
    <row r="28" spans="1:4" x14ac:dyDescent="0.3">
      <c r="A28">
        <v>27</v>
      </c>
      <c r="B28" t="s">
        <v>52</v>
      </c>
      <c r="C28">
        <v>6</v>
      </c>
      <c r="D28">
        <v>3600</v>
      </c>
    </row>
    <row r="29" spans="1:4" x14ac:dyDescent="0.3">
      <c r="A29">
        <v>28</v>
      </c>
      <c r="B29" t="s">
        <v>53</v>
      </c>
      <c r="C29">
        <v>6</v>
      </c>
      <c r="D29">
        <v>3600</v>
      </c>
    </row>
    <row r="30" spans="1:4" x14ac:dyDescent="0.3">
      <c r="A30">
        <v>29</v>
      </c>
      <c r="B30" t="s">
        <v>54</v>
      </c>
      <c r="C30">
        <v>6</v>
      </c>
      <c r="D30">
        <v>3600</v>
      </c>
    </row>
    <row r="31" spans="1:4" x14ac:dyDescent="0.3">
      <c r="A31">
        <v>30</v>
      </c>
      <c r="B31" t="s">
        <v>50</v>
      </c>
      <c r="C31">
        <v>7</v>
      </c>
      <c r="D31">
        <v>3600</v>
      </c>
    </row>
    <row r="32" spans="1:4" x14ac:dyDescent="0.3">
      <c r="A32">
        <v>31</v>
      </c>
      <c r="B32" t="s">
        <v>51</v>
      </c>
      <c r="C32">
        <v>7</v>
      </c>
      <c r="D32">
        <v>3600</v>
      </c>
    </row>
    <row r="33" spans="1:4" x14ac:dyDescent="0.3">
      <c r="A33">
        <v>32</v>
      </c>
      <c r="B33" t="s">
        <v>52</v>
      </c>
      <c r="C33">
        <v>7</v>
      </c>
      <c r="D33">
        <v>3600</v>
      </c>
    </row>
    <row r="34" spans="1:4" x14ac:dyDescent="0.3">
      <c r="A34">
        <v>33</v>
      </c>
      <c r="B34" t="s">
        <v>53</v>
      </c>
      <c r="C34">
        <v>7</v>
      </c>
      <c r="D34">
        <v>3600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5D838-235A-4B1A-BDAB-69592614F618}">
  <dimension ref="A1:F31"/>
  <sheetViews>
    <sheetView workbookViewId="0">
      <selection sqref="A1:I2"/>
    </sheetView>
  </sheetViews>
  <sheetFormatPr defaultRowHeight="14.4" x14ac:dyDescent="0.3"/>
  <cols>
    <col min="1" max="1" width="4.88671875" bestFit="1" customWidth="1"/>
    <col min="2" max="2" width="7.88671875" bestFit="1" customWidth="1"/>
    <col min="3" max="3" width="12" bestFit="1" customWidth="1"/>
    <col min="4" max="4" width="13.88671875" bestFit="1" customWidth="1"/>
    <col min="5" max="5" width="14.5546875" bestFit="1" customWidth="1"/>
    <col min="6" max="7" width="12" bestFit="1" customWidth="1"/>
    <col min="8" max="8" width="13.88671875" bestFit="1" customWidth="1"/>
    <col min="9" max="9" width="14.5546875" bestFit="1" customWidth="1"/>
    <col min="10" max="10" width="12" bestFit="1" customWidth="1"/>
  </cols>
  <sheetData>
    <row r="1" spans="1:6" x14ac:dyDescent="0.3">
      <c r="A1" t="s">
        <v>0</v>
      </c>
      <c r="B1" t="s">
        <v>8</v>
      </c>
      <c r="C1" t="s">
        <v>56</v>
      </c>
      <c r="D1" t="s">
        <v>49</v>
      </c>
      <c r="E1" t="s">
        <v>57</v>
      </c>
      <c r="F1" t="s">
        <v>58</v>
      </c>
    </row>
    <row r="2" spans="1:6" x14ac:dyDescent="0.3">
      <c r="A2">
        <v>1</v>
      </c>
      <c r="B2" t="s">
        <v>59</v>
      </c>
      <c r="C2">
        <v>1</v>
      </c>
      <c r="D2">
        <v>720</v>
      </c>
      <c r="E2">
        <v>1</v>
      </c>
      <c r="F2" t="b">
        <v>1</v>
      </c>
    </row>
    <row r="3" spans="1:6" x14ac:dyDescent="0.3">
      <c r="A3">
        <v>2</v>
      </c>
      <c r="B3" t="s">
        <v>60</v>
      </c>
      <c r="C3">
        <v>1</v>
      </c>
      <c r="D3">
        <v>600</v>
      </c>
      <c r="E3">
        <v>2</v>
      </c>
      <c r="F3" t="b">
        <v>0</v>
      </c>
    </row>
    <row r="4" spans="1:6" x14ac:dyDescent="0.3">
      <c r="A4">
        <v>3</v>
      </c>
      <c r="B4" t="s">
        <v>61</v>
      </c>
      <c r="C4">
        <v>1</v>
      </c>
      <c r="D4">
        <v>540</v>
      </c>
      <c r="E4">
        <v>3</v>
      </c>
      <c r="F4" t="b">
        <v>0</v>
      </c>
    </row>
    <row r="5" spans="1:6" x14ac:dyDescent="0.3">
      <c r="A5">
        <v>4</v>
      </c>
      <c r="B5" t="s">
        <v>62</v>
      </c>
      <c r="C5">
        <v>1</v>
      </c>
      <c r="D5">
        <v>660</v>
      </c>
      <c r="E5">
        <v>4</v>
      </c>
      <c r="F5" t="b">
        <v>0</v>
      </c>
    </row>
    <row r="6" spans="1:6" x14ac:dyDescent="0.3">
      <c r="A6">
        <v>5</v>
      </c>
      <c r="B6" t="s">
        <v>63</v>
      </c>
      <c r="C6">
        <v>1</v>
      </c>
      <c r="D6">
        <v>720</v>
      </c>
      <c r="E6">
        <v>5</v>
      </c>
      <c r="F6" t="b">
        <v>0</v>
      </c>
    </row>
    <row r="7" spans="1:6" x14ac:dyDescent="0.3">
      <c r="A7">
        <v>6</v>
      </c>
      <c r="B7" t="s">
        <v>64</v>
      </c>
      <c r="C7">
        <v>2</v>
      </c>
      <c r="D7">
        <v>780</v>
      </c>
      <c r="E7">
        <v>1</v>
      </c>
      <c r="F7" t="b">
        <v>1</v>
      </c>
    </row>
    <row r="8" spans="1:6" x14ac:dyDescent="0.3">
      <c r="A8">
        <v>7</v>
      </c>
      <c r="B8" t="s">
        <v>65</v>
      </c>
      <c r="C8">
        <v>2</v>
      </c>
      <c r="D8">
        <v>660</v>
      </c>
      <c r="E8">
        <v>2</v>
      </c>
      <c r="F8" t="b">
        <v>0</v>
      </c>
    </row>
    <row r="9" spans="1:6" x14ac:dyDescent="0.3">
      <c r="A9">
        <v>8</v>
      </c>
      <c r="B9" t="s">
        <v>66</v>
      </c>
      <c r="C9">
        <v>2</v>
      </c>
      <c r="D9">
        <v>720</v>
      </c>
      <c r="E9">
        <v>3</v>
      </c>
      <c r="F9" t="b">
        <v>0</v>
      </c>
    </row>
    <row r="10" spans="1:6" x14ac:dyDescent="0.3">
      <c r="A10">
        <v>9</v>
      </c>
      <c r="B10" t="s">
        <v>67</v>
      </c>
      <c r="C10">
        <v>2</v>
      </c>
      <c r="D10">
        <v>660</v>
      </c>
      <c r="E10">
        <v>4</v>
      </c>
      <c r="F10" t="b">
        <v>0</v>
      </c>
    </row>
    <row r="11" spans="1:6" x14ac:dyDescent="0.3">
      <c r="A11">
        <v>10</v>
      </c>
      <c r="B11" t="s">
        <v>68</v>
      </c>
      <c r="C11">
        <v>2</v>
      </c>
      <c r="D11">
        <v>720</v>
      </c>
      <c r="E11">
        <v>5</v>
      </c>
      <c r="F11" t="b">
        <v>0</v>
      </c>
    </row>
    <row r="12" spans="1:6" x14ac:dyDescent="0.3">
      <c r="A12">
        <v>11</v>
      </c>
      <c r="B12" t="s">
        <v>69</v>
      </c>
      <c r="C12">
        <v>3</v>
      </c>
      <c r="D12">
        <v>600</v>
      </c>
      <c r="E12">
        <v>1</v>
      </c>
      <c r="F12" t="b">
        <v>1</v>
      </c>
    </row>
    <row r="13" spans="1:6" x14ac:dyDescent="0.3">
      <c r="A13">
        <v>12</v>
      </c>
      <c r="B13" t="s">
        <v>70</v>
      </c>
      <c r="C13">
        <v>3</v>
      </c>
      <c r="D13">
        <v>720</v>
      </c>
      <c r="E13">
        <v>2</v>
      </c>
      <c r="F13" t="b">
        <v>0</v>
      </c>
    </row>
    <row r="14" spans="1:6" x14ac:dyDescent="0.3">
      <c r="A14">
        <v>13</v>
      </c>
      <c r="B14" t="s">
        <v>71</v>
      </c>
      <c r="C14">
        <v>3</v>
      </c>
      <c r="D14">
        <v>660</v>
      </c>
      <c r="E14">
        <v>3</v>
      </c>
      <c r="F14" t="b">
        <v>0</v>
      </c>
    </row>
    <row r="15" spans="1:6" x14ac:dyDescent="0.3">
      <c r="A15">
        <v>14</v>
      </c>
      <c r="B15" t="s">
        <v>72</v>
      </c>
      <c r="C15">
        <v>3</v>
      </c>
      <c r="D15">
        <v>720</v>
      </c>
      <c r="E15">
        <v>4</v>
      </c>
      <c r="F15" t="b">
        <v>0</v>
      </c>
    </row>
    <row r="16" spans="1:6" x14ac:dyDescent="0.3">
      <c r="A16">
        <v>15</v>
      </c>
      <c r="B16" t="s">
        <v>73</v>
      </c>
      <c r="C16">
        <v>3</v>
      </c>
      <c r="D16">
        <v>660</v>
      </c>
      <c r="E16">
        <v>5</v>
      </c>
      <c r="F16" t="b">
        <v>0</v>
      </c>
    </row>
    <row r="17" spans="1:6" x14ac:dyDescent="0.3">
      <c r="A17">
        <v>16</v>
      </c>
      <c r="B17" t="s">
        <v>74</v>
      </c>
      <c r="C17">
        <v>4</v>
      </c>
      <c r="D17">
        <v>540</v>
      </c>
      <c r="E17">
        <v>1</v>
      </c>
      <c r="F17" t="b">
        <v>1</v>
      </c>
    </row>
    <row r="18" spans="1:6" x14ac:dyDescent="0.3">
      <c r="A18">
        <v>17</v>
      </c>
      <c r="B18" t="s">
        <v>75</v>
      </c>
      <c r="C18">
        <v>4</v>
      </c>
      <c r="D18">
        <v>480</v>
      </c>
      <c r="E18">
        <v>2</v>
      </c>
      <c r="F18" t="b">
        <v>0</v>
      </c>
    </row>
    <row r="19" spans="1:6" x14ac:dyDescent="0.3">
      <c r="A19">
        <v>18</v>
      </c>
      <c r="B19" t="s">
        <v>76</v>
      </c>
      <c r="C19">
        <v>4</v>
      </c>
      <c r="D19">
        <v>600</v>
      </c>
      <c r="E19">
        <v>3</v>
      </c>
      <c r="F19" t="b">
        <v>0</v>
      </c>
    </row>
    <row r="20" spans="1:6" x14ac:dyDescent="0.3">
      <c r="A20">
        <v>19</v>
      </c>
      <c r="B20" t="s">
        <v>77</v>
      </c>
      <c r="C20">
        <v>4</v>
      </c>
      <c r="D20">
        <v>540</v>
      </c>
      <c r="E20">
        <v>4</v>
      </c>
      <c r="F20" t="b">
        <v>0</v>
      </c>
    </row>
    <row r="21" spans="1:6" x14ac:dyDescent="0.3">
      <c r="A21">
        <v>20</v>
      </c>
      <c r="B21" t="s">
        <v>78</v>
      </c>
      <c r="C21">
        <v>4</v>
      </c>
      <c r="D21">
        <v>660</v>
      </c>
      <c r="E21">
        <v>5</v>
      </c>
      <c r="F21" t="b">
        <v>0</v>
      </c>
    </row>
    <row r="22" spans="1:6" x14ac:dyDescent="0.3">
      <c r="A22">
        <v>21</v>
      </c>
      <c r="B22" t="s">
        <v>79</v>
      </c>
      <c r="C22">
        <v>5</v>
      </c>
      <c r="D22">
        <v>900</v>
      </c>
      <c r="E22">
        <v>1</v>
      </c>
      <c r="F22" t="b">
        <v>1</v>
      </c>
    </row>
    <row r="23" spans="1:6" x14ac:dyDescent="0.3">
      <c r="A23">
        <v>22</v>
      </c>
      <c r="B23" t="s">
        <v>80</v>
      </c>
      <c r="C23">
        <v>5</v>
      </c>
      <c r="D23">
        <v>840</v>
      </c>
      <c r="E23">
        <v>2</v>
      </c>
      <c r="F23" t="b">
        <v>0</v>
      </c>
    </row>
    <row r="24" spans="1:6" x14ac:dyDescent="0.3">
      <c r="A24">
        <v>23</v>
      </c>
      <c r="B24" t="s">
        <v>81</v>
      </c>
      <c r="C24">
        <v>5</v>
      </c>
      <c r="D24">
        <v>960</v>
      </c>
      <c r="E24">
        <v>3</v>
      </c>
      <c r="F24" t="b">
        <v>0</v>
      </c>
    </row>
    <row r="25" spans="1:6" x14ac:dyDescent="0.3">
      <c r="A25">
        <v>24</v>
      </c>
      <c r="B25" t="s">
        <v>82</v>
      </c>
      <c r="C25">
        <v>5</v>
      </c>
      <c r="D25">
        <v>840</v>
      </c>
      <c r="E25">
        <v>4</v>
      </c>
      <c r="F25" t="b">
        <v>0</v>
      </c>
    </row>
    <row r="26" spans="1:6" x14ac:dyDescent="0.3">
      <c r="A26">
        <v>25</v>
      </c>
      <c r="B26" t="s">
        <v>83</v>
      </c>
      <c r="C26">
        <v>5</v>
      </c>
      <c r="D26">
        <v>900</v>
      </c>
      <c r="E26">
        <v>5</v>
      </c>
      <c r="F26" t="b">
        <v>0</v>
      </c>
    </row>
    <row r="27" spans="1:6" x14ac:dyDescent="0.3">
      <c r="A27">
        <v>26</v>
      </c>
      <c r="B27" t="s">
        <v>84</v>
      </c>
      <c r="C27">
        <v>6</v>
      </c>
      <c r="D27">
        <v>780</v>
      </c>
      <c r="E27">
        <v>1</v>
      </c>
      <c r="F27" t="b">
        <v>1</v>
      </c>
    </row>
    <row r="28" spans="1:6" x14ac:dyDescent="0.3">
      <c r="A28">
        <v>27</v>
      </c>
      <c r="B28" t="s">
        <v>85</v>
      </c>
      <c r="C28">
        <v>6</v>
      </c>
      <c r="D28">
        <v>840</v>
      </c>
      <c r="E28">
        <v>2</v>
      </c>
      <c r="F28" t="b">
        <v>0</v>
      </c>
    </row>
    <row r="29" spans="1:6" x14ac:dyDescent="0.3">
      <c r="A29">
        <v>28</v>
      </c>
      <c r="B29" t="s">
        <v>86</v>
      </c>
      <c r="C29">
        <v>6</v>
      </c>
      <c r="D29">
        <v>720</v>
      </c>
      <c r="E29">
        <v>3</v>
      </c>
      <c r="F29" t="b">
        <v>0</v>
      </c>
    </row>
    <row r="30" spans="1:6" x14ac:dyDescent="0.3">
      <c r="A30">
        <v>29</v>
      </c>
      <c r="B30" t="s">
        <v>87</v>
      </c>
      <c r="C30">
        <v>6</v>
      </c>
      <c r="D30">
        <v>780</v>
      </c>
      <c r="E30">
        <v>4</v>
      </c>
      <c r="F30" t="b">
        <v>0</v>
      </c>
    </row>
    <row r="31" spans="1:6" x14ac:dyDescent="0.3">
      <c r="A31">
        <v>30</v>
      </c>
      <c r="B31" t="s">
        <v>88</v>
      </c>
      <c r="C31">
        <v>6</v>
      </c>
      <c r="D31">
        <v>840</v>
      </c>
      <c r="E31">
        <v>5</v>
      </c>
      <c r="F31" t="b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112E-E72B-4BC6-BAE7-5F4B4E3CB09E}">
  <dimension ref="A1:P19"/>
  <sheetViews>
    <sheetView workbookViewId="0">
      <selection sqref="A1:I2"/>
    </sheetView>
  </sheetViews>
  <sheetFormatPr defaultRowHeight="14.4" x14ac:dyDescent="0.3"/>
  <cols>
    <col min="1" max="1" width="4.88671875" bestFit="1" customWidth="1"/>
    <col min="2" max="2" width="14.77734375" bestFit="1" customWidth="1"/>
    <col min="3" max="3" width="11.21875" bestFit="1" customWidth="1"/>
    <col min="4" max="4" width="9.21875" bestFit="1" customWidth="1"/>
  </cols>
  <sheetData>
    <row r="1" spans="1:16" x14ac:dyDescent="0.3">
      <c r="A1" t="s">
        <v>0</v>
      </c>
      <c r="B1" t="s">
        <v>89</v>
      </c>
      <c r="C1" t="s">
        <v>48</v>
      </c>
      <c r="D1" t="s">
        <v>90</v>
      </c>
    </row>
    <row r="2" spans="1:16" x14ac:dyDescent="0.3">
      <c r="A2">
        <v>1</v>
      </c>
      <c r="B2" s="1">
        <v>46023</v>
      </c>
      <c r="C2">
        <v>3</v>
      </c>
      <c r="D2">
        <v>3</v>
      </c>
    </row>
    <row r="3" spans="1:16" x14ac:dyDescent="0.3">
      <c r="A3">
        <v>2</v>
      </c>
      <c r="B3" s="1">
        <v>46024</v>
      </c>
      <c r="C3">
        <v>1</v>
      </c>
      <c r="D3">
        <v>3</v>
      </c>
    </row>
    <row r="4" spans="1:16" x14ac:dyDescent="0.3">
      <c r="A4">
        <v>3</v>
      </c>
      <c r="B4" s="1">
        <v>46025</v>
      </c>
      <c r="C4">
        <v>3</v>
      </c>
      <c r="D4">
        <v>2</v>
      </c>
    </row>
    <row r="5" spans="1:16" x14ac:dyDescent="0.3">
      <c r="A5">
        <v>4</v>
      </c>
      <c r="B5" s="1">
        <v>46026</v>
      </c>
      <c r="C5">
        <v>1</v>
      </c>
      <c r="D5">
        <v>2</v>
      </c>
    </row>
    <row r="6" spans="1:16" x14ac:dyDescent="0.3">
      <c r="A6">
        <v>5</v>
      </c>
      <c r="B6" s="1">
        <v>46027</v>
      </c>
      <c r="C6">
        <v>3</v>
      </c>
      <c r="D6">
        <v>1</v>
      </c>
    </row>
    <row r="7" spans="1:16" x14ac:dyDescent="0.3">
      <c r="C7" s="1"/>
    </row>
    <row r="8" spans="1:16" x14ac:dyDescent="0.3">
      <c r="C8" s="1"/>
    </row>
    <row r="15" spans="1:16" x14ac:dyDescent="0.3">
      <c r="P15" s="1"/>
    </row>
    <row r="16" spans="1:16" x14ac:dyDescent="0.3">
      <c r="P16" s="1"/>
    </row>
    <row r="17" spans="16:16" x14ac:dyDescent="0.3">
      <c r="P17" s="1"/>
    </row>
    <row r="18" spans="16:16" x14ac:dyDescent="0.3">
      <c r="P18" s="1"/>
    </row>
    <row r="19" spans="16:16" x14ac:dyDescent="0.3">
      <c r="P19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D521B-C171-4566-BF9E-076CC167087C}">
  <dimension ref="A1:K12"/>
  <sheetViews>
    <sheetView workbookViewId="0">
      <selection sqref="A1:D5"/>
    </sheetView>
  </sheetViews>
  <sheetFormatPr defaultRowHeight="14.4" x14ac:dyDescent="0.3"/>
  <cols>
    <col min="1" max="1" width="4.88671875" bestFit="1" customWidth="1"/>
    <col min="2" max="2" width="12.109375" bestFit="1" customWidth="1"/>
    <col min="3" max="3" width="11.21875" bestFit="1" customWidth="1"/>
    <col min="4" max="4" width="9.21875" bestFit="1" customWidth="1"/>
  </cols>
  <sheetData>
    <row r="1" spans="1:11" x14ac:dyDescent="0.3">
      <c r="A1" t="s">
        <v>0</v>
      </c>
      <c r="B1" t="s">
        <v>5</v>
      </c>
      <c r="C1" t="s">
        <v>48</v>
      </c>
      <c r="D1" t="s">
        <v>90</v>
      </c>
    </row>
    <row r="2" spans="1:11" x14ac:dyDescent="0.3">
      <c r="A2">
        <v>7</v>
      </c>
      <c r="B2" s="1">
        <v>46023</v>
      </c>
      <c r="C2">
        <v>7</v>
      </c>
      <c r="D2">
        <v>2</v>
      </c>
    </row>
    <row r="3" spans="1:11" x14ac:dyDescent="0.3">
      <c r="A3">
        <v>21</v>
      </c>
      <c r="B3" s="1">
        <v>46024</v>
      </c>
      <c r="C3">
        <v>5</v>
      </c>
      <c r="D3">
        <v>2</v>
      </c>
    </row>
    <row r="4" spans="1:11" x14ac:dyDescent="0.3">
      <c r="A4">
        <v>22</v>
      </c>
      <c r="B4" s="1">
        <v>46025</v>
      </c>
      <c r="C4">
        <v>6</v>
      </c>
      <c r="D4">
        <v>2</v>
      </c>
    </row>
    <row r="5" spans="1:11" x14ac:dyDescent="0.3">
      <c r="A5">
        <v>23</v>
      </c>
      <c r="B5" s="1">
        <v>46026</v>
      </c>
      <c r="C5">
        <v>3</v>
      </c>
      <c r="D5">
        <v>2</v>
      </c>
    </row>
    <row r="9" spans="1:11" x14ac:dyDescent="0.3">
      <c r="K9" s="1"/>
    </row>
    <row r="10" spans="1:11" x14ac:dyDescent="0.3">
      <c r="K10" s="1"/>
    </row>
    <row r="11" spans="1:11" x14ac:dyDescent="0.3">
      <c r="K11" s="1"/>
    </row>
    <row r="12" spans="1:11" x14ac:dyDescent="0.3">
      <c r="K12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37DC7-2419-41B6-AFB2-AA53F4BFE1AC}">
  <dimension ref="A1:G5"/>
  <sheetViews>
    <sheetView workbookViewId="0">
      <selection sqref="A1:G5"/>
    </sheetView>
  </sheetViews>
  <sheetFormatPr defaultRowHeight="14.4" x14ac:dyDescent="0.3"/>
  <cols>
    <col min="1" max="1" width="4.88671875" bestFit="1" customWidth="1"/>
    <col min="2" max="2" width="9.21875" bestFit="1" customWidth="1"/>
    <col min="3" max="3" width="10.21875" bestFit="1" customWidth="1"/>
    <col min="4" max="4" width="12.33203125" bestFit="1" customWidth="1"/>
    <col min="5" max="5" width="15.109375" bestFit="1" customWidth="1"/>
    <col min="6" max="6" width="21.77734375" bestFit="1" customWidth="1"/>
    <col min="7" max="7" width="18.109375" bestFit="1" customWidth="1"/>
  </cols>
  <sheetData>
    <row r="1" spans="1:7" x14ac:dyDescent="0.3">
      <c r="A1" t="s">
        <v>0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</row>
    <row r="2" spans="1:7" x14ac:dyDescent="0.3">
      <c r="A2">
        <v>1</v>
      </c>
      <c r="B2">
        <v>2</v>
      </c>
      <c r="C2">
        <v>1</v>
      </c>
      <c r="D2" t="b">
        <v>1</v>
      </c>
      <c r="E2" s="1">
        <v>46027</v>
      </c>
      <c r="F2">
        <v>684</v>
      </c>
      <c r="G2">
        <v>684</v>
      </c>
    </row>
    <row r="3" spans="1:7" x14ac:dyDescent="0.3">
      <c r="A3">
        <v>2</v>
      </c>
      <c r="B3">
        <v>2</v>
      </c>
      <c r="C3">
        <v>2</v>
      </c>
      <c r="D3" t="b">
        <v>1</v>
      </c>
      <c r="E3" s="1">
        <v>46027</v>
      </c>
      <c r="F3">
        <v>570</v>
      </c>
      <c r="G3">
        <v>570</v>
      </c>
    </row>
    <row r="4" spans="1:7" x14ac:dyDescent="0.3">
      <c r="A4">
        <v>3</v>
      </c>
      <c r="B4">
        <v>2</v>
      </c>
      <c r="C4">
        <v>3</v>
      </c>
      <c r="D4" t="b">
        <v>1</v>
      </c>
      <c r="E4" s="1">
        <v>46027</v>
      </c>
      <c r="F4">
        <v>513</v>
      </c>
      <c r="G4">
        <v>513</v>
      </c>
    </row>
    <row r="5" spans="1:7" x14ac:dyDescent="0.3">
      <c r="A5">
        <v>4</v>
      </c>
      <c r="B5">
        <v>2</v>
      </c>
      <c r="C5">
        <v>4</v>
      </c>
      <c r="D5" t="b">
        <v>0</v>
      </c>
      <c r="F5">
        <v>0</v>
      </c>
      <c r="G5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5A136-7C14-4DC9-A3E1-2019D5917C42}">
  <dimension ref="A1:P9"/>
  <sheetViews>
    <sheetView workbookViewId="0">
      <selection activeCell="I1" sqref="I1"/>
    </sheetView>
  </sheetViews>
  <sheetFormatPr defaultRowHeight="14.4" x14ac:dyDescent="0.3"/>
  <cols>
    <col min="2" max="2" width="10.88671875" customWidth="1"/>
    <col min="3" max="3" width="12.6640625" customWidth="1"/>
    <col min="4" max="4" width="17.6640625" customWidth="1"/>
    <col min="5" max="5" width="22.88671875" customWidth="1"/>
    <col min="6" max="6" width="23.6640625" customWidth="1"/>
    <col min="7" max="7" width="18.44140625" customWidth="1"/>
    <col min="8" max="8" width="20.109375" customWidth="1"/>
    <col min="9" max="9" width="14" customWidth="1"/>
  </cols>
  <sheetData>
    <row r="1" spans="1:16" x14ac:dyDescent="0.3">
      <c r="A1" t="s">
        <v>90</v>
      </c>
      <c r="B1" t="s">
        <v>48</v>
      </c>
      <c r="C1" t="s">
        <v>96</v>
      </c>
      <c r="D1" t="s">
        <v>95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</row>
    <row r="2" spans="1:16" x14ac:dyDescent="0.3">
      <c r="A2">
        <v>2</v>
      </c>
      <c r="B2">
        <v>1</v>
      </c>
      <c r="C2" s="1">
        <v>46027</v>
      </c>
      <c r="D2">
        <v>1767</v>
      </c>
      <c r="E2">
        <v>21360</v>
      </c>
      <c r="F2">
        <v>3</v>
      </c>
      <c r="G2">
        <v>30</v>
      </c>
      <c r="H2">
        <v>8.27</v>
      </c>
      <c r="I2" t="b">
        <v>1</v>
      </c>
    </row>
    <row r="9" spans="1:16" x14ac:dyDescent="0.3">
      <c r="P9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BDB99-F8C6-4DD9-9894-3484AF776BFA}">
  <dimension ref="A1:F25"/>
  <sheetViews>
    <sheetView tabSelected="1" zoomScale="69" workbookViewId="0">
      <selection activeCell="C25" sqref="C25"/>
    </sheetView>
  </sheetViews>
  <sheetFormatPr defaultRowHeight="14.4" x14ac:dyDescent="0.3"/>
  <cols>
    <col min="1" max="1" width="10.5546875" bestFit="1" customWidth="1"/>
    <col min="2" max="2" width="27.109375" bestFit="1" customWidth="1"/>
    <col min="3" max="3" width="124.44140625" bestFit="1" customWidth="1"/>
    <col min="4" max="4" width="56.109375" bestFit="1" customWidth="1"/>
    <col min="5" max="5" width="19.77734375" bestFit="1" customWidth="1"/>
    <col min="6" max="6" width="32.109375" bestFit="1" customWidth="1"/>
  </cols>
  <sheetData>
    <row r="1" spans="1:6" x14ac:dyDescent="0.3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</row>
    <row r="2" spans="1:6" x14ac:dyDescent="0.3">
      <c r="A2" t="s">
        <v>108</v>
      </c>
      <c r="B2" t="s">
        <v>109</v>
      </c>
      <c r="C2">
        <f>COUNTA(_xlfn.UNIQUE((Users!id)))</f>
        <v>1</v>
      </c>
      <c r="D2" t="s">
        <v>184</v>
      </c>
      <c r="E2" t="s">
        <v>110</v>
      </c>
      <c r="F2" t="s">
        <v>111</v>
      </c>
    </row>
    <row r="3" spans="1:6" x14ac:dyDescent="0.3">
      <c r="A3" t="s">
        <v>108</v>
      </c>
      <c r="B3" t="s">
        <v>112</v>
      </c>
      <c r="C3" cm="1">
        <f t="array" ref="C3">COUNTA(_xlfn.UNIQUE(_xlfn._xlws.FILTER(Users!id,Users!is_active=TRUE)))</f>
        <v>1</v>
      </c>
      <c r="D3" t="s">
        <v>113</v>
      </c>
      <c r="E3" t="s">
        <v>110</v>
      </c>
      <c r="F3" t="s">
        <v>114</v>
      </c>
    </row>
    <row r="4" spans="1:6" x14ac:dyDescent="0.3">
      <c r="A4" t="s">
        <v>108</v>
      </c>
      <c r="B4" t="s">
        <v>115</v>
      </c>
      <c r="C4" s="2" t="s">
        <v>116</v>
      </c>
      <c r="E4" t="s">
        <v>110</v>
      </c>
      <c r="F4" t="s">
        <v>117</v>
      </c>
    </row>
    <row r="5" spans="1:6" x14ac:dyDescent="0.3">
      <c r="A5" t="s">
        <v>108</v>
      </c>
      <c r="B5" t="s">
        <v>118</v>
      </c>
      <c r="C5">
        <f>SUM(Video_Progress!G:G) / 3600</f>
        <v>0.49083333333333334</v>
      </c>
      <c r="D5" t="s">
        <v>119</v>
      </c>
      <c r="E5" t="s">
        <v>120</v>
      </c>
      <c r="F5" t="s">
        <v>121</v>
      </c>
    </row>
    <row r="6" spans="1:6" x14ac:dyDescent="0.3">
      <c r="A6" t="s">
        <v>108</v>
      </c>
      <c r="B6" t="s">
        <v>122</v>
      </c>
      <c r="C6">
        <f>COUNTIF(User_Streaks!I:I,TRUE)</f>
        <v>1</v>
      </c>
      <c r="D6" t="s">
        <v>123</v>
      </c>
      <c r="E6" t="s">
        <v>124</v>
      </c>
      <c r="F6" t="s">
        <v>125</v>
      </c>
    </row>
    <row r="7" spans="1:6" x14ac:dyDescent="0.3">
      <c r="A7" t="s">
        <v>108</v>
      </c>
      <c r="B7" t="s">
        <v>126</v>
      </c>
      <c r="C7" s="2" t="s">
        <v>127</v>
      </c>
      <c r="E7" t="s">
        <v>128</v>
      </c>
      <c r="F7" t="s">
        <v>129</v>
      </c>
    </row>
    <row r="8" spans="1:6" x14ac:dyDescent="0.3">
      <c r="A8" t="s">
        <v>108</v>
      </c>
      <c r="B8" t="s">
        <v>130</v>
      </c>
      <c r="C8" s="2" t="s">
        <v>131</v>
      </c>
      <c r="E8" t="s">
        <v>128</v>
      </c>
      <c r="F8" t="s">
        <v>132</v>
      </c>
    </row>
    <row r="9" spans="1:6" x14ac:dyDescent="0.3">
      <c r="A9" t="s">
        <v>108</v>
      </c>
      <c r="B9" t="s">
        <v>133</v>
      </c>
      <c r="C9">
        <f>SUM(User_Streaks!G:G)/SUM(User_Streaks!F:F)</f>
        <v>10</v>
      </c>
      <c r="D9" t="s">
        <v>134</v>
      </c>
      <c r="E9" t="s">
        <v>128</v>
      </c>
      <c r="F9" t="s">
        <v>135</v>
      </c>
    </row>
    <row r="10" spans="1:6" x14ac:dyDescent="0.3">
      <c r="A10" t="s">
        <v>136</v>
      </c>
      <c r="B10" t="s">
        <v>137</v>
      </c>
      <c r="C10" s="2" t="s">
        <v>138</v>
      </c>
      <c r="E10" t="s">
        <v>110</v>
      </c>
      <c r="F10" t="s">
        <v>139</v>
      </c>
    </row>
    <row r="11" spans="1:6" x14ac:dyDescent="0.3">
      <c r="A11" t="s">
        <v>136</v>
      </c>
      <c r="B11" t="s">
        <v>140</v>
      </c>
      <c r="C11" s="2" t="s">
        <v>141</v>
      </c>
      <c r="E11" t="s">
        <v>110</v>
      </c>
      <c r="F11" t="s">
        <v>142</v>
      </c>
    </row>
    <row r="12" spans="1:6" x14ac:dyDescent="0.3">
      <c r="A12" t="s">
        <v>136</v>
      </c>
      <c r="B12" t="s">
        <v>143</v>
      </c>
      <c r="C12" s="2" t="s">
        <v>144</v>
      </c>
      <c r="E12" t="s">
        <v>145</v>
      </c>
      <c r="F12" t="s">
        <v>146</v>
      </c>
    </row>
    <row r="13" spans="1:6" x14ac:dyDescent="0.3">
      <c r="A13" t="s">
        <v>136</v>
      </c>
      <c r="B13" t="s">
        <v>147</v>
      </c>
      <c r="C13">
        <f>COUNT(_xlfn.UNIQUE(Purchases!D:D))</f>
        <v>3</v>
      </c>
      <c r="D13" t="s">
        <v>148</v>
      </c>
      <c r="E13" t="s">
        <v>145</v>
      </c>
      <c r="F13" t="s">
        <v>149</v>
      </c>
    </row>
    <row r="14" spans="1:6" x14ac:dyDescent="0.3">
      <c r="A14" t="s">
        <v>136</v>
      </c>
      <c r="B14" t="s">
        <v>150</v>
      </c>
      <c r="C14">
        <f>SUMPRODUCT(Courses!F:F,Courses!G:G)</f>
        <v>50243900</v>
      </c>
      <c r="E14" t="s">
        <v>110</v>
      </c>
      <c r="F14" t="s">
        <v>151</v>
      </c>
    </row>
    <row r="15" spans="1:6" x14ac:dyDescent="0.3">
      <c r="A15" t="s">
        <v>136</v>
      </c>
      <c r="B15" t="s">
        <v>152</v>
      </c>
      <c r="C15" s="2" t="s">
        <v>153</v>
      </c>
      <c r="E15" t="s">
        <v>145</v>
      </c>
      <c r="F15" t="s">
        <v>154</v>
      </c>
    </row>
    <row r="16" spans="1:6" x14ac:dyDescent="0.3">
      <c r="A16" t="s">
        <v>136</v>
      </c>
      <c r="B16" t="s">
        <v>155</v>
      </c>
      <c r="C16" s="2" t="s">
        <v>156</v>
      </c>
      <c r="E16" t="s">
        <v>145</v>
      </c>
      <c r="F16" t="s">
        <v>157</v>
      </c>
    </row>
    <row r="17" spans="1:6" x14ac:dyDescent="0.3">
      <c r="A17" t="s">
        <v>136</v>
      </c>
      <c r="B17" t="s">
        <v>158</v>
      </c>
      <c r="C17" s="2" t="s">
        <v>159</v>
      </c>
      <c r="E17" t="s">
        <v>145</v>
      </c>
      <c r="F17" t="s">
        <v>160</v>
      </c>
    </row>
    <row r="18" spans="1:6" x14ac:dyDescent="0.3">
      <c r="A18" t="s">
        <v>161</v>
      </c>
      <c r="B18" t="s">
        <v>162</v>
      </c>
      <c r="C18" cm="1">
        <f t="array" ref="C18">COUNTA(_xlfn.UNIQUE(_xlfn._xlws.FILTER([1]!user_id,[1]!is_active_day=TRUE)))</f>
        <v>1</v>
      </c>
      <c r="D18" t="s">
        <v>123</v>
      </c>
      <c r="E18" t="s">
        <v>124</v>
      </c>
      <c r="F18" t="s">
        <v>163</v>
      </c>
    </row>
    <row r="19" spans="1:6" x14ac:dyDescent="0.3">
      <c r="A19" t="s">
        <v>161</v>
      </c>
      <c r="B19" t="s">
        <v>164</v>
      </c>
      <c r="C19" cm="1">
        <f t="array" ref="C19">COUNTA(_xlfn.UNIQUE(_xlfn._xlws.FILTER([1]!user_id,([1]!is_active_day=TRUE)*([1]!streak_date&gt;=MAX([1]!streak_date)-6))))</f>
        <v>1</v>
      </c>
      <c r="D19" t="s">
        <v>123</v>
      </c>
      <c r="E19" t="s">
        <v>165</v>
      </c>
      <c r="F19" t="s">
        <v>166</v>
      </c>
    </row>
    <row r="20" spans="1:6" x14ac:dyDescent="0.3">
      <c r="A20" t="s">
        <v>161</v>
      </c>
      <c r="B20" t="s">
        <v>167</v>
      </c>
      <c r="C20" cm="1">
        <f t="array" ref="C20">COUNTA(_xlfn.UNIQUE(_xlfn._xlws.FILTER([1]!user_id,([1]!is_active_day=TRUE)*([1]!streak_date&gt;=MAX([1]!streak_date)-29))))</f>
        <v>1</v>
      </c>
      <c r="D20" t="s">
        <v>123</v>
      </c>
      <c r="E20" t="s">
        <v>145</v>
      </c>
      <c r="F20" t="s">
        <v>168</v>
      </c>
    </row>
    <row r="21" spans="1:6" x14ac:dyDescent="0.3">
      <c r="A21" t="s">
        <v>161</v>
      </c>
      <c r="B21" t="s">
        <v>169</v>
      </c>
      <c r="C21">
        <f>COUNTA(_xlfn.UNIQUE(Favorites!user_id))/COUNTA(_xlfn.UNIQUE(Users!id))*100</f>
        <v>100</v>
      </c>
      <c r="D21" t="s">
        <v>170</v>
      </c>
      <c r="E21" t="s">
        <v>145</v>
      </c>
      <c r="F21" t="s">
        <v>171</v>
      </c>
    </row>
    <row r="22" spans="1:6" x14ac:dyDescent="0.3">
      <c r="A22" t="s">
        <v>161</v>
      </c>
      <c r="B22" t="s">
        <v>172</v>
      </c>
      <c r="C22" cm="1">
        <f t="array" ref="C22">COUNTA(_xlfn.UNIQUE(_xlfn._xlws.FILTER(Video_Progress!user_id,Video_Progress!watched_seconds&gt;0)))/COUNTA(_xlfn.UNIQUE(Users!id))*100</f>
        <v>100</v>
      </c>
      <c r="D22" t="s">
        <v>173</v>
      </c>
      <c r="E22" t="s">
        <v>128</v>
      </c>
      <c r="F22" t="s">
        <v>174</v>
      </c>
    </row>
    <row r="23" spans="1:6" x14ac:dyDescent="0.3">
      <c r="A23" t="s">
        <v>161</v>
      </c>
      <c r="B23" t="s">
        <v>175</v>
      </c>
      <c r="C23" s="2" t="s">
        <v>176</v>
      </c>
      <c r="E23" t="s">
        <v>145</v>
      </c>
      <c r="F23" t="s">
        <v>177</v>
      </c>
    </row>
    <row r="24" spans="1:6" x14ac:dyDescent="0.3">
      <c r="A24" t="s">
        <v>161</v>
      </c>
      <c r="B24" t="s">
        <v>178</v>
      </c>
      <c r="C24" s="2" t="s">
        <v>179</v>
      </c>
      <c r="E24" t="s">
        <v>145</v>
      </c>
      <c r="F24" t="s">
        <v>180</v>
      </c>
    </row>
    <row r="25" spans="1:6" x14ac:dyDescent="0.3">
      <c r="A25" t="s">
        <v>161</v>
      </c>
      <c r="B25" t="s">
        <v>181</v>
      </c>
      <c r="C25">
        <f>SUM(Video_Progress!G:G)/3600/COUNTA(_xlfn.UNIQUE([2]Purchase!D:D))</f>
        <v>0.49083333333333334</v>
      </c>
      <c r="D25" t="s">
        <v>182</v>
      </c>
      <c r="E25" t="s">
        <v>128</v>
      </c>
      <c r="F25" t="s">
        <v>183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Users</vt:lpstr>
      <vt:lpstr>Courses</vt:lpstr>
      <vt:lpstr>Modules</vt:lpstr>
      <vt:lpstr>Videos</vt:lpstr>
      <vt:lpstr>Purchases</vt:lpstr>
      <vt:lpstr>Favorites</vt:lpstr>
      <vt:lpstr>Video_Progress</vt:lpstr>
      <vt:lpstr>User_Streaks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PRANIT VARAT</dc:creator>
  <cp:lastModifiedBy>PRANIT VARAT</cp:lastModifiedBy>
  <dcterms:created xsi:type="dcterms:W3CDTF">2026-09-11T06:10:41Z</dcterms:created>
  <dcterms:modified xsi:type="dcterms:W3CDTF">2026-09-17T12:59:46Z</dcterms:modified>
</cp:coreProperties>
</file>