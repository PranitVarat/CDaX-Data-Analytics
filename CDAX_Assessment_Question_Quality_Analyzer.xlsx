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8_{D85CE5DF-4B4E-445B-B775-6E9325AD05B5}" xr6:coauthVersionLast="47" xr6:coauthVersionMax="47" xr10:uidLastSave="{00000000-0000-0000-0000-000000000000}"/>
  <bookViews>
    <workbookView xWindow="-108" yWindow="-108" windowWidth="23256" windowHeight="12456" firstSheet="4" activeTab="8" xr2:uid="{544496C7-DA0C-4028-84E5-81DF611E945C}"/>
  </bookViews>
  <sheets>
    <sheet name="Assessment_Master" sheetId="1" r:id="rId1"/>
    <sheet name="Question_Bank" sheetId="2" r:id="rId2"/>
    <sheet name="Student_Responses" sheetId="3" r:id="rId3"/>
    <sheet name="Question_Quality_Analysis" sheetId="4" r:id="rId4"/>
    <sheet name="Discrimination_Analysis" sheetId="5" r:id="rId5"/>
    <sheet name="Distractor_Analysis" sheetId="6" r:id="rId6"/>
    <sheet name="Topic_Type_Analysis" sheetId="7" r:id="rId7"/>
    <sheet name="Quality_Summary" sheetId="8" r:id="rId8"/>
    <sheet name="Read_Me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8" l="1"/>
  <c r="B3" i="8"/>
  <c r="B4" i="8"/>
  <c r="B5" i="8"/>
  <c r="B6" i="8"/>
  <c r="B7" i="8"/>
  <c r="B8" i="8"/>
  <c r="B9" i="8"/>
  <c r="B10" i="8"/>
  <c r="B11" i="8"/>
  <c r="B12" i="8"/>
  <c r="B13" i="8"/>
  <c r="J2" i="7"/>
  <c r="I2" i="7"/>
  <c r="H2" i="7"/>
  <c r="G2" i="7"/>
  <c r="F2" i="7"/>
  <c r="E2" i="7"/>
  <c r="J2" i="6"/>
  <c r="G2" i="6"/>
  <c r="J2" i="5"/>
  <c r="I2" i="5"/>
  <c r="H2" i="5"/>
  <c r="E2" i="5"/>
  <c r="M2" i="4"/>
  <c r="L2" i="4"/>
  <c r="K2" i="4"/>
  <c r="J2" i="4"/>
  <c r="I2" i="4"/>
  <c r="H2" i="4"/>
  <c r="G2" i="4"/>
  <c r="F2" i="4"/>
  <c r="E2" i="4"/>
  <c r="D2" i="4"/>
  <c r="C2" i="4"/>
  <c r="B2" i="4"/>
  <c r="A2" i="4"/>
</calcChain>
</file>

<file path=xl/sharedStrings.xml><?xml version="1.0" encoding="utf-8"?>
<sst xmlns="http://schemas.openxmlformats.org/spreadsheetml/2006/main" count="112" uniqueCount="93">
  <si>
    <t>Assessment_ID</t>
  </si>
  <si>
    <t>Assessment_Title</t>
  </si>
  <si>
    <t>Assessment_Type</t>
  </si>
  <si>
    <t>Course_ID</t>
  </si>
  <si>
    <t>Module_ID</t>
  </si>
  <si>
    <t>Total_Questions</t>
  </si>
  <si>
    <t>Maximum_Marks</t>
  </si>
  <si>
    <t>Passing_Score</t>
  </si>
  <si>
    <t>Assessment_Status</t>
  </si>
  <si>
    <t>Question_ID</t>
  </si>
  <si>
    <t>Question_Text</t>
  </si>
  <si>
    <t>Question_Type</t>
  </si>
  <si>
    <t>Topic</t>
  </si>
  <si>
    <t>Option_A</t>
  </si>
  <si>
    <t>Option_B</t>
  </si>
  <si>
    <t>Option_C</t>
  </si>
  <si>
    <t>Option_D</t>
  </si>
  <si>
    <t>Correct_Answer</t>
  </si>
  <si>
    <t>Difficulty_Level</t>
  </si>
  <si>
    <t>Response_ID</t>
  </si>
  <si>
    <t>Student_ID</t>
  </si>
  <si>
    <t>Attempt_ID</t>
  </si>
  <si>
    <t>Submitted_At</t>
  </si>
  <si>
    <t>Selected_Answer</t>
  </si>
  <si>
    <t>Is_Correct</t>
  </si>
  <si>
    <t>Marks_Obtained</t>
  </si>
  <si>
    <t>Response_Time_Seconds</t>
  </si>
  <si>
    <t>Total_Responses</t>
  </si>
  <si>
    <t>Correct_Responses</t>
  </si>
  <si>
    <t>Incorrect_Responses</t>
  </si>
  <si>
    <t>Percentage_Correct</t>
  </si>
  <si>
    <t>Percentage_Incorrect</t>
  </si>
  <si>
    <t>Difficulty_Index</t>
  </si>
  <si>
    <t>Difficulty_Category</t>
  </si>
  <si>
    <t>Discrimination_Index</t>
  </si>
  <si>
    <t>Quality_Flag</t>
  </si>
  <si>
    <t>High_Group_Size</t>
  </si>
  <si>
    <t>High_Group_Correct</t>
  </si>
  <si>
    <t>High_Group_Accuracy</t>
  </si>
  <si>
    <t>Low_Group_Size</t>
  </si>
  <si>
    <t>Low_Group_Correct</t>
  </si>
  <si>
    <t>Low_Group_Accuracy</t>
  </si>
  <si>
    <t>Interpretation</t>
  </si>
  <si>
    <t>Option_Label</t>
  </si>
  <si>
    <t>Option_Text</t>
  </si>
  <si>
    <t>Is_Correct_Option</t>
  </si>
  <si>
    <t>Selection_Count</t>
  </si>
  <si>
    <t>Selection_Percentage</t>
  </si>
  <si>
    <t>High_Performer_Selections</t>
  </si>
  <si>
    <t>Low_Performer_Selections</t>
  </si>
  <si>
    <t>Distractor_Status</t>
  </si>
  <si>
    <t>Average_Accuracy</t>
  </si>
  <si>
    <t>Average_Difficulty_Index</t>
  </si>
  <si>
    <t>Average_Discrimination_Index</t>
  </si>
  <si>
    <t>Questions_Flagged</t>
  </si>
  <si>
    <t>Metric</t>
  </si>
  <si>
    <t>Result</t>
  </si>
  <si>
    <t>Total Assessments</t>
  </si>
  <si>
    <t>Total Questions</t>
  </si>
  <si>
    <t>Total Student Responses</t>
  </si>
  <si>
    <t>Average Question Accuracy (%)</t>
  </si>
  <si>
    <t>Easy Questions</t>
  </si>
  <si>
    <t>Moderate Questions</t>
  </si>
  <si>
    <t>Difficult Questions</t>
  </si>
  <si>
    <t>Questions With High Failure Rate (70%+ incorrect)</t>
  </si>
  <si>
    <t>Questions With Weak Discrimination</t>
  </si>
  <si>
    <t>Questions With Negative Discrimination</t>
  </si>
  <si>
    <t>Distractors Rarely Selected</t>
  </si>
  <si>
    <t>Questions Requiring Review</t>
  </si>
  <si>
    <t>Item</t>
  </si>
  <si>
    <t>Instructions</t>
  </si>
  <si>
    <t>Purpose</t>
  </si>
  <si>
    <t>Analyze CDaX assessment question quality, difficulty, discrimination and MCQ distractor effectiveness.</t>
  </si>
  <si>
    <t>Assessment_Master</t>
  </si>
  <si>
    <t>Populate using actual assessment records from the CDaX source data.</t>
  </si>
  <si>
    <t>Question_Bank</t>
  </si>
  <si>
    <t>Populate using actual question records and verified answer keys.</t>
  </si>
  <si>
    <t>Student_Responses</t>
  </si>
  <si>
    <t>Use one row per student response to one question.</t>
  </si>
  <si>
    <t>Question_Quality_Analysis</t>
  </si>
  <si>
    <t>Calculates question response counts, accuracy, difficulty and review flags.</t>
  </si>
  <si>
    <t>Discrimination_Analysis</t>
  </si>
  <si>
    <t>Compares accuracy between high- and low-performing groups.</t>
  </si>
  <si>
    <t>Distractor_Analysis</t>
  </si>
  <si>
    <t>Analyzes how often each answer option is selected.</t>
  </si>
  <si>
    <t>Topic_Type_Analysis</t>
  </si>
  <si>
    <t>Compares question quality by topic and question type.</t>
  </si>
  <si>
    <t>Quality_Summary</t>
  </si>
  <si>
    <t>Provides an overview of the calculated quality metrics.</t>
  </si>
  <si>
    <t>Difficulty Thresholds</t>
  </si>
  <si>
    <t>Proposed thresholds: 80%+ correct = Easy; 30%-79.9% = Moderate; below 30% = Difficult.</t>
  </si>
  <si>
    <t>Data Integrity</t>
  </si>
  <si>
    <t>Do not invent questions, answers, student responses or performance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</si>
</sst>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94"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rimination_Analysi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rimination_Analysi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6D194B-49AB-4C70-9CC8-77242DB6E546}" name="Table2" displayName="Table2" ref="A1:I2" insertRow="1" totalsRowShown="0">
  <autoFilter ref="A1:I2" xr:uid="{0E6D194B-49AB-4C70-9CC8-77242DB6E546}"/>
  <tableColumns count="9">
    <tableColumn id="1" xr3:uid="{389BC94C-AD33-4558-A66E-323D2FBBF257}" name="Assessment_ID" dataDxfId="93"/>
    <tableColumn id="2" xr3:uid="{2B1300DD-7F54-4698-AD3D-525170ADAC67}" name="Assessment_Title" dataDxfId="92"/>
    <tableColumn id="3" xr3:uid="{C7536DA6-4647-4027-81C6-26730DD32B57}" name="Assessment_Type" dataDxfId="91"/>
    <tableColumn id="4" xr3:uid="{CC1EE7FA-574A-49E9-8485-8F559C6DE3E5}" name="Course_ID" dataDxfId="90"/>
    <tableColumn id="5" xr3:uid="{30577C39-3D2F-4BF7-90E5-374A8805FDB5}" name="Module_ID" dataDxfId="89"/>
    <tableColumn id="6" xr3:uid="{6FB5A92B-837F-409B-BF9A-BA4E1240A26B}" name="Total_Questions" dataDxfId="88"/>
    <tableColumn id="7" xr3:uid="{A1B938FD-8141-400D-B381-6AA09213FAA4}" name="Maximum_Marks" dataDxfId="87"/>
    <tableColumn id="8" xr3:uid="{88695B2B-463C-4139-9044-21F683173A16}" name="Passing_Score" dataDxfId="86"/>
    <tableColumn id="9" xr3:uid="{FD892AEA-AB39-4136-8E07-E2991F00D175}" name="Assessment_Status" dataDxfId="8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1AD0AC-4980-490F-8C7A-254DD56E3FED}" name="Table3" displayName="Table3" ref="A1:L2" insertRow="1" totalsRowShown="0" headerRowDxfId="69" headerRowBorderDxfId="83" tableBorderDxfId="84" totalsRowBorderDxfId="82">
  <tableColumns count="12">
    <tableColumn id="1" xr3:uid="{8DE04054-0885-4BFA-8C3B-FF09572F24D4}" name="Question_ID" dataDxfId="81"/>
    <tableColumn id="2" xr3:uid="{FB0C7F39-2C9B-4A59-B193-AD6574ACE218}" name="Assessment_ID" dataDxfId="80"/>
    <tableColumn id="3" xr3:uid="{3C327B4A-EE2B-422A-8A99-3AA1B2FA6568}" name="Question_Text" dataDxfId="79"/>
    <tableColumn id="4" xr3:uid="{2D59665F-7E75-4176-837A-4240C3F29D93}" name="Question_Type" dataDxfId="78"/>
    <tableColumn id="5" xr3:uid="{759FB6B4-B473-493F-862C-27230E2A4216}" name="Topic" dataDxfId="77"/>
    <tableColumn id="6" xr3:uid="{92CFE1CB-FE3E-4E0C-91E5-157FA35B8C33}" name="Option_A" dataDxfId="76"/>
    <tableColumn id="7" xr3:uid="{C69891F0-F8D1-478A-A2C8-B7D6CD6DB663}" name="Option_B" dataDxfId="75"/>
    <tableColumn id="8" xr3:uid="{53F06E4B-7D39-46BA-BFB3-CE814A6A7894}" name="Option_C" dataDxfId="74"/>
    <tableColumn id="9" xr3:uid="{ED3280F0-60E8-461C-B164-0F0AAD4E81A0}" name="Option_D" dataDxfId="73"/>
    <tableColumn id="10" xr3:uid="{20B00A94-D8CB-4182-A037-0B096D27AFDD}" name="Correct_Answer" dataDxfId="72"/>
    <tableColumn id="11" xr3:uid="{CB321D59-F61B-4030-AE31-1AFC852E2F06}" name="Maximum_Marks" dataDxfId="71"/>
    <tableColumn id="12" xr3:uid="{B6985C76-AD50-48A2-ADC3-9D1E24100E48}" name="Difficulty_Level" dataDxfId="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3C63F9-41D3-4199-994B-4A1EE2502598}" name="Table4" displayName="Table4" ref="A1:J2" insertRow="1" totalsRowShown="0" headerRowDxfId="55" headerRowBorderDxfId="67" tableBorderDxfId="68" totalsRowBorderDxfId="66">
  <tableColumns count="10">
    <tableColumn id="1" xr3:uid="{2E344012-6DB7-4A0A-9765-10F1C9EBEA1D}" name="Response_ID" dataDxfId="65"/>
    <tableColumn id="2" xr3:uid="{EC86DB97-0B07-4E48-A9B8-C6449C10C1D6}" name="Student_ID" dataDxfId="64"/>
    <tableColumn id="3" xr3:uid="{22BF9747-1624-4798-B4C9-39F9F41E484E}" name="Assessment_ID" dataDxfId="63"/>
    <tableColumn id="4" xr3:uid="{92398C8C-6793-4447-9DDB-B4FAF4527AD7}" name="Question_ID" dataDxfId="62"/>
    <tableColumn id="5" xr3:uid="{E25C1567-BAC8-4005-B255-F47745D2C60E}" name="Attempt_ID" dataDxfId="61"/>
    <tableColumn id="6" xr3:uid="{423BD4A7-CF4C-4150-B46A-0BF42A083A95}" name="Submitted_At" dataDxfId="60"/>
    <tableColumn id="7" xr3:uid="{5B065661-64D7-47E1-A507-70AE8AB9C5EA}" name="Selected_Answer" dataDxfId="59"/>
    <tableColumn id="8" xr3:uid="{F3900700-C4C7-4EFA-A628-1C982E235338}" name="Is_Correct" dataDxfId="58"/>
    <tableColumn id="9" xr3:uid="{01690F89-F6A0-4C1F-BEEF-6A6E3A1C262B}" name="Marks_Obtained" dataDxfId="57"/>
    <tableColumn id="10" xr3:uid="{C8A49485-F516-444B-BC4A-F6D986C1494D}" name="Response_Time_Seconds" dataDxfId="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FC4FE1-AC28-4A26-8BD0-D07207B4B21C}" name="Table5" displayName="Table5" ref="A1:M2" totalsRowShown="0" headerRowDxfId="38" headerRowBorderDxfId="53" tableBorderDxfId="54" totalsRowBorderDxfId="52">
  <tableColumns count="13">
    <tableColumn id="1" xr3:uid="{B7CBBDBB-7633-4B02-81E6-B0CBE76BA766}" name="Question_ID" dataDxfId="51">
      <calculatedColumnFormula>IF(Question_Bank!A2="","",Question_Bank!A2)</calculatedColumnFormula>
    </tableColumn>
    <tableColumn id="2" xr3:uid="{EABC2278-9EB7-4DE5-A6DC-87989C0A1871}" name="Assessment_ID" dataDxfId="50">
      <calculatedColumnFormula>IF(A2="","",Question_Bank!B2)</calculatedColumnFormula>
    </tableColumn>
    <tableColumn id="3" xr3:uid="{A12C7928-FB4C-45D5-87D0-ECC941C5C077}" name="Question_Type" dataDxfId="49">
      <calculatedColumnFormula>IF(A2="","",Question_Bank!D2)</calculatedColumnFormula>
    </tableColumn>
    <tableColumn id="4" xr3:uid="{BDCC1437-4DA6-42D6-8CEB-0CFCF1C81007}" name="Topic" dataDxfId="48">
      <calculatedColumnFormula>IF(A2="","",Question_Bank!E2)</calculatedColumnFormula>
    </tableColumn>
    <tableColumn id="5" xr3:uid="{43433923-FCD2-4060-8873-92CE6EF3DF15}" name="Total_Responses" dataDxfId="47">
      <calculatedColumnFormula>IF(A2="","",COUNTIF(Student_Responses!$D:$D,A2))</calculatedColumnFormula>
    </tableColumn>
    <tableColumn id="6" xr3:uid="{A690A489-21F8-4290-B069-8A222ADFC594}" name="Correct_Responses" dataDxfId="46">
      <calculatedColumnFormula>IF(A2="","",COUNTIFS(Student_Responses!$D:$D,A2,Student_Responses!$H:$H,TRUE))</calculatedColumnFormula>
    </tableColumn>
    <tableColumn id="7" xr3:uid="{92E344C0-F88B-4547-BDE5-DF729C9543A5}" name="Incorrect_Responses" dataDxfId="45">
      <calculatedColumnFormula>IF(A2="","",E2-F2)</calculatedColumnFormula>
    </tableColumn>
    <tableColumn id="8" xr3:uid="{2C9126A9-F5DE-4F5F-B09D-2B1D546B8C29}" name="Percentage_Correct" dataDxfId="44">
      <calculatedColumnFormula>IFERROR(F2/E2*100,"")</calculatedColumnFormula>
    </tableColumn>
    <tableColumn id="9" xr3:uid="{F21F0D89-56F6-4CE6-942A-0CCC1270E9D4}" name="Percentage_Incorrect" dataDxfId="43">
      <calculatedColumnFormula>IFERROR(G2/E2*100,"")</calculatedColumnFormula>
    </tableColumn>
    <tableColumn id="10" xr3:uid="{3D8F74CA-67C1-429D-9C14-51586E0B80CA}" name="Difficulty_Index" dataDxfId="42">
      <calculatedColumnFormula>IF(H2="","",H2/100)</calculatedColumnFormula>
    </tableColumn>
    <tableColumn id="11" xr3:uid="{78504B54-D70F-4AD9-A3BE-8C2C1B039950}" name="Difficulty_Category" dataDxfId="41">
      <calculatedColumnFormula>IF(J2="","Insufficient Data",IF(J2&gt;=0.8,"Easy",IF(J2&gt;=0.3,"Moderate","Difficult")))</calculatedColumnFormula>
    </tableColumn>
    <tableColumn id="12" xr3:uid="{3B3D2371-BD7C-4DCD-988E-15F369FD0136}" name="Discrimination_Index" dataDxfId="40">
      <calculatedColumnFormula>IF(A2="","",IFERROR(INDEX([1]Discrimination_Analysis!$I:$I,MATCH(A2,[1]Discrimination_Analysis!$A:$A,0)),""))</calculatedColumnFormula>
    </tableColumn>
    <tableColumn id="13" xr3:uid="{87DCE8F2-F588-4951-9B3E-CE2CEAE9EF9E}" name="Quality_Flag" dataDxfId="39">
      <calculatedColumnFormula>IF(A2="","",IF(E2=0,"Awaiting Responses",IF(OR(L2&lt;0,H2&lt;30),"Review Required",IF(OR(L2&lt;0.2,H2&lt;50),"Review Recommended","No Automatic Flag"))))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7FDF57-1512-4297-958F-41E73BBA3FDC}" name="Table6" displayName="Table6" ref="A1:J2" totalsRowShown="0" headerRowDxfId="24" headerRowBorderDxfId="36" tableBorderDxfId="37" totalsRowBorderDxfId="35">
  <tableColumns count="10">
    <tableColumn id="1" xr3:uid="{024CF28F-7C7D-47B8-A67A-F1F17613E121}" name="Question_ID" dataDxfId="34"/>
    <tableColumn id="2" xr3:uid="{9DFCB60F-1766-42B9-AF8E-4545F84308D3}" name="Assessment_ID" dataDxfId="33"/>
    <tableColumn id="3" xr3:uid="{19BC6096-CBD0-468C-ACF4-F5CBE9F805FF}" name="High_Group_Size" dataDxfId="32"/>
    <tableColumn id="4" xr3:uid="{FE8EB8B6-7DA7-4356-832C-A673A1FF60F2}" name="High_Group_Correct" dataDxfId="31"/>
    <tableColumn id="5" xr3:uid="{345599E6-4DB7-4A86-96DE-0D6AF5AD6CCA}" name="High_Group_Accuracy" dataDxfId="30">
      <calculatedColumnFormula>IFERROR(D2/C2,"")</calculatedColumnFormula>
    </tableColumn>
    <tableColumn id="6" xr3:uid="{6351401D-5A48-4158-871E-FD9ADF9A3CFA}" name="Low_Group_Size" dataDxfId="29"/>
    <tableColumn id="7" xr3:uid="{4A274A23-9554-495F-A61D-1E8F80295C8A}" name="Low_Group_Correct" dataDxfId="28"/>
    <tableColumn id="8" xr3:uid="{C1268384-9E7D-47EC-8A84-CBB273D93976}" name="Low_Group_Accuracy" dataDxfId="27">
      <calculatedColumnFormula>IFERROR(G2/F2,"")</calculatedColumnFormula>
    </tableColumn>
    <tableColumn id="9" xr3:uid="{A1565610-E820-4D4A-9130-356869A786B7}" name="Discrimination_Index" dataDxfId="26">
      <calculatedColumnFormula>IF(OR(E2="",H2=""),"",E2-H2)</calculatedColumnFormula>
    </tableColumn>
    <tableColumn id="10" xr3:uid="{E2ACE853-89E8-4221-8608-CAF8683D5106}" name="Interpretation" dataDxfId="25">
      <calculatedColumnFormula>IF(I2="","Awaiting Group Data",IF(I2&lt;0,"Negative - Investigate",IF(I2&gt;=0.4,"Good",IF(I2&gt;=0.3,"Acceptable",IF(I2&gt;=0.2,"Review Recommended","Weak - Review")))))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E9352B-DAE0-4A8F-B95C-1E0339542B65}" name="Table7" displayName="Table7" ref="A1:J2" totalsRowShown="0" headerRowDxfId="10" headerRowBorderDxfId="22" tableBorderDxfId="23" totalsRowBorderDxfId="21">
  <tableColumns count="10">
    <tableColumn id="1" xr3:uid="{3ECBDCD6-2C93-4AB5-AD6C-D55E590E74C7}" name="Question_ID" dataDxfId="20"/>
    <tableColumn id="2" xr3:uid="{ACE44DB8-6121-4F32-BBFE-891A4923DB41}" name="Assessment_ID" dataDxfId="19"/>
    <tableColumn id="3" xr3:uid="{C73E128F-6AD7-47AF-86DF-AA4EC7834AE9}" name="Option_Label" dataDxfId="18"/>
    <tableColumn id="4" xr3:uid="{8E1890E3-DC82-4E32-9A04-78FC47F46A10}" name="Option_Text" dataDxfId="17"/>
    <tableColumn id="5" xr3:uid="{63B3C4FD-0CF4-4494-B175-04FCC98D8159}" name="Is_Correct_Option" dataDxfId="16"/>
    <tableColumn id="6" xr3:uid="{7CE43330-6C63-4543-93D8-CA16AAA934DC}" name="Selection_Count" dataDxfId="15"/>
    <tableColumn id="7" xr3:uid="{1A1D8421-D108-415F-9E83-0A5A62FF6AC7}" name="Selection_Percentage" dataDxfId="14">
      <calculatedColumnFormula>IFERROR(F2/COUNTIF(Student_Responses!$D:$D,A2)*100,"")</calculatedColumnFormula>
    </tableColumn>
    <tableColumn id="8" xr3:uid="{3E4144C7-BCBC-4ADC-B681-F110F58A5531}" name="High_Performer_Selections" dataDxfId="13"/>
    <tableColumn id="9" xr3:uid="{FBACEE71-22F1-43E0-80A9-C9CB93E42BC7}" name="Low_Performer_Selections" dataDxfId="12"/>
    <tableColumn id="10" xr3:uid="{7766F29D-2895-4641-8042-5FEB04BA7544}" name="Distractor_Status" dataDxfId="11">
      <calculatedColumnFormula>IF(A2="","",IF(E2=TRUE,"Correct Option",IF(F2=0,"Not Selected",IF(G2&lt;5,"Rarely Selected","Review Selection Pattern"))))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BCB8AB-F1FC-4E1C-9B24-1713D01F76E8}" name="Table8" displayName="Table8" ref="A1:J2" totalsRowShown="0" headerRowDxfId="1" headerRowBorderDxfId="8" tableBorderDxfId="9" totalsRowBorderDxfId="7">
  <tableColumns count="10">
    <tableColumn id="1" xr3:uid="{6B99B1A8-9F3B-4DE2-86B1-A4809B12B3C7}" name="Course_ID" dataDxfId="6"/>
    <tableColumn id="2" xr3:uid="{C8A383DF-BE48-4520-B46F-813F6089A487}" name="Module_ID" dataDxfId="5"/>
    <tableColumn id="3" xr3:uid="{49B5E768-AAF3-4DEF-83DD-F1891D4B1EC8}" name="Topic" dataDxfId="4"/>
    <tableColumn id="4" xr3:uid="{5585DEFC-7374-4B5A-850E-510ABB924C20}" name="Question_Type" dataDxfId="3"/>
    <tableColumn id="5" xr3:uid="{0808027B-635B-4562-B184-E790C1060884}" name="Total_Questions">
      <calculatedColumnFormula>IF(C2="","",COUNTIFS(Question_Bank!$E:$E,C2,Question_Bank!$D:$D,D2))</calculatedColumnFormula>
    </tableColumn>
    <tableColumn id="6" xr3:uid="{78F15074-3E2E-48D0-BDF8-8E5CBEF77E73}" name="Total_Responses">
      <calculatedColumnFormula>IF(C2="","",SUMIFS(Question_Quality_Analysis!$E:$E,Question_Quality_Analysis!$D:$D,C2,Question_Quality_Analysis!$C:$C,D2))</calculatedColumnFormula>
    </tableColumn>
    <tableColumn id="7" xr3:uid="{838E76DB-C61E-4FD5-BFAB-E4B4FF0CF055}" name="Average_Accuracy">
      <calculatedColumnFormula>IFERROR(AVERAGEIFS(Question_Quality_Analysis!$H:$H,Question_Quality_Analysis!$D:$D,C2,Question_Quality_Analysis!$C:$C,D2),"")</calculatedColumnFormula>
    </tableColumn>
    <tableColumn id="8" xr3:uid="{457952B6-E8F3-4903-B889-4AD84D5B5351}" name="Average_Difficulty_Index">
      <calculatedColumnFormula>IFERROR(AVERAGEIFS(Question_Quality_Analysis!$J:$J,Question_Quality_Analysis!$D:$D,C2,Question_Quality_Analysis!$C:$C,D2),"")</calculatedColumnFormula>
    </tableColumn>
    <tableColumn id="9" xr3:uid="{8036601C-94B1-4459-BFC1-112E39657025}" name="Average_Discrimination_Index">
      <calculatedColumnFormula>IFERROR(AVERAGEIFS(Question_Quality_Analysis!$L:$L,Question_Quality_Analysis!$D:$D,C2,Question_Quality_Analysis!$C:$C,D2),"")</calculatedColumnFormula>
    </tableColumn>
    <tableColumn id="10" xr3:uid="{9239E716-F65D-4617-BFF0-1C8F72180909}" name="Questions_Flagged" dataDxfId="2">
      <calculatedColumnFormula>IF(C2="","",COUNTIFS(Question_Quality_Analysis!$D:$D,C2,Question_Quality_Analysis!$M:$M,"Review*"))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E174C3-9609-46DA-A9B2-4CE1140820AE}" name="Table9" displayName="Table9" ref="A1:B13" totalsRowShown="0">
  <autoFilter ref="A1:B13" xr:uid="{D9E174C3-9609-46DA-A9B2-4CE1140820AE}"/>
  <tableColumns count="2">
    <tableColumn id="1" xr3:uid="{287E89D2-0E1C-4C26-8CBC-292184E01322}" name="Metric"/>
    <tableColumn id="2" xr3:uid="{40DEC038-E019-4120-9D5F-A3421499BE4A}" name="Result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77C888D-5BE0-4FC5-98C8-06FA48E56C6F}" name="Table10" displayName="Table10" ref="A1:B12" totalsRowShown="0">
  <autoFilter ref="A1:B12" xr:uid="{177C888D-5BE0-4FC5-98C8-06FA48E56C6F}"/>
  <tableColumns count="2">
    <tableColumn id="1" xr3:uid="{53510130-DC2F-45B6-9CAC-7BC0415CD71E}" name="Item"/>
    <tableColumn id="2" xr3:uid="{54EAA8BE-0FB2-4EEA-8AB7-DEC5CC45D932}" name="Instru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B398-230D-405E-BDA8-0647E0CF1138}">
  <dimension ref="A1:I2"/>
  <sheetViews>
    <sheetView workbookViewId="0">
      <selection activeCell="C14" sqref="C14"/>
    </sheetView>
  </sheetViews>
  <sheetFormatPr defaultRowHeight="14.4" x14ac:dyDescent="0.3"/>
  <cols>
    <col min="1" max="1" width="15.44140625" customWidth="1"/>
    <col min="2" max="2" width="34" bestFit="1" customWidth="1"/>
    <col min="3" max="3" width="17.5546875" customWidth="1"/>
    <col min="4" max="4" width="39.6640625" bestFit="1" customWidth="1"/>
    <col min="5" max="5" width="11.5546875" customWidth="1"/>
    <col min="6" max="6" width="16.109375" customWidth="1"/>
    <col min="7" max="7" width="16.88671875" customWidth="1"/>
    <col min="8" max="8" width="14.77734375" customWidth="1"/>
    <col min="9" max="9" width="1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A20-7149-47BA-B0FA-6CBFEFAA2F87}">
  <dimension ref="A1:L2"/>
  <sheetViews>
    <sheetView workbookViewId="0">
      <selection activeCell="J10" sqref="J10"/>
    </sheetView>
  </sheetViews>
  <sheetFormatPr defaultRowHeight="14.4" x14ac:dyDescent="0.3"/>
  <cols>
    <col min="1" max="1" width="13.21875" bestFit="1" customWidth="1"/>
    <col min="2" max="2" width="15.44140625" customWidth="1"/>
    <col min="3" max="3" width="14.5546875" customWidth="1"/>
    <col min="4" max="4" width="15" customWidth="1"/>
    <col min="6" max="7" width="10.44140625" customWidth="1"/>
    <col min="8" max="9" width="10.5546875" customWidth="1"/>
    <col min="10" max="10" width="15.88671875" customWidth="1"/>
    <col min="11" max="11" width="16.88671875" customWidth="1"/>
    <col min="12" max="12" width="15.5546875" customWidth="1"/>
  </cols>
  <sheetData>
    <row r="1" spans="1:12" x14ac:dyDescent="0.3">
      <c r="A1" s="2" t="s">
        <v>9</v>
      </c>
      <c r="B1" s="3" t="s">
        <v>0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6</v>
      </c>
      <c r="L1" s="4" t="s">
        <v>18</v>
      </c>
    </row>
    <row r="2" spans="1:12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5A70-07A3-492E-B0A9-692C1CC742B9}">
  <dimension ref="A1:J2"/>
  <sheetViews>
    <sheetView workbookViewId="0">
      <selection sqref="A1:J2"/>
    </sheetView>
  </sheetViews>
  <sheetFormatPr defaultRowHeight="14.4" x14ac:dyDescent="0.3"/>
  <cols>
    <col min="1" max="1" width="13.44140625" customWidth="1"/>
    <col min="2" max="2" width="12" customWidth="1"/>
    <col min="3" max="3" width="15.44140625" customWidth="1"/>
    <col min="4" max="4" width="12.88671875" customWidth="1"/>
    <col min="5" max="5" width="12.33203125" customWidth="1"/>
    <col min="6" max="6" width="14.33203125" customWidth="1"/>
    <col min="7" max="7" width="17.109375" customWidth="1"/>
    <col min="8" max="8" width="11.33203125" customWidth="1"/>
    <col min="9" max="9" width="16.44140625" customWidth="1"/>
    <col min="10" max="10" width="23.6640625" customWidth="1"/>
  </cols>
  <sheetData>
    <row r="1" spans="1:10" x14ac:dyDescent="0.3">
      <c r="A1" s="2" t="s">
        <v>19</v>
      </c>
      <c r="B1" s="3" t="s">
        <v>20</v>
      </c>
      <c r="C1" s="3" t="s">
        <v>0</v>
      </c>
      <c r="D1" s="3" t="s">
        <v>9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4" t="s">
        <v>26</v>
      </c>
    </row>
    <row r="2" spans="1:10" x14ac:dyDescent="0.3">
      <c r="A2" s="5"/>
      <c r="B2" s="6"/>
      <c r="C2" s="6"/>
      <c r="D2" s="6"/>
      <c r="E2" s="6"/>
      <c r="F2" s="6"/>
      <c r="G2" s="6"/>
      <c r="H2" s="6"/>
      <c r="I2" s="6"/>
      <c r="J2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2120-8C6F-4B0C-B971-F25E261FCDB1}">
  <dimension ref="A1:M2"/>
  <sheetViews>
    <sheetView topLeftCell="B1" workbookViewId="0">
      <selection activeCell="M3" sqref="M3"/>
    </sheetView>
  </sheetViews>
  <sheetFormatPr defaultRowHeight="14.4" x14ac:dyDescent="0.3"/>
  <cols>
    <col min="1" max="1" width="12.88671875" customWidth="1"/>
    <col min="2" max="2" width="15.44140625" customWidth="1"/>
    <col min="3" max="3" width="15" customWidth="1"/>
    <col min="5" max="5" width="16.6640625" customWidth="1"/>
    <col min="6" max="6" width="18.77734375" customWidth="1"/>
    <col min="7" max="7" width="20.109375" customWidth="1"/>
    <col min="8" max="8" width="19.21875" customWidth="1"/>
    <col min="9" max="9" width="20.5546875" customWidth="1"/>
    <col min="10" max="10" width="15.77734375" customWidth="1"/>
    <col min="11" max="11" width="18.5546875" customWidth="1"/>
    <col min="12" max="12" width="20.5546875" customWidth="1"/>
    <col min="13" max="13" width="13.109375" customWidth="1"/>
  </cols>
  <sheetData>
    <row r="1" spans="1:13" x14ac:dyDescent="0.3">
      <c r="A1" s="2" t="s">
        <v>9</v>
      </c>
      <c r="B1" s="3" t="s">
        <v>0</v>
      </c>
      <c r="C1" s="3" t="s">
        <v>11</v>
      </c>
      <c r="D1" s="3" t="s">
        <v>12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4" t="s">
        <v>35</v>
      </c>
    </row>
    <row r="2" spans="1:13" x14ac:dyDescent="0.3">
      <c r="A2" s="5" t="str">
        <f>IF(Question_Bank!A2="","",Question_Bank!A2)</f>
        <v/>
      </c>
      <c r="B2" s="6" t="str">
        <f>IF(A2="","",Question_Bank!B2)</f>
        <v/>
      </c>
      <c r="C2" s="6" t="str">
        <f>IF(A2="","",Question_Bank!D2)</f>
        <v/>
      </c>
      <c r="D2" s="6" t="str">
        <f>IF(A2="","",Question_Bank!E2)</f>
        <v/>
      </c>
      <c r="E2" s="6" t="str">
        <f>IF(A2="","",COUNTIF(Student_Responses!$D:$D,A2))</f>
        <v/>
      </c>
      <c r="F2" s="6" t="str">
        <f>IF(A2="","",COUNTIFS(Student_Responses!$D:$D,A2,Student_Responses!$H:$H,TRUE))</f>
        <v/>
      </c>
      <c r="G2" s="6" t="str">
        <f>IF(A2="","",E2-F2)</f>
        <v/>
      </c>
      <c r="H2" s="6" t="str">
        <f>IFERROR(F2/E2*100,"")</f>
        <v/>
      </c>
      <c r="I2" s="6" t="str">
        <f>IFERROR(G2/E2*100,"")</f>
        <v/>
      </c>
      <c r="J2" s="6" t="str">
        <f>IF(H2="","",H2/100)</f>
        <v/>
      </c>
      <c r="K2" s="6" t="str">
        <f>IF(J2="","Insufficient Data",IF(J2&gt;=0.8,"Easy",IF(J2&gt;=0.3,"Moderate","Difficult")))</f>
        <v>Insufficient Data</v>
      </c>
      <c r="L2" s="6" t="str">
        <f>IF(A2="","",IFERROR(INDEX([1]Discrimination_Analysis!$I:$I,MATCH(A2,[1]Discrimination_Analysis!$A:$A,0)),""))</f>
        <v/>
      </c>
      <c r="M2" s="7" t="str">
        <f>IF(A2="","",IF(E2=0,"Awaiting Responses",IF(OR(L2&lt;0,H2&lt;30),"Review Required",IF(OR(L2&lt;0.2,H2&lt;50),"Review Recommended","No Automatic Flag"))))</f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73C2-5B9F-43A1-BB6D-02C25EF5A133}">
  <dimension ref="A1:J2"/>
  <sheetViews>
    <sheetView workbookViewId="0">
      <selection activeCell="J3" sqref="J3"/>
    </sheetView>
  </sheetViews>
  <sheetFormatPr defaultRowHeight="14.4" x14ac:dyDescent="0.3"/>
  <cols>
    <col min="1" max="1" width="12.88671875" customWidth="1"/>
    <col min="2" max="2" width="15.44140625" customWidth="1"/>
    <col min="3" max="3" width="16.88671875" customWidth="1"/>
    <col min="4" max="4" width="19.5546875" customWidth="1"/>
    <col min="5" max="5" width="21" customWidth="1"/>
    <col min="6" max="6" width="16.33203125" customWidth="1"/>
    <col min="7" max="7" width="19" customWidth="1"/>
    <col min="8" max="8" width="20.44140625" customWidth="1"/>
    <col min="9" max="9" width="20.5546875" customWidth="1"/>
    <col min="10" max="10" width="17.44140625" bestFit="1" customWidth="1"/>
  </cols>
  <sheetData>
    <row r="1" spans="1:10" x14ac:dyDescent="0.3">
      <c r="A1" s="2" t="s">
        <v>9</v>
      </c>
      <c r="B1" s="3" t="s">
        <v>0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34</v>
      </c>
      <c r="J1" s="4" t="s">
        <v>42</v>
      </c>
    </row>
    <row r="2" spans="1:10" x14ac:dyDescent="0.3">
      <c r="A2" s="5"/>
      <c r="B2" s="6"/>
      <c r="C2" s="6"/>
      <c r="D2" s="6"/>
      <c r="E2" s="6" t="str">
        <f>IFERROR(D2/C2,"")</f>
        <v/>
      </c>
      <c r="F2" s="6"/>
      <c r="G2" s="6"/>
      <c r="H2" s="6" t="str">
        <f>IFERROR(G2/F2,"")</f>
        <v/>
      </c>
      <c r="I2" s="6" t="str">
        <f>IF(OR(E2="",H2=""),"",E2-H2)</f>
        <v/>
      </c>
      <c r="J2" s="7" t="str">
        <f>IF(I2="","Awaiting Group Data",IF(I2&lt;0,"Negative - Investigate",IF(I2&gt;=0.4,"Good",IF(I2&gt;=0.3,"Acceptable",IF(I2&gt;=0.2,"Review Recommended","Weak - Review")))))</f>
        <v>Awaiting Group Data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B103-71B2-482D-B640-A53821BD6533}">
  <dimension ref="A1:J2"/>
  <sheetViews>
    <sheetView workbookViewId="0">
      <selection activeCell="J3" sqref="J3"/>
    </sheetView>
  </sheetViews>
  <sheetFormatPr defaultRowHeight="14.4" x14ac:dyDescent="0.3"/>
  <cols>
    <col min="1" max="1" width="12.88671875" customWidth="1"/>
    <col min="2" max="2" width="15.44140625" customWidth="1"/>
    <col min="3" max="3" width="13.88671875" customWidth="1"/>
    <col min="4" max="4" width="12.77734375" customWidth="1"/>
    <col min="5" max="5" width="17.77734375" customWidth="1"/>
    <col min="6" max="6" width="16.44140625" customWidth="1"/>
    <col min="7" max="7" width="20.88671875" customWidth="1"/>
    <col min="8" max="8" width="25.33203125" customWidth="1"/>
    <col min="9" max="9" width="24.77734375" customWidth="1"/>
    <col min="10" max="10" width="17.33203125" customWidth="1"/>
  </cols>
  <sheetData>
    <row r="1" spans="1:10" x14ac:dyDescent="0.3">
      <c r="A1" s="2" t="s">
        <v>9</v>
      </c>
      <c r="B1" s="3" t="s">
        <v>0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4" t="s">
        <v>50</v>
      </c>
    </row>
    <row r="2" spans="1:10" x14ac:dyDescent="0.3">
      <c r="A2" s="5"/>
      <c r="B2" s="6"/>
      <c r="C2" s="6"/>
      <c r="D2" s="6"/>
      <c r="E2" s="6"/>
      <c r="F2" s="6"/>
      <c r="G2" s="6" t="str">
        <f>IFERROR(F2/COUNTIF(Student_Responses!$D:$D,A2)*100,"")</f>
        <v/>
      </c>
      <c r="H2" s="6"/>
      <c r="I2" s="6"/>
      <c r="J2" s="7" t="str">
        <f>IF(A2="","",IF(E2=TRUE,"Correct Option",IF(F2=0,"Not Selected",IF(G2&lt;5,"Rarely Selected","Review Selection Pattern"))))</f>
        <v/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3230-6252-4EDC-A688-8FC37634C48E}">
  <dimension ref="A1:J2"/>
  <sheetViews>
    <sheetView workbookViewId="0">
      <selection activeCell="J2" sqref="J2"/>
    </sheetView>
  </sheetViews>
  <sheetFormatPr defaultRowHeight="14.4" x14ac:dyDescent="0.3"/>
  <cols>
    <col min="1" max="1" width="11.21875" customWidth="1"/>
    <col min="2" max="2" width="11.5546875" customWidth="1"/>
    <col min="4" max="4" width="15" customWidth="1"/>
    <col min="5" max="5" width="16.109375" customWidth="1"/>
    <col min="6" max="6" width="16.6640625" customWidth="1"/>
    <col min="7" max="7" width="17.88671875" customWidth="1"/>
    <col min="8" max="8" width="23.109375" customWidth="1"/>
    <col min="9" max="9" width="27.88671875" customWidth="1"/>
    <col min="10" max="10" width="18.44140625" customWidth="1"/>
  </cols>
  <sheetData>
    <row r="1" spans="1:10" x14ac:dyDescent="0.3">
      <c r="A1" s="2" t="s">
        <v>3</v>
      </c>
      <c r="B1" s="3" t="s">
        <v>4</v>
      </c>
      <c r="C1" s="3" t="s">
        <v>12</v>
      </c>
      <c r="D1" s="3" t="s">
        <v>11</v>
      </c>
      <c r="E1" s="3" t="s">
        <v>5</v>
      </c>
      <c r="F1" s="3" t="s">
        <v>27</v>
      </c>
      <c r="G1" s="3" t="s">
        <v>51</v>
      </c>
      <c r="H1" s="3" t="s">
        <v>52</v>
      </c>
      <c r="I1" s="3" t="s">
        <v>53</v>
      </c>
      <c r="J1" s="4" t="s">
        <v>54</v>
      </c>
    </row>
    <row r="2" spans="1:10" x14ac:dyDescent="0.3">
      <c r="A2" s="5"/>
      <c r="B2" s="6"/>
      <c r="C2" s="6"/>
      <c r="D2" s="6"/>
      <c r="E2" t="str">
        <f>IF(C2="","",COUNTIFS(Question_Bank!$E:$E,C2,Question_Bank!$D:$D,D2))</f>
        <v/>
      </c>
      <c r="F2" t="str">
        <f>IF(C2="","",SUMIFS(Question_Quality_Analysis!$E:$E,Question_Quality_Analysis!$D:$D,C2,Question_Quality_Analysis!$C:$C,D2))</f>
        <v/>
      </c>
      <c r="G2" t="str">
        <f>IFERROR(AVERAGEIFS(Question_Quality_Analysis!$H:$H,Question_Quality_Analysis!$D:$D,C2,Question_Quality_Analysis!$C:$C,D2),"")</f>
        <v/>
      </c>
      <c r="H2" t="str">
        <f>IFERROR(AVERAGEIFS(Question_Quality_Analysis!$J:$J,Question_Quality_Analysis!$D:$D,C2,Question_Quality_Analysis!$C:$C,D2),"")</f>
        <v/>
      </c>
      <c r="I2" t="str">
        <f>IFERROR(AVERAGEIFS(Question_Quality_Analysis!$L:$L,Question_Quality_Analysis!$D:$D,C2,Question_Quality_Analysis!$C:$C,D2),"")</f>
        <v/>
      </c>
      <c r="J2" s="7" t="str">
        <f>IF(C2="","",COUNTIFS(Question_Quality_Analysis!$D:$D,C2,Question_Quality_Analysis!$M:$M,"Review*"))</f>
        <v/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5677-A98D-4FA5-9B19-F972C02C5D4B}">
  <dimension ref="A1:I14"/>
  <sheetViews>
    <sheetView workbookViewId="0">
      <selection activeCell="D3" sqref="D3"/>
    </sheetView>
  </sheetViews>
  <sheetFormatPr defaultRowHeight="14.4" x14ac:dyDescent="0.3"/>
  <cols>
    <col min="1" max="1" width="41.44140625" bestFit="1" customWidth="1"/>
    <col min="2" max="2" width="8.109375" style="8" customWidth="1"/>
  </cols>
  <sheetData>
    <row r="1" spans="1:9" x14ac:dyDescent="0.3">
      <c r="A1" t="s">
        <v>55</v>
      </c>
      <c r="B1" s="8" t="s">
        <v>56</v>
      </c>
    </row>
    <row r="2" spans="1:9" x14ac:dyDescent="0.3">
      <c r="A2" t="s">
        <v>57</v>
      </c>
      <c r="B2" s="8">
        <f>COUNTA(Assessment_Master!A2:A1000)</f>
        <v>0</v>
      </c>
    </row>
    <row r="3" spans="1:9" x14ac:dyDescent="0.3">
      <c r="A3" t="s">
        <v>58</v>
      </c>
      <c r="B3" s="8">
        <f>COUNTA(Question_Bank!A2:A1000)</f>
        <v>0</v>
      </c>
    </row>
    <row r="4" spans="1:9" x14ac:dyDescent="0.3">
      <c r="A4" t="s">
        <v>59</v>
      </c>
      <c r="B4" s="8">
        <f>COUNTA(Student_Responses!A2:A5000)</f>
        <v>0</v>
      </c>
    </row>
    <row r="5" spans="1:9" x14ac:dyDescent="0.3">
      <c r="A5" t="s">
        <v>60</v>
      </c>
      <c r="B5" s="8" t="str">
        <f>IFERROR(AVERAGE(Question_Quality_Analysis!H2:H501),"")</f>
        <v/>
      </c>
    </row>
    <row r="6" spans="1:9" x14ac:dyDescent="0.3">
      <c r="A6" t="s">
        <v>61</v>
      </c>
      <c r="B6" s="8">
        <f>COUNTIF(Question_Quality_Analysis!K2:K501,"Easy")</f>
        <v>0</v>
      </c>
    </row>
    <row r="7" spans="1:9" x14ac:dyDescent="0.3">
      <c r="A7" t="s">
        <v>62</v>
      </c>
      <c r="B7" s="8">
        <f>COUNTIF(Question_Quality_Analysis!K2:K501,"Moderate")</f>
        <v>0</v>
      </c>
    </row>
    <row r="8" spans="1:9" x14ac:dyDescent="0.3">
      <c r="A8" t="s">
        <v>63</v>
      </c>
      <c r="B8" s="8">
        <f>COUNTIF(Question_Quality_Analysis!K2:K501,"Difficult")</f>
        <v>0</v>
      </c>
    </row>
    <row r="9" spans="1:9" x14ac:dyDescent="0.3">
      <c r="A9" t="s">
        <v>64</v>
      </c>
      <c r="B9" s="8">
        <f>COUNTIF(Question_Quality_Analysis!I2:I501,"&gt;=70")</f>
        <v>0</v>
      </c>
    </row>
    <row r="10" spans="1:9" x14ac:dyDescent="0.3">
      <c r="A10" t="s">
        <v>65</v>
      </c>
      <c r="B10" s="8">
        <f>COUNTIF(Discrimination_Analysis!J2:J501,"Weak*")</f>
        <v>0</v>
      </c>
    </row>
    <row r="11" spans="1:9" x14ac:dyDescent="0.3">
      <c r="A11" t="s">
        <v>66</v>
      </c>
      <c r="B11" s="8">
        <f>COUNTIF(Discrimination_Analysis!J2:J501,"Negative*")</f>
        <v>0</v>
      </c>
    </row>
    <row r="12" spans="1:9" x14ac:dyDescent="0.3">
      <c r="A12" t="s">
        <v>67</v>
      </c>
      <c r="B12" s="8">
        <f>COUNTIF(Distractor_Analysis!J2:J1001,"Rarely Selected")</f>
        <v>0</v>
      </c>
    </row>
    <row r="13" spans="1:9" x14ac:dyDescent="0.3">
      <c r="A13" t="s">
        <v>68</v>
      </c>
      <c r="B13" s="8">
        <f>COUNTIF(Question_Quality_Analysis!M2:M501,"Review*")</f>
        <v>0</v>
      </c>
    </row>
    <row r="14" spans="1:9" x14ac:dyDescent="0.3">
      <c r="I14" s="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56AF-618E-4F4D-BF7C-9147A123A3B2}">
  <dimension ref="A1:B12"/>
  <sheetViews>
    <sheetView tabSelected="1" workbookViewId="0">
      <selection activeCell="B22" sqref="B22"/>
    </sheetView>
  </sheetViews>
  <sheetFormatPr defaultRowHeight="14.4" x14ac:dyDescent="0.3"/>
  <cols>
    <col min="1" max="1" width="22.21875" bestFit="1" customWidth="1"/>
    <col min="2" max="2" width="84" bestFit="1" customWidth="1"/>
  </cols>
  <sheetData>
    <row r="1" spans="1:2" x14ac:dyDescent="0.3">
      <c r="A1" t="s">
        <v>69</v>
      </c>
      <c r="B1" t="s">
        <v>70</v>
      </c>
    </row>
    <row r="2" spans="1:2" x14ac:dyDescent="0.3">
      <c r="A2" t="s">
        <v>71</v>
      </c>
      <c r="B2" t="s">
        <v>72</v>
      </c>
    </row>
    <row r="3" spans="1:2" x14ac:dyDescent="0.3">
      <c r="A3" t="s">
        <v>73</v>
      </c>
      <c r="B3" t="s">
        <v>74</v>
      </c>
    </row>
    <row r="4" spans="1:2" x14ac:dyDescent="0.3">
      <c r="A4" t="s">
        <v>75</v>
      </c>
      <c r="B4" t="s">
        <v>76</v>
      </c>
    </row>
    <row r="5" spans="1:2" x14ac:dyDescent="0.3">
      <c r="A5" t="s">
        <v>77</v>
      </c>
      <c r="B5" t="s">
        <v>78</v>
      </c>
    </row>
    <row r="6" spans="1:2" x14ac:dyDescent="0.3">
      <c r="A6" t="s">
        <v>79</v>
      </c>
      <c r="B6" t="s">
        <v>80</v>
      </c>
    </row>
    <row r="7" spans="1:2" x14ac:dyDescent="0.3">
      <c r="A7" t="s">
        <v>81</v>
      </c>
      <c r="B7" t="s">
        <v>82</v>
      </c>
    </row>
    <row r="8" spans="1:2" x14ac:dyDescent="0.3">
      <c r="A8" t="s">
        <v>83</v>
      </c>
      <c r="B8" t="s">
        <v>84</v>
      </c>
    </row>
    <row r="9" spans="1:2" x14ac:dyDescent="0.3">
      <c r="A9" t="s">
        <v>85</v>
      </c>
      <c r="B9" t="s">
        <v>86</v>
      </c>
    </row>
    <row r="10" spans="1:2" x14ac:dyDescent="0.3">
      <c r="A10" t="s">
        <v>87</v>
      </c>
      <c r="B10" t="s">
        <v>88</v>
      </c>
    </row>
    <row r="11" spans="1:2" x14ac:dyDescent="0.3">
      <c r="A11" t="s">
        <v>89</v>
      </c>
      <c r="B11" t="s">
        <v>90</v>
      </c>
    </row>
    <row r="12" spans="1:2" x14ac:dyDescent="0.3">
      <c r="A12" t="s">
        <v>91</v>
      </c>
      <c r="B12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Assessment_Master</vt:lpstr>
      <vt:lpstr>Question_Bank</vt:lpstr>
      <vt:lpstr>Student_Responses</vt:lpstr>
      <vt:lpstr>Question_Quality_Analysis</vt:lpstr>
      <vt:lpstr>Discrimination_Analysis</vt:lpstr>
      <vt:lpstr>Distractor_Analysis</vt:lpstr>
      <vt:lpstr>Topic_Type_Analysis</vt:lpstr>
      <vt:lpstr>Quality_Summary</vt:lpstr>
      <vt:lpstr>Read_Me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2026-10-21T10:53:06Z</dcterms:created>
  <dcterms:modified xsi:type="dcterms:W3CDTF">2026-10-21T11:28:28Z</dcterms:modified>
</cp:coreProperties>
</file>