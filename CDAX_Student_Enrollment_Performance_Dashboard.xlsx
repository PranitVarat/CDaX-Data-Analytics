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13_ncr:1_{3D8CAF2C-0BB0-4A36-B7A5-9CEC9A513AD8}" xr6:coauthVersionLast="47" xr6:coauthVersionMax="47" xr10:uidLastSave="{00000000-0000-0000-0000-000000000000}"/>
  <bookViews>
    <workbookView xWindow="-108" yWindow="-108" windowWidth="23256" windowHeight="12456" firstSheet="2" xr2:uid="{00000000-000D-0000-FFFF-FFFF00000000}"/>
  </bookViews>
  <sheets>
    <sheet name="Dashboard" sheetId="1" r:id="rId1"/>
    <sheet name="Student_Data" sheetId="2" r:id="rId2"/>
    <sheet name="Enrollment_Data" sheetId="3" r:id="rId3"/>
    <sheet name="Course_Master" sheetId="4" r:id="rId4"/>
    <sheet name="Monthly_Trends" sheetId="5" r:id="rId5"/>
    <sheet name="Recommendations" sheetId="6" r:id="rId6"/>
    <sheet name="Source_Notes" sheetId="7" r:id="rId7"/>
  </sheets>
  <definedNames>
    <definedName name="_xlnm._FilterDatabase" localSheetId="3" hidden="1">Course_Master!$A$3:$F$10</definedName>
    <definedName name="_xlnm._FilterDatabase" localSheetId="2" hidden="1">Enrollment_Data!$A$3:$L$107</definedName>
    <definedName name="_xlnm._FilterDatabase" localSheetId="5" hidden="1">Recommendations!$A$3:$E$9</definedName>
    <definedName name="_xlnm._FilterDatabase" localSheetId="6" hidden="1">Source_Notes!$A$3:$D$15</definedName>
    <definedName name="_xlnm._FilterDatabase" localSheetId="1" hidden="1">Student_Data!$A$3:$G$63</definedName>
    <definedName name="_xlnm.Print_Area" localSheetId="3">Course_Master!$A$1:$G$11</definedName>
    <definedName name="_xlnm.Print_Area" localSheetId="2">Enrollment_Data!$A$1:$N$109</definedName>
    <definedName name="_xlnm.Print_Area" localSheetId="4">Monthly_Trends!$A$1:$G$11</definedName>
    <definedName name="_xlnm.Print_Area" localSheetId="5">Recommendations!$A$1:$F$10</definedName>
    <definedName name="_xlnm.Print_Area" localSheetId="1">Student_Data!$A$1:$H$64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5" l="1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B25" i="1"/>
  <c r="B24" i="1"/>
  <c r="B23" i="1"/>
  <c r="B22" i="1"/>
  <c r="G18" i="1"/>
  <c r="E18" i="1"/>
  <c r="D18" i="1"/>
  <c r="C18" i="1"/>
  <c r="B18" i="1"/>
  <c r="G17" i="1"/>
  <c r="E17" i="1"/>
  <c r="D17" i="1"/>
  <c r="C17" i="1"/>
  <c r="B17" i="1"/>
  <c r="G16" i="1"/>
  <c r="E16" i="1"/>
  <c r="D16" i="1"/>
  <c r="C16" i="1"/>
  <c r="B16" i="1"/>
  <c r="G15" i="1"/>
  <c r="E15" i="1"/>
  <c r="D15" i="1"/>
  <c r="C15" i="1"/>
  <c r="B15" i="1"/>
  <c r="G14" i="1"/>
  <c r="E14" i="1"/>
  <c r="D14" i="1"/>
  <c r="C14" i="1"/>
  <c r="B14" i="1"/>
  <c r="G13" i="1"/>
  <c r="E13" i="1"/>
  <c r="D13" i="1"/>
  <c r="C13" i="1"/>
  <c r="B13" i="1"/>
  <c r="G12" i="1"/>
  <c r="E12" i="1"/>
  <c r="D12" i="1"/>
  <c r="C12" i="1"/>
  <c r="B12" i="1"/>
  <c r="J8" i="1"/>
  <c r="G8" i="1"/>
  <c r="D8" i="1"/>
  <c r="A8" i="1"/>
  <c r="J5" i="1"/>
  <c r="G5" i="1"/>
  <c r="D5" i="1"/>
  <c r="A5" i="1"/>
  <c r="F16" i="1" l="1"/>
  <c r="H16" i="1" s="1"/>
  <c r="F12" i="1"/>
  <c r="H12" i="1" s="1"/>
  <c r="F15" i="1"/>
  <c r="H15" i="1" s="1"/>
  <c r="F14" i="1"/>
  <c r="H14" i="1" s="1"/>
  <c r="F17" i="1"/>
  <c r="H17" i="1" s="1"/>
  <c r="F13" i="1"/>
  <c r="H13" i="1" s="1"/>
  <c r="F18" i="1"/>
  <c r="H18" i="1" s="1"/>
</calcChain>
</file>

<file path=xl/sharedStrings.xml><?xml version="1.0" encoding="utf-8"?>
<sst xmlns="http://schemas.openxmlformats.org/spreadsheetml/2006/main" count="1131" uniqueCount="332">
  <si>
    <t>CDaX STUDENT ENROLLMENT &amp; PERFORMANCE DASHBOARD</t>
  </si>
  <si>
    <t>Dashboard mode</t>
  </si>
  <si>
    <t>SIMULATED SAMPLE DATA</t>
  </si>
  <si>
    <t>Course filter</t>
  </si>
  <si>
    <t>All</t>
  </si>
  <si>
    <t>Month filter</t>
  </si>
  <si>
    <t>Total Registered Students</t>
  </si>
  <si>
    <t>Course Enrollments</t>
  </si>
  <si>
    <t>Active Students</t>
  </si>
  <si>
    <t>Inactive Students</t>
  </si>
  <si>
    <t>Course Completion Rate</t>
  </si>
  <si>
    <t>Average Assessment Score</t>
  </si>
  <si>
    <t>Ongoing Enrollments</t>
  </si>
  <si>
    <t>No Recent Activity</t>
  </si>
  <si>
    <t>Course</t>
  </si>
  <si>
    <t>Enrollments</t>
  </si>
  <si>
    <t>Completed</t>
  </si>
  <si>
    <t>Ongoing</t>
  </si>
  <si>
    <t>Discontinued</t>
  </si>
  <si>
    <t>Completion Rate</t>
  </si>
  <si>
    <t>Avg Score</t>
  </si>
  <si>
    <t>Flag</t>
  </si>
  <si>
    <t>Complete Java Programming</t>
  </si>
  <si>
    <t>Python Programming Mastery</t>
  </si>
  <si>
    <t>Flutter Mobile Development</t>
  </si>
  <si>
    <t>C/C++ Programming Course</t>
  </si>
  <si>
    <t>C# .NET Development</t>
  </si>
  <si>
    <t>Data Structures &amp; Algorithms</t>
  </si>
  <si>
    <t>React Web Development</t>
  </si>
  <si>
    <t>Performance Band</t>
  </si>
  <si>
    <t>Below 40%</t>
  </si>
  <si>
    <t>40–59%</t>
  </si>
  <si>
    <t>60–79%</t>
  </si>
  <si>
    <t>80–100%</t>
  </si>
  <si>
    <t>Student Data — SIMULATED SAMPLE RECORDS</t>
  </si>
  <si>
    <t>Student_ID</t>
  </si>
  <si>
    <t>Registration_Date</t>
  </si>
  <si>
    <t>Account_Status</t>
  </si>
  <si>
    <t>Last_Learning_Activity</t>
  </si>
  <si>
    <t>Activity_Status</t>
  </si>
  <si>
    <t>Month</t>
  </si>
  <si>
    <t>Data_Basis</t>
  </si>
  <si>
    <t>SAMP-001</t>
  </si>
  <si>
    <t>Active</t>
  </si>
  <si>
    <t>2026-06</t>
  </si>
  <si>
    <t>Simulated for dashboard demonstration</t>
  </si>
  <si>
    <t>SAMP-002</t>
  </si>
  <si>
    <t>SAMP-003</t>
  </si>
  <si>
    <t>2026-01</t>
  </si>
  <si>
    <t>SAMP-004</t>
  </si>
  <si>
    <t>2026-02</t>
  </si>
  <si>
    <t>SAMP-005</t>
  </si>
  <si>
    <t>2026-04</t>
  </si>
  <si>
    <t>SAMP-006</t>
  </si>
  <si>
    <t>SAMP-007</t>
  </si>
  <si>
    <t>2026-03</t>
  </si>
  <si>
    <t>SAMP-008</t>
  </si>
  <si>
    <t>2026-05</t>
  </si>
  <si>
    <t>SAMP-009</t>
  </si>
  <si>
    <t>SAMP-010</t>
  </si>
  <si>
    <t>SAMP-011</t>
  </si>
  <si>
    <t>SAMP-012</t>
  </si>
  <si>
    <t>SAMP-013</t>
  </si>
  <si>
    <t>SAMP-014</t>
  </si>
  <si>
    <t>SAMP-015</t>
  </si>
  <si>
    <t>SAMP-016</t>
  </si>
  <si>
    <t>SAMP-017</t>
  </si>
  <si>
    <t>SAMP-018</t>
  </si>
  <si>
    <t>Inactive</t>
  </si>
  <si>
    <t>SAMP-019</t>
  </si>
  <si>
    <t>SAMP-020</t>
  </si>
  <si>
    <t>SAMP-021</t>
  </si>
  <si>
    <t>SAMP-022</t>
  </si>
  <si>
    <t>SAMP-023</t>
  </si>
  <si>
    <t>SAMP-024</t>
  </si>
  <si>
    <t>SAMP-025</t>
  </si>
  <si>
    <t>SAMP-026</t>
  </si>
  <si>
    <t>SAMP-027</t>
  </si>
  <si>
    <t>SAMP-028</t>
  </si>
  <si>
    <t>SAMP-029</t>
  </si>
  <si>
    <t>SAMP-030</t>
  </si>
  <si>
    <t>SAMP-031</t>
  </si>
  <si>
    <t>SAMP-032</t>
  </si>
  <si>
    <t>SAMP-033</t>
  </si>
  <si>
    <t>SAMP-034</t>
  </si>
  <si>
    <t>SAMP-035</t>
  </si>
  <si>
    <t>SAMP-036</t>
  </si>
  <si>
    <t>SAMP-037</t>
  </si>
  <si>
    <t>SAMP-038</t>
  </si>
  <si>
    <t>SAMP-039</t>
  </si>
  <si>
    <t>SAMP-040</t>
  </si>
  <si>
    <t>SAMP-041</t>
  </si>
  <si>
    <t>SAMP-042</t>
  </si>
  <si>
    <t>SAMP-043</t>
  </si>
  <si>
    <t>SAMP-044</t>
  </si>
  <si>
    <t>SAMP-045</t>
  </si>
  <si>
    <t>SAMP-046</t>
  </si>
  <si>
    <t>SAMP-047</t>
  </si>
  <si>
    <t>SAMP-048</t>
  </si>
  <si>
    <t>SAMP-049</t>
  </si>
  <si>
    <t>SAMP-050</t>
  </si>
  <si>
    <t>SAMP-051</t>
  </si>
  <si>
    <t>SAMP-052</t>
  </si>
  <si>
    <t>SAMP-053</t>
  </si>
  <si>
    <t>SAMP-054</t>
  </si>
  <si>
    <t>SAMP-055</t>
  </si>
  <si>
    <t>SAMP-056</t>
  </si>
  <si>
    <t>SAMP-057</t>
  </si>
  <si>
    <t>SAMP-058</t>
  </si>
  <si>
    <t>SAMP-059</t>
  </si>
  <si>
    <t>SAMP-060</t>
  </si>
  <si>
    <t>Enrollment Data — SIMULATED SAMPLE RECORDS</t>
  </si>
  <si>
    <t>Enrollment_ID</t>
  </si>
  <si>
    <t>Course_ID</t>
  </si>
  <si>
    <t>Course_Name</t>
  </si>
  <si>
    <t>Enrollment_Date</t>
  </si>
  <si>
    <t>Enrollment_Month</t>
  </si>
  <si>
    <t>Enrollment_Status</t>
  </si>
  <si>
    <t>Completion_Date</t>
  </si>
  <si>
    <t>Assessment_Score_%</t>
  </si>
  <si>
    <t>Participation_Count</t>
  </si>
  <si>
    <t>Last_Activity_Date</t>
  </si>
  <si>
    <t>ENR-0001</t>
  </si>
  <si>
    <t>ENR-0002</t>
  </si>
  <si>
    <t>ENR-0003</t>
  </si>
  <si>
    <t>ENR-0004</t>
  </si>
  <si>
    <t>ENR-0005</t>
  </si>
  <si>
    <t>ENR-0006</t>
  </si>
  <si>
    <t>ENR-0007</t>
  </si>
  <si>
    <t>ENR-0008</t>
  </si>
  <si>
    <t>ENR-0009</t>
  </si>
  <si>
    <t>ENR-0010</t>
  </si>
  <si>
    <t>ENR-0011</t>
  </si>
  <si>
    <t>ENR-0012</t>
  </si>
  <si>
    <t>ENR-0013</t>
  </si>
  <si>
    <t>ENR-0014</t>
  </si>
  <si>
    <t>ENR-0015</t>
  </si>
  <si>
    <t>ENR-0016</t>
  </si>
  <si>
    <t>ENR-0017</t>
  </si>
  <si>
    <t>ENR-0018</t>
  </si>
  <si>
    <t>ENR-0019</t>
  </si>
  <si>
    <t>ENR-0020</t>
  </si>
  <si>
    <t>ENR-0021</t>
  </si>
  <si>
    <t>ENR-0022</t>
  </si>
  <si>
    <t>ENR-0023</t>
  </si>
  <si>
    <t>ENR-0024</t>
  </si>
  <si>
    <t>ENR-0025</t>
  </si>
  <si>
    <t>ENR-0026</t>
  </si>
  <si>
    <t>ENR-0027</t>
  </si>
  <si>
    <t>ENR-0028</t>
  </si>
  <si>
    <t>ENR-0029</t>
  </si>
  <si>
    <t>ENR-0030</t>
  </si>
  <si>
    <t>ENR-0031</t>
  </si>
  <si>
    <t>ENR-0032</t>
  </si>
  <si>
    <t>ENR-0033</t>
  </si>
  <si>
    <t>ENR-0034</t>
  </si>
  <si>
    <t>ENR-0035</t>
  </si>
  <si>
    <t>ENR-0036</t>
  </si>
  <si>
    <t>ENR-0037</t>
  </si>
  <si>
    <t>ENR-0038</t>
  </si>
  <si>
    <t>ENR-0039</t>
  </si>
  <si>
    <t>ENR-0040</t>
  </si>
  <si>
    <t>ENR-0041</t>
  </si>
  <si>
    <t>ENR-0042</t>
  </si>
  <si>
    <t>ENR-0043</t>
  </si>
  <si>
    <t>ENR-0044</t>
  </si>
  <si>
    <t>ENR-0045</t>
  </si>
  <si>
    <t>ENR-0046</t>
  </si>
  <si>
    <t>ENR-0047</t>
  </si>
  <si>
    <t>ENR-0048</t>
  </si>
  <si>
    <t>ENR-0049</t>
  </si>
  <si>
    <t>ENR-0050</t>
  </si>
  <si>
    <t>ENR-0051</t>
  </si>
  <si>
    <t>ENR-0052</t>
  </si>
  <si>
    <t>ENR-0053</t>
  </si>
  <si>
    <t>ENR-0054</t>
  </si>
  <si>
    <t>ENR-0055</t>
  </si>
  <si>
    <t>ENR-0056</t>
  </si>
  <si>
    <t>ENR-0057</t>
  </si>
  <si>
    <t>ENR-0058</t>
  </si>
  <si>
    <t>ENR-0059</t>
  </si>
  <si>
    <t>ENR-0060</t>
  </si>
  <si>
    <t>ENR-0061</t>
  </si>
  <si>
    <t>ENR-0062</t>
  </si>
  <si>
    <t>ENR-0063</t>
  </si>
  <si>
    <t>ENR-0064</t>
  </si>
  <si>
    <t>ENR-0065</t>
  </si>
  <si>
    <t>ENR-0066</t>
  </si>
  <si>
    <t>ENR-0067</t>
  </si>
  <si>
    <t>ENR-0068</t>
  </si>
  <si>
    <t>ENR-0069</t>
  </si>
  <si>
    <t>ENR-0070</t>
  </si>
  <si>
    <t>ENR-0071</t>
  </si>
  <si>
    <t>ENR-0072</t>
  </si>
  <si>
    <t>ENR-0073</t>
  </si>
  <si>
    <t>ENR-0074</t>
  </si>
  <si>
    <t>ENR-0075</t>
  </si>
  <si>
    <t>ENR-0076</t>
  </si>
  <si>
    <t>ENR-0077</t>
  </si>
  <si>
    <t>ENR-0078</t>
  </si>
  <si>
    <t>ENR-0079</t>
  </si>
  <si>
    <t>ENR-0080</t>
  </si>
  <si>
    <t>ENR-0081</t>
  </si>
  <si>
    <t>ENR-0082</t>
  </si>
  <si>
    <t>ENR-0083</t>
  </si>
  <si>
    <t>ENR-0084</t>
  </si>
  <si>
    <t>ENR-0085</t>
  </si>
  <si>
    <t>ENR-0086</t>
  </si>
  <si>
    <t>ENR-0087</t>
  </si>
  <si>
    <t>ENR-0088</t>
  </si>
  <si>
    <t>ENR-0089</t>
  </si>
  <si>
    <t>ENR-0090</t>
  </si>
  <si>
    <t>ENR-0091</t>
  </si>
  <si>
    <t>ENR-0092</t>
  </si>
  <si>
    <t>ENR-0093</t>
  </si>
  <si>
    <t>ENR-0094</t>
  </si>
  <si>
    <t>ENR-0095</t>
  </si>
  <si>
    <t>ENR-0096</t>
  </si>
  <si>
    <t>ENR-0097</t>
  </si>
  <si>
    <t>ENR-0098</t>
  </si>
  <si>
    <t>ENR-0099</t>
  </si>
  <si>
    <t>ENR-0100</t>
  </si>
  <si>
    <t>ENR-0101</t>
  </si>
  <si>
    <t>ENR-0102</t>
  </si>
  <si>
    <t>ENR-0103</t>
  </si>
  <si>
    <t>ENR-0104</t>
  </si>
  <si>
    <t>CDaX Course Master — catalog values from supplied source file</t>
  </si>
  <si>
    <t>Category</t>
  </si>
  <si>
    <t>Instructor</t>
  </si>
  <si>
    <t>Level</t>
  </si>
  <si>
    <t>Programming</t>
  </si>
  <si>
    <t>Dr. Rajesh Verma</t>
  </si>
  <si>
    <t>Intermediate</t>
  </si>
  <si>
    <t>Actual catalog field from CDaX PowerBI Data 11.xlsx</t>
  </si>
  <si>
    <t>Prof. Anjali Desai</t>
  </si>
  <si>
    <t>Beginner</t>
  </si>
  <si>
    <t>Mobile Development</t>
  </si>
  <si>
    <t>Computer Science</t>
  </si>
  <si>
    <t>Advanced</t>
  </si>
  <si>
    <t>Web Development</t>
  </si>
  <si>
    <t>Monthly Enrollment and Registration Trends — simulated sample data</t>
  </si>
  <si>
    <t>New Registrations</t>
  </si>
  <si>
    <t>Completed Enrollments</t>
  </si>
  <si>
    <t>Course Improvement Recommendations</t>
  </si>
  <si>
    <t>Signal</t>
  </si>
  <si>
    <t>Rule / Evidence</t>
  </si>
  <si>
    <t>Potential interpretation</t>
  </si>
  <si>
    <t>Recommended action</t>
  </si>
  <si>
    <t>Caution</t>
  </si>
  <si>
    <t>High enrollment + low completion</t>
  </si>
  <si>
    <t>Enrollment count at/above course median and completion rate below 40%</t>
  </si>
  <si>
    <t>Possible course friction or learner support gap; sample data cannot establish cause</t>
  </si>
  <si>
    <t>Review module-level drop-off, course structure, class support, and student feedback</t>
  </si>
  <si>
    <t>Threshold is an illustrative rule, not a validated CDaX standard</t>
  </si>
  <si>
    <t>Low assessment score</t>
  </si>
  <si>
    <t>Average assessment score below 50%</t>
  </si>
  <si>
    <t>May indicate difficult content, unclear instruction, or assessment mismatch</t>
  </si>
  <si>
    <t>Review question quality, learning objectives, explanations, and module prerequisites</t>
  </si>
  <si>
    <t>Do not infer cause from score alone</t>
  </si>
  <si>
    <t>High discontinued share</t>
  </si>
  <si>
    <t>Discontinued enrollments / course enrollments above 25%</t>
  </si>
  <si>
    <t>Potential engagement or completion barrier</t>
  </si>
  <si>
    <t>Review last activity, course length, onboarding, and support response times</t>
  </si>
  <si>
    <t>Discontinued status is simulated for demonstration</t>
  </si>
  <si>
    <t>No recent activity</t>
  </si>
  <si>
    <t>Last learning activity more than 30 days before sample cutoff, or missing activity</t>
  </si>
  <si>
    <t>Possible disengagement; validate actual event logs</t>
  </si>
  <si>
    <t>Test a re-engagement message and offer mentor support</t>
  </si>
  <si>
    <t>Activity cutoff and data are simulated</t>
  </si>
  <si>
    <t>Low enrollment</t>
  </si>
  <si>
    <t>Course enrollments below portfolio median</t>
  </si>
  <si>
    <t>Could reflect low visibility, demand, or small sample</t>
  </si>
  <si>
    <t>Compare discovery page views, favorites, conversion, and course positioning</t>
  </si>
  <si>
    <t>Catalog popularity counts are source fields, not same as this sample enrollment count</t>
  </si>
  <si>
    <t>Assessment data gap</t>
  </si>
  <si>
    <t>Actual assessment response records not included in supplied sample workbook</t>
  </si>
  <si>
    <t>Cannot calculate actual academic performance from current source alone</t>
  </si>
  <si>
    <t>Connect assessment attempts, marks, question-level results and pass status</t>
  </si>
  <si>
    <t>Sample score column is simulated and must be replaced before real reporting</t>
  </si>
  <si>
    <t>Source Data, Assumptions &amp; Usage Notes</t>
  </si>
  <si>
    <t>Area</t>
  </si>
  <si>
    <t>Source / Assumption</t>
  </si>
  <si>
    <t>How used</t>
  </si>
  <si>
    <t>Important limitation</t>
  </si>
  <si>
    <t>Course catalog</t>
  </si>
  <si>
    <t>Actual source: CDaX PowerBI Data 11.xlsx → Courses (7 course records)</t>
  </si>
  <si>
    <t>Course IDs, titles, categories, instructors and levels copied into Course_Master</t>
  </si>
  <si>
    <t>Source catalog includes published/course metadata and a catalog enrolled_students field; that field is not used as student-level enrollments in this dashboard</t>
  </si>
  <si>
    <t>User records</t>
  </si>
  <si>
    <t>Actual source contains 3 user rows in Users</t>
  </si>
  <si>
    <t>Reviewed as source context only; sample dashboard uses simulated student records to make filters/charts demonstrable</t>
  </si>
  <si>
    <t>Actual source is too small for robust trends</t>
  </si>
  <si>
    <t>Purchases</t>
  </si>
  <si>
    <t>Actual source contains 5 populated purchase rows with user/course/date fields</t>
  </si>
  <si>
    <t>Used as evidence that transaction data exists, but not directly treated as enrollment lifecycle status</t>
  </si>
  <si>
    <t>Purchase rows do not establish course completion or assessment score</t>
  </si>
  <si>
    <t>Learning activity</t>
  </si>
  <si>
    <t>Actual source has 4 populated Video_Progress rows in the reviewed workbook</t>
  </si>
  <si>
    <t>Shows limited activity events exist</t>
  </si>
  <si>
    <t>Not enough to infer portfolio-wide monthly activity; no universal activity definition in source</t>
  </si>
  <si>
    <t>Student_Data</t>
  </si>
  <si>
    <t>60 simulated student records, registration dates Jan–Jun 2026</t>
  </si>
  <si>
    <t>Demonstrates monthly registration and active/inactive filters</t>
  </si>
  <si>
    <t>All SAMP IDs and activity status are simulated; replace with actual student-level records</t>
  </si>
  <si>
    <t>Enrollment_Data</t>
  </si>
  <si>
    <t>Simulated enrollments linked to actual catalog course IDs and titles</t>
  </si>
  <si>
    <t>Demonstrates status, completion, score, and participation analysis</t>
  </si>
  <si>
    <t>Enrollment dates/statuses/scores are invented sample values, not actual CDaX outcomes</t>
  </si>
  <si>
    <t>Active definition</t>
  </si>
  <si>
    <t>Illustrative: account active/inactive and last learning activity within 30 days are separate measures</t>
  </si>
  <si>
    <t>Account status used in active/inactive KPI; recent activity KPI uses last activity</t>
  </si>
  <si>
    <t>Change threshold/definition to match CDaX event tracking rules</t>
  </si>
  <si>
    <t>Completion rate</t>
  </si>
  <si>
    <t>Completed enrollments divided by all enrollments in the selected filter</t>
  </si>
  <si>
    <t>Used for KPI and course comparison</t>
  </si>
  <si>
    <t>Status is simulated until actual completion events/status are available</t>
  </si>
  <si>
    <t>Assessment score</t>
  </si>
  <si>
    <t>Average of nonblank simulated enrollment assessment scores</t>
  </si>
  <si>
    <t>Used for demonstration of performance analysis</t>
  </si>
  <si>
    <t>Actual assessment attempts/scores are not in the supplied sample workbook; do not present simulated score as real academic performance</t>
  </si>
  <si>
    <t>Dashboard filters</t>
  </si>
  <si>
    <t>Dashboard cells E2 (Course) and H2 (Month) have dropdowns</t>
  </si>
  <si>
    <t>KPI cards and course table respond to month and course selection where relevant</t>
  </si>
  <si>
    <t>Course-wise table/chart summarizes each course for selected month; student registration KPI is filtered by registration month</t>
  </si>
  <si>
    <t>Refresh/update</t>
  </si>
  <si>
    <t>Replace or append rows in the data tables, preserving headers and formula ranges</t>
  </si>
  <si>
    <t>Dashboard formulas recalculate in Excel</t>
  </si>
  <si>
    <t>Formula ranges currently cover rows 4–2000; extend formulas/ranges if exceeding that size</t>
  </si>
  <si>
    <t>Suggested next integration</t>
  </si>
  <si>
    <t>Users, Purchases, Video_Progress, User_Streaks, assessment attempts/results, enrollment/completion events</t>
  </si>
  <si>
    <t>Map stable user_id, course_id and timestamps; define active, discontinued and completion status</t>
  </si>
  <si>
    <t>Keep sample data separate from production data and remove/clearly flag sample records before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</si>
</sst>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0.0"/>
    <numFmt numFmtId="166" formatCode="0.0%"/>
    <numFmt numFmtId="167" formatCode="0.0&quot;%&quot;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  <family val="2"/>
    </font>
    <font>
      <b/>
      <sz val="11"/>
      <color rgb="FFFFFFFF"/>
      <name val="Calibri"/>
      <family val="2"/>
    </font>
    <font>
      <b/>
      <sz val="11"/>
      <color rgb="FF17365D"/>
      <name val="Calibri"/>
      <family val="2"/>
    </font>
    <font>
      <b/>
      <sz val="11"/>
      <color rgb="FFC00000"/>
      <name val="Calibri"/>
      <family val="2"/>
    </font>
    <font>
      <b/>
      <sz val="10"/>
      <color rgb="FFFFFFFF"/>
      <name val="Calibri"/>
      <family val="2"/>
    </font>
    <font>
      <b/>
      <sz val="17"/>
      <color rgb="FF17365D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6B78"/>
      </patternFill>
    </fill>
    <fill>
      <patternFill patternType="solid">
        <fgColor rgb="FFEAF3F8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hair">
        <color rgb="FFE2EA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4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0" fillId="4" borderId="0" xfId="0" applyFill="1" applyAlignment="1">
      <alignment vertical="top"/>
    </xf>
    <xf numFmtId="0" fontId="0" fillId="0" borderId="0" xfId="0" applyAlignment="1">
      <alignment vertical="top"/>
    </xf>
    <xf numFmtId="0" fontId="2" fillId="3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2" fillId="3" borderId="1" xfId="0" applyFont="1" applyFill="1" applyBorder="1" applyAlignment="1">
      <alignment vertical="center" wrapText="1"/>
    </xf>
    <xf numFmtId="164" fontId="0" fillId="0" borderId="2" xfId="0" applyNumberFormat="1" applyBorder="1" applyAlignment="1">
      <alignment vertical="top"/>
    </xf>
    <xf numFmtId="164" fontId="0" fillId="0" borderId="0" xfId="0" applyNumberFormat="1"/>
    <xf numFmtId="165" fontId="0" fillId="0" borderId="2" xfId="0" applyNumberFormat="1" applyBorder="1" applyAlignment="1">
      <alignment vertical="top"/>
    </xf>
    <xf numFmtId="165" fontId="0" fillId="0" borderId="0" xfId="0" applyNumberFormat="1"/>
    <xf numFmtId="0" fontId="0" fillId="0" borderId="3" xfId="0" applyBorder="1" applyAlignment="1">
      <alignment vertical="top"/>
    </xf>
    <xf numFmtId="164" fontId="0" fillId="0" borderId="3" xfId="0" applyNumberFormat="1" applyBorder="1" applyAlignment="1">
      <alignment vertical="top"/>
    </xf>
    <xf numFmtId="164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top"/>
    </xf>
    <xf numFmtId="167" fontId="0" fillId="0" borderId="3" xfId="0" applyNumberFormat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9" xfId="0" applyBorder="1" applyAlignment="1">
      <alignment vertical="top"/>
    </xf>
    <xf numFmtId="164" fontId="0" fillId="0" borderId="10" xfId="0" applyNumberFormat="1" applyBorder="1" applyAlignment="1">
      <alignment vertical="top"/>
    </xf>
    <xf numFmtId="0" fontId="2" fillId="0" borderId="2" xfId="0" applyFont="1" applyBorder="1" applyAlignment="1">
      <alignment vertical="top"/>
    </xf>
    <xf numFmtId="166" fontId="0" fillId="0" borderId="2" xfId="0" applyNumberFormat="1" applyBorder="1" applyAlignment="1">
      <alignment vertical="top"/>
    </xf>
    <xf numFmtId="167" fontId="0" fillId="0" borderId="2" xfId="0" applyNumberFormat="1" applyBorder="1" applyAlignment="1">
      <alignment vertical="top"/>
    </xf>
    <xf numFmtId="166" fontId="0" fillId="0" borderId="0" xfId="0" applyNumberFormat="1" applyAlignment="1">
      <alignment vertical="top"/>
    </xf>
    <xf numFmtId="167" fontId="0" fillId="0" borderId="0" xfId="0" applyNumberFormat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top"/>
    </xf>
    <xf numFmtId="0" fontId="1" fillId="2" borderId="0" xfId="0" applyFont="1" applyFill="1" applyAlignment="1">
      <alignment vertical="center"/>
    </xf>
    <xf numFmtId="0" fontId="0" fillId="0" borderId="0" xfId="0"/>
    <xf numFmtId="0" fontId="6" fillId="6" borderId="2" xfId="0" applyFont="1" applyFill="1" applyBorder="1" applyAlignment="1">
      <alignment vertical="top"/>
    </xf>
    <xf numFmtId="0" fontId="5" fillId="5" borderId="2" xfId="0" applyFont="1" applyFill="1" applyBorder="1" applyAlignment="1">
      <alignment vertical="top"/>
    </xf>
    <xf numFmtId="167" fontId="6" fillId="6" borderId="2" xfId="0" applyNumberFormat="1" applyFont="1" applyFill="1" applyBorder="1" applyAlignment="1">
      <alignment vertical="top"/>
    </xf>
    <xf numFmtId="166" fontId="6" fillId="6" borderId="2" xfId="0" applyNumberFormat="1" applyFont="1" applyFill="1" applyBorder="1" applyAlignment="1">
      <alignment vertical="top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64"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\-mmm\-yyyy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\-mmm\-yyyy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hair">
          <color rgb="FFE2EAF2"/>
        </bottom>
      </border>
    </dxf>
    <dxf>
      <numFmt numFmtId="167" formatCode="0.0&quot;%&quot;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hair">
          <color rgb="FFE2EAF2"/>
        </bottom>
      </border>
    </dxf>
    <dxf>
      <numFmt numFmtId="166" formatCode="0.0%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hair">
          <color rgb="FFE2EAF2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hair">
          <color rgb="FFE2EAF2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hair">
          <color rgb="FFE2EAF2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hair">
          <color rgb="FFE2EAF2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hair">
          <color rgb="FFE2EAF2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hair">
          <color rgb="FFE2EAF2"/>
        </bottom>
      </border>
    </dxf>
    <dxf>
      <border outline="0">
        <bottom style="hair">
          <color rgb="FFE2EAF2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border outline="0">
        <bottom style="hair">
          <color rgb="FFE2EA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&quot;%&quot;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Enrollments by Course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Dashboard!$B$11</c:f>
              <c:strCache>
                <c:ptCount val="1"/>
                <c:pt idx="0">
                  <c:v>Enrollments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Dashboard!$A$12:$A$18</c:f>
              <c:strCache>
                <c:ptCount val="7"/>
                <c:pt idx="0">
                  <c:v>Complete Java Programming</c:v>
                </c:pt>
                <c:pt idx="1">
                  <c:v>Python Programming Mastery</c:v>
                </c:pt>
                <c:pt idx="2">
                  <c:v>Flutter Mobile Development</c:v>
                </c:pt>
                <c:pt idx="3">
                  <c:v>C/C++ Programming Course</c:v>
                </c:pt>
                <c:pt idx="4">
                  <c:v>C# .NET Development</c:v>
                </c:pt>
                <c:pt idx="5">
                  <c:v>Data Structures &amp; Algorithms</c:v>
                </c:pt>
                <c:pt idx="6">
                  <c:v>React Web Development</c:v>
                </c:pt>
              </c:strCache>
            </c:strRef>
          </c:cat>
          <c:val>
            <c:numRef>
              <c:f>Dashboard!$B$12:$B$18</c:f>
              <c:numCache>
                <c:formatCode>General</c:formatCode>
                <c:ptCount val="7"/>
                <c:pt idx="0">
                  <c:v>12</c:v>
                </c:pt>
                <c:pt idx="1">
                  <c:v>20</c:v>
                </c:pt>
                <c:pt idx="2">
                  <c:v>18</c:v>
                </c:pt>
                <c:pt idx="3">
                  <c:v>13</c:v>
                </c:pt>
                <c:pt idx="4">
                  <c:v>12</c:v>
                </c:pt>
                <c:pt idx="5">
                  <c:v>17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1-49B9-9A70-EE448845A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Enrollments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Course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Monthly New Registrations vs Enrollments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Monthly_Trends!$B$3</c:f>
              <c:strCache>
                <c:ptCount val="1"/>
                <c:pt idx="0">
                  <c:v>New Registrations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Monthly_Trends!$A$4:$A$9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Monthly_Trends!$B$4:$B$9</c:f>
              <c:numCache>
                <c:formatCode>General</c:formatCode>
                <c:ptCount val="6"/>
                <c:pt idx="0">
                  <c:v>11</c:v>
                </c:pt>
                <c:pt idx="1">
                  <c:v>14</c:v>
                </c:pt>
                <c:pt idx="2">
                  <c:v>4</c:v>
                </c:pt>
                <c:pt idx="3">
                  <c:v>10</c:v>
                </c:pt>
                <c:pt idx="4">
                  <c:v>11</c:v>
                </c:pt>
                <c:pt idx="5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89-472D-BA46-67D3E160B9F0}"/>
            </c:ext>
          </c:extLst>
        </c:ser>
        <c:ser>
          <c:idx val="1"/>
          <c:order val="1"/>
          <c:tx>
            <c:strRef>
              <c:f>Monthly_Trends!$C$3</c:f>
              <c:strCache>
                <c:ptCount val="1"/>
                <c:pt idx="0">
                  <c:v>Course Enrollments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Monthly_Trends!$A$4:$A$9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Monthly_Trends!$C$4:$C$9</c:f>
              <c:numCache>
                <c:formatCode>General</c:formatCode>
                <c:ptCount val="6"/>
                <c:pt idx="0">
                  <c:v>3</c:v>
                </c:pt>
                <c:pt idx="1">
                  <c:v>7</c:v>
                </c:pt>
                <c:pt idx="2">
                  <c:v>7</c:v>
                </c:pt>
                <c:pt idx="3">
                  <c:v>15</c:v>
                </c:pt>
                <c:pt idx="4">
                  <c:v>22</c:v>
                </c:pt>
                <c:pt idx="5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89-472D-BA46-67D3E160B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510540</xdr:colOff>
      <xdr:row>19</xdr:row>
      <xdr:rowOff>7620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266700</xdr:colOff>
      <xdr:row>19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B957D8-FBAD-4304-A1CF-7D76B581BEAC}" name="Table5" displayName="Table5" ref="A11:H18" totalsRowShown="0" headerRowDxfId="52" dataDxfId="50" headerRowBorderDxfId="51" tableBorderDxfId="49">
  <autoFilter ref="A11:H18" xr:uid="{A5B957D8-FBAD-4304-A1CF-7D76B581BEAC}"/>
  <tableColumns count="8">
    <tableColumn id="1" xr3:uid="{838DF564-0431-4945-8DB3-ECEC567CC571}" name="Course" dataDxfId="48"/>
    <tableColumn id="2" xr3:uid="{379DAD33-16E5-4B16-A94D-49749B2F1E88}" name="Enrollments" dataDxfId="47">
      <calculatedColumnFormula>COUNTIFS(Enrollment_Data!$D$4:$D$2000,$A12,Enrollment_Data!$F$4:$F$2000,IF($H$2="All","*",$H$2))</calculatedColumnFormula>
    </tableColumn>
    <tableColumn id="3" xr3:uid="{49962188-1AAF-4EC8-9651-179EA11E775A}" name="Completed" dataDxfId="46">
      <calculatedColumnFormula>COUNTIFS(Enrollment_Data!$D$4:$D$2000,$A12,Enrollment_Data!$G$4:$G$2000,"Completed",Enrollment_Data!$F$4:$F$2000,IF($H$2="All","*",$H$2))</calculatedColumnFormula>
    </tableColumn>
    <tableColumn id="4" xr3:uid="{785DCB61-A059-49A9-BBFD-F37FF28F7042}" name="Ongoing" dataDxfId="45">
      <calculatedColumnFormula>COUNTIFS(Enrollment_Data!$D$4:$D$2000,$A12,Enrollment_Data!$G$4:$G$2000,"Ongoing",Enrollment_Data!$F$4:$F$2000,IF($H$2="All","*",$H$2))</calculatedColumnFormula>
    </tableColumn>
    <tableColumn id="5" xr3:uid="{AD49DD85-0BAE-4AC3-9B4A-3E922DF270DE}" name="Discontinued" dataDxfId="44">
      <calculatedColumnFormula>COUNTIFS(Enrollment_Data!$D$4:$D$2000,$A12,Enrollment_Data!$G$4:$G$2000,"Discontinued",Enrollment_Data!$F$4:$F$2000,IF($H$2="All","*",$H$2))</calculatedColumnFormula>
    </tableColumn>
    <tableColumn id="6" xr3:uid="{6FF5DE26-AAEC-491F-BE9C-C5584472A355}" name="Completion Rate" dataDxfId="43">
      <calculatedColumnFormula>IFERROR(C12/B12,0)</calculatedColumnFormula>
    </tableColumn>
    <tableColumn id="7" xr3:uid="{3192AE92-1869-459B-A9FD-89A41551E243}" name="Avg Score" dataDxfId="42">
      <calculatedColumnFormula>IFERROR(AVERAGEIFS(Enrollment_Data!$I$4:$I$2000,Enrollment_Data!$D$4:$D$2000,$A12,Enrollment_Data!$F$4:$F$2000,IF($H$2="All","*",$H$2)),0)</calculatedColumnFormula>
    </tableColumn>
    <tableColumn id="8" xr3:uid="{5B766E40-9351-4FC6-A79E-AA2E6079BBD0}" name="Flag" dataDxfId="41">
      <calculatedColumnFormula>IF(AND(B12&gt;=MEDIAN($B$12:$B$18),F12&lt;0.4),"High enrollment / low completion",IF(G12&lt;50,"Performance review","Monitor"))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59B283-B7E3-4C66-A86F-9BC0FCD8F85B}" name="Table4" displayName="Table4" ref="A3:G63" totalsRowShown="0" headerRowDxfId="40" dataDxfId="38" headerRowBorderDxfId="39" tableBorderDxfId="37" totalsRowBorderDxfId="36">
  <autoFilter ref="A3:G63" xr:uid="{00000000-0009-0000-0000-000001000000}"/>
  <tableColumns count="7">
    <tableColumn id="1" xr3:uid="{5F767C54-D1E6-4E9B-A164-C20C355C865F}" name="Student_ID" dataDxfId="35"/>
    <tableColumn id="2" xr3:uid="{5318CE00-E721-45F6-A38C-9632AA5A472E}" name="Registration_Date" dataDxfId="34"/>
    <tableColumn id="3" xr3:uid="{BED31813-1A4D-4614-9A5D-26E5A488C294}" name="Account_Status" dataDxfId="33"/>
    <tableColumn id="4" xr3:uid="{1EEAABDD-2135-462E-A87C-481307993FCE}" name="Last_Learning_Activity" dataDxfId="32"/>
    <tableColumn id="5" xr3:uid="{CD31B909-EDB8-4EF7-A31D-2ABC89D1A1DD}" name="Activity_Status" dataDxfId="31"/>
    <tableColumn id="6" xr3:uid="{FB953A04-9B9C-4A73-9433-A3C79D931B7F}" name="Month" dataDxfId="30"/>
    <tableColumn id="7" xr3:uid="{6EA49A60-7962-4A55-8672-A9C0B0EF74D2}" name="Data_Basis" dataDxfId="29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1CA8-6C98-4922-938D-53E96A85F92F}" name="Table3" displayName="Table3" ref="A3:F10" totalsRowShown="0" headerRowDxfId="28" dataDxfId="26" headerRowBorderDxfId="27" tableBorderDxfId="25" totalsRowBorderDxfId="24">
  <autoFilter ref="A3:F10" xr:uid="{00000000-0009-0000-0000-000003000000}"/>
  <tableColumns count="6">
    <tableColumn id="1" xr3:uid="{3A89D2EF-0D86-41CB-98E9-A1372BA1E982}" name="Course_ID" dataDxfId="23"/>
    <tableColumn id="2" xr3:uid="{9D9ABC2B-6A87-4393-9454-8E8095CEF961}" name="Course_Name" dataDxfId="22"/>
    <tableColumn id="3" xr3:uid="{42C9C3B2-F970-4DBE-8920-3D2518EB65F4}" name="Category" dataDxfId="21"/>
    <tableColumn id="4" xr3:uid="{CC5A7B14-4890-4E20-9D8C-77048B9D0A18}" name="Instructor" dataDxfId="20"/>
    <tableColumn id="5" xr3:uid="{2B3DC775-BA18-4B5A-B9E6-45AE0D31F2CC}" name="Level" dataDxfId="19"/>
    <tableColumn id="6" xr3:uid="{7E14DB47-BE7E-4B75-B50A-F81CFDC8CB24}" name="Data_Basis" dataDxfId="18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DDE113-71A2-4E10-B977-CBD12C4BF0A5}" name="Table1" displayName="Table1" ref="A3:F9" totalsRowShown="0" headerRowDxfId="63" dataDxfId="61" headerRowBorderDxfId="62" tableBorderDxfId="60" totalsRowBorderDxfId="59">
  <autoFilter ref="A3:F9" xr:uid="{C5DDE113-71A2-4E10-B977-CBD12C4BF0A5}"/>
  <tableColumns count="6">
    <tableColumn id="1" xr3:uid="{EA2E6D41-ECFF-409C-A762-A29229A64FEF}" name="Month" dataDxfId="58"/>
    <tableColumn id="2" xr3:uid="{62D05048-5114-4A64-B70D-1E25485B5D10}" name="New Registrations" dataDxfId="57">
      <calculatedColumnFormula>COUNTIF(Student_Data!$F$4:$F$1000,A4)</calculatedColumnFormula>
    </tableColumn>
    <tableColumn id="3" xr3:uid="{83A1A318-838E-491F-B700-DF7D45D09B84}" name="Course Enrollments" dataDxfId="56">
      <calculatedColumnFormula>COUNTIF(Enrollment_Data!$F$4:$F$2000,A4)</calculatedColumnFormula>
    </tableColumn>
    <tableColumn id="4" xr3:uid="{4C63C6D0-480F-467C-B224-B2A80BD464FD}" name="Completed Enrollments" dataDxfId="55">
      <calculatedColumnFormula>COUNTIFS(Enrollment_Data!$F$4:$F$2000,A4,Enrollment_Data!$G$4:$G$2000,"Completed")</calculatedColumnFormula>
    </tableColumn>
    <tableColumn id="5" xr3:uid="{89A0F077-FF5A-4327-886C-E89F2B6589BD}" name="Average Assessment Score" dataDxfId="54">
      <calculatedColumnFormula>IFERROR(AVERAGEIF(Enrollment_Data!$F$4:$F$2000,A4,Enrollment_Data!$I$4:$I$2000),0)</calculatedColumnFormula>
    </tableColumn>
    <tableColumn id="6" xr3:uid="{C52A84E0-DC74-439E-9984-5C1AC42DA31F}" name="Data_Basis" dataDxfId="53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F744E9-AA5F-4F99-A7F4-E7C9F12537F1}" name="Table6" displayName="Table6" ref="A3:E9" totalsRowShown="0" headerRowDxfId="17" dataDxfId="15" headerRowBorderDxfId="16" tableBorderDxfId="14" totalsRowBorderDxfId="13">
  <autoFilter ref="A3:E9" xr:uid="{00000000-0009-0000-0000-000005000000}"/>
  <tableColumns count="5">
    <tableColumn id="1" xr3:uid="{4F81166A-AB96-49DE-9118-A129A8594B4F}" name="Signal" dataDxfId="12"/>
    <tableColumn id="2" xr3:uid="{2D34F93E-10C5-4935-A694-AA5AA63958F6}" name="Rule / Evidence" dataDxfId="11"/>
    <tableColumn id="3" xr3:uid="{59DB5381-B721-41A1-BAA0-324D2C8CFC9A}" name="Potential interpretation" dataDxfId="10"/>
    <tableColumn id="4" xr3:uid="{C1731C16-2367-46D8-BA5C-9153DD7F28CA}" name="Recommended action" dataDxfId="9"/>
    <tableColumn id="5" xr3:uid="{A2CC44E8-8D7D-48BB-BA41-A6FFE6374366}" name="Caution" dataDxfId="8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ECB383-BB19-448D-AF40-8AA3EA6C05B6}" name="Table2" displayName="Table2" ref="A3:D15" totalsRowShown="0" headerRowDxfId="7" headerRowBorderDxfId="6" tableBorderDxfId="5" totalsRowBorderDxfId="4">
  <autoFilter ref="A3:D15" xr:uid="{00000000-0009-0000-0000-000006000000}"/>
  <tableColumns count="4">
    <tableColumn id="1" xr3:uid="{7690B124-EC57-44EC-882A-24E63C31016C}" name="Area" dataDxfId="3"/>
    <tableColumn id="2" xr3:uid="{AF994A0F-BC90-4141-BD68-217C14454E44}" name="Source / Assumption" dataDxfId="2"/>
    <tableColumn id="3" xr3:uid="{57DB50D2-E2DA-476F-9ADD-DA7A221C6197}" name="How used" dataDxfId="1"/>
    <tableColumn id="4" xr3:uid="{30B86976-8732-4874-AF12-74B508E035E1}" name="Important limitation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5"/>
  <sheetViews>
    <sheetView showGridLines="0" tabSelected="1" view="pageBreakPreview" zoomScale="60" zoomScaleNormal="100" workbookViewId="0">
      <pane ySplit="10" topLeftCell="A20" activePane="bottomLeft" state="frozen"/>
      <selection pane="bottomLeft" activeCell="J24" sqref="J24"/>
    </sheetView>
  </sheetViews>
  <sheetFormatPr defaultRowHeight="14.4" x14ac:dyDescent="0.3"/>
  <cols>
    <col min="1" max="1" width="31" customWidth="1"/>
    <col min="2" max="2" width="16" customWidth="1"/>
    <col min="3" max="4" width="14" customWidth="1"/>
    <col min="5" max="5" width="15" customWidth="1"/>
    <col min="6" max="6" width="16.88671875" customWidth="1"/>
    <col min="7" max="7" width="15" customWidth="1"/>
    <col min="8" max="8" width="31" customWidth="1"/>
    <col min="9" max="9" width="3" customWidth="1"/>
    <col min="10" max="10" width="16" customWidth="1"/>
    <col min="11" max="12" width="14" customWidth="1"/>
  </cols>
  <sheetData>
    <row r="1" spans="1:12" ht="31.95" customHeight="1" x14ac:dyDescent="0.3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x14ac:dyDescent="0.3">
      <c r="A2" s="1" t="s">
        <v>1</v>
      </c>
      <c r="B2" s="2" t="s">
        <v>2</v>
      </c>
      <c r="D2" s="3" t="s">
        <v>3</v>
      </c>
      <c r="E2" s="4" t="s">
        <v>4</v>
      </c>
      <c r="G2" s="3" t="s">
        <v>5</v>
      </c>
      <c r="H2" s="4" t="s">
        <v>4</v>
      </c>
    </row>
    <row r="4" spans="1:12" x14ac:dyDescent="0.3">
      <c r="A4" s="57" t="s">
        <v>6</v>
      </c>
      <c r="B4" s="55"/>
      <c r="D4" s="57" t="s">
        <v>7</v>
      </c>
      <c r="E4" s="55"/>
      <c r="G4" s="57" t="s">
        <v>8</v>
      </c>
      <c r="H4" s="55"/>
      <c r="J4" s="57" t="s">
        <v>9</v>
      </c>
      <c r="K4" s="55"/>
    </row>
    <row r="5" spans="1:12" ht="22.2" x14ac:dyDescent="0.3">
      <c r="A5" s="56">
        <f>IF($H$2="All",COUNTA(Student_Data!$A$4:$A$1000),COUNTIF(Student_Data!$F$4:$F$1000,$H$2))</f>
        <v>60</v>
      </c>
      <c r="B5" s="55"/>
      <c r="D5" s="56">
        <f>COUNTIFS(Enrollment_Data!$C$4:$C$2000,IF($E$2="All","&lt;&gt;",INDEX(Course_Master!$A$4:$A$10,MATCH($E$2,Course_Master!$B$4:$B$10,0))),Enrollment_Data!$F$4:$F$2000,IF($H$2="All","*",$H$2))</f>
        <v>104</v>
      </c>
      <c r="E5" s="55"/>
      <c r="G5" s="56">
        <f>COUNTIFS(Student_Data!$C$4:$C$1000,"Active",Student_Data!$F$4:$F$1000,IF($H$2="All","*",$H$2))</f>
        <v>56</v>
      </c>
      <c r="H5" s="55"/>
      <c r="J5" s="56">
        <f>COUNTIFS(Student_Data!$C$4:$C$1000,"Inactive",Student_Data!$F$4:$F$1000,IF($H$2="All","*",$H$2))</f>
        <v>4</v>
      </c>
      <c r="K5" s="55"/>
    </row>
    <row r="7" spans="1:12" x14ac:dyDescent="0.3">
      <c r="A7" s="57" t="s">
        <v>10</v>
      </c>
      <c r="B7" s="55"/>
      <c r="D7" s="57" t="s">
        <v>11</v>
      </c>
      <c r="E7" s="55"/>
      <c r="G7" s="57" t="s">
        <v>12</v>
      </c>
      <c r="H7" s="55"/>
      <c r="J7" s="57" t="s">
        <v>13</v>
      </c>
      <c r="K7" s="55"/>
    </row>
    <row r="8" spans="1:12" ht="22.2" x14ac:dyDescent="0.3">
      <c r="A8" s="59">
        <f>IFERROR(COUNTIFS(Enrollment_Data!$G$4:$G$2000,"Completed",Enrollment_Data!$C$4:$C$2000,IF($E$2="All","&lt;&gt;",INDEX(Course_Master!$A$4:$A$10,MATCH($E$2,Course_Master!$B$4:$B$10,0))),Enrollment_Data!$F$4:$F$2000,IF($H$2="All","*",$H$2))/COUNTIFS(Enrollment_Data!$C$4:$C$2000,IF($E$2="All","&lt;&gt;",INDEX(Course_Master!$A$4:$A$10,MATCH($E$2,Course_Master!$B$4:$B$10,0))),Enrollment_Data!$F$4:$F$2000,IF($H$2="All","*",$H$2)),0)</f>
        <v>8.6538461538461536E-2</v>
      </c>
      <c r="B8" s="55"/>
      <c r="D8" s="58">
        <f>IFERROR(AVERAGEIFS(Enrollment_Data!$I$4:$I$2000,Enrollment_Data!$C$4:$C$2000,IF($E$2="All","&lt;&gt;",INDEX(Course_Master!$A$4:$A$10,MATCH($E$2,Course_Master!$B$4:$B$10,0))),Enrollment_Data!$F$4:$F$2000,IF($H$2="All","*",$H$2)),0)</f>
        <v>70.554794520547929</v>
      </c>
      <c r="E8" s="55"/>
      <c r="G8" s="56">
        <f>COUNTIFS(Enrollment_Data!$G$4:$G$2000,"Ongoing",Enrollment_Data!$C$4:$C$2000,IF($E$2="All","&lt;&gt;",INDEX(Course_Master!$A$4:$A$10,MATCH($E$2,Course_Master!$B$4:$B$10,0))),Enrollment_Data!$F$4:$F$2000,IF($H$2="All","*",$H$2))</f>
        <v>78</v>
      </c>
      <c r="H8" s="55"/>
      <c r="J8" s="56">
        <f>COUNTIF(Student_Data!$E$4:$E$1000,"No Recent Activity")</f>
        <v>45</v>
      </c>
      <c r="K8" s="55"/>
    </row>
    <row r="11" spans="1:12" ht="30" customHeight="1" x14ac:dyDescent="0.3">
      <c r="A11" s="39" t="s">
        <v>14</v>
      </c>
      <c r="B11" s="39" t="s">
        <v>15</v>
      </c>
      <c r="C11" s="39" t="s">
        <v>16</v>
      </c>
      <c r="D11" s="39" t="s">
        <v>17</v>
      </c>
      <c r="E11" s="39" t="s">
        <v>18</v>
      </c>
      <c r="F11" s="39" t="s">
        <v>19</v>
      </c>
      <c r="G11" s="39" t="s">
        <v>20</v>
      </c>
      <c r="H11" s="39" t="s">
        <v>21</v>
      </c>
      <c r="I11" s="39"/>
      <c r="J11" s="39"/>
      <c r="K11" s="39"/>
      <c r="L11" s="39"/>
    </row>
    <row r="12" spans="1:12" x14ac:dyDescent="0.3">
      <c r="A12" s="6" t="s">
        <v>22</v>
      </c>
      <c r="B12" s="6">
        <f>COUNTIFS(Enrollment_Data!$D$4:$D$2000,$A12,Enrollment_Data!$F$4:$F$2000,IF($H$2="All","*",$H$2))</f>
        <v>12</v>
      </c>
      <c r="C12" s="6">
        <f>COUNTIFS(Enrollment_Data!$D$4:$D$2000,$A12,Enrollment_Data!$G$4:$G$2000,"Completed",Enrollment_Data!$F$4:$F$2000,IF($H$2="All","*",$H$2))</f>
        <v>2</v>
      </c>
      <c r="D12" s="6">
        <f>COUNTIFS(Enrollment_Data!$D$4:$D$2000,$A12,Enrollment_Data!$G$4:$G$2000,"Ongoing",Enrollment_Data!$F$4:$F$2000,IF($H$2="All","*",$H$2))</f>
        <v>6</v>
      </c>
      <c r="E12" s="6">
        <f>COUNTIFS(Enrollment_Data!$D$4:$D$2000,$A12,Enrollment_Data!$G$4:$G$2000,"Discontinued",Enrollment_Data!$F$4:$F$2000,IF($H$2="All","*",$H$2))</f>
        <v>4</v>
      </c>
      <c r="F12" s="40">
        <f t="shared" ref="F12:F18" si="0">IFERROR(C12/B12,0)</f>
        <v>0.16666666666666666</v>
      </c>
      <c r="G12" s="41">
        <f>IFERROR(AVERAGEIFS(Enrollment_Data!$I$4:$I$2000,Enrollment_Data!$D$4:$D$2000,$A12,Enrollment_Data!$F$4:$F$2000,IF($H$2="All","*",$H$2)),0)</f>
        <v>66.072727272727278</v>
      </c>
      <c r="H12" s="6" t="str">
        <f t="shared" ref="H12:H18" si="1">IF(AND(B12&gt;=MEDIAN($B$12:$B$18),F12&lt;0.4),"High enrollment / low completion",IF(G12&lt;50,"Performance review","Monitor"))</f>
        <v>Monitor</v>
      </c>
    </row>
    <row r="13" spans="1:12" x14ac:dyDescent="0.3">
      <c r="A13" s="6" t="s">
        <v>23</v>
      </c>
      <c r="B13" s="6">
        <f>COUNTIFS(Enrollment_Data!$D$4:$D$2000,$A13,Enrollment_Data!$F$4:$F$2000,IF($H$2="All","*",$H$2))</f>
        <v>20</v>
      </c>
      <c r="C13" s="6">
        <f>COUNTIFS(Enrollment_Data!$D$4:$D$2000,$A13,Enrollment_Data!$G$4:$G$2000,"Completed",Enrollment_Data!$F$4:$F$2000,IF($H$2="All","*",$H$2))</f>
        <v>1</v>
      </c>
      <c r="D13" s="6">
        <f>COUNTIFS(Enrollment_Data!$D$4:$D$2000,$A13,Enrollment_Data!$G$4:$G$2000,"Ongoing",Enrollment_Data!$F$4:$F$2000,IF($H$2="All","*",$H$2))</f>
        <v>13</v>
      </c>
      <c r="E13" s="6">
        <f>COUNTIFS(Enrollment_Data!$D$4:$D$2000,$A13,Enrollment_Data!$G$4:$G$2000,"Discontinued",Enrollment_Data!$F$4:$F$2000,IF($H$2="All","*",$H$2))</f>
        <v>6</v>
      </c>
      <c r="F13" s="40">
        <f t="shared" si="0"/>
        <v>0.05</v>
      </c>
      <c r="G13" s="41">
        <f>IFERROR(AVERAGEIFS(Enrollment_Data!$I$4:$I$2000,Enrollment_Data!$D$4:$D$2000,$A13,Enrollment_Data!$F$4:$F$2000,IF($H$2="All","*",$H$2)),0)</f>
        <v>71.069230769230771</v>
      </c>
      <c r="H13" s="6" t="str">
        <f t="shared" si="1"/>
        <v>High enrollment / low completion</v>
      </c>
    </row>
    <row r="14" spans="1:12" x14ac:dyDescent="0.3">
      <c r="A14" s="6" t="s">
        <v>24</v>
      </c>
      <c r="B14" s="6">
        <f>COUNTIFS(Enrollment_Data!$D$4:$D$2000,$A14,Enrollment_Data!$F$4:$F$2000,IF($H$2="All","*",$H$2))</f>
        <v>18</v>
      </c>
      <c r="C14" s="6">
        <f>COUNTIFS(Enrollment_Data!$D$4:$D$2000,$A14,Enrollment_Data!$G$4:$G$2000,"Completed",Enrollment_Data!$F$4:$F$2000,IF($H$2="All","*",$H$2))</f>
        <v>1</v>
      </c>
      <c r="D14" s="6">
        <f>COUNTIFS(Enrollment_Data!$D$4:$D$2000,$A14,Enrollment_Data!$G$4:$G$2000,"Ongoing",Enrollment_Data!$F$4:$F$2000,IF($H$2="All","*",$H$2))</f>
        <v>16</v>
      </c>
      <c r="E14" s="6">
        <f>COUNTIFS(Enrollment_Data!$D$4:$D$2000,$A14,Enrollment_Data!$G$4:$G$2000,"Discontinued",Enrollment_Data!$F$4:$F$2000,IF($H$2="All","*",$H$2))</f>
        <v>1</v>
      </c>
      <c r="F14" s="40">
        <f t="shared" si="0"/>
        <v>5.5555555555555552E-2</v>
      </c>
      <c r="G14" s="41">
        <f>IFERROR(AVERAGEIFS(Enrollment_Data!$I$4:$I$2000,Enrollment_Data!$D$4:$D$2000,$A14,Enrollment_Data!$F$4:$F$2000,IF($H$2="All","*",$H$2)),0)</f>
        <v>73.000000000000014</v>
      </c>
      <c r="H14" s="6" t="str">
        <f t="shared" si="1"/>
        <v>High enrollment / low completion</v>
      </c>
    </row>
    <row r="15" spans="1:12" x14ac:dyDescent="0.3">
      <c r="A15" s="6" t="s">
        <v>25</v>
      </c>
      <c r="B15" s="6">
        <f>COUNTIFS(Enrollment_Data!$D$4:$D$2000,$A15,Enrollment_Data!$F$4:$F$2000,IF($H$2="All","*",$H$2))</f>
        <v>13</v>
      </c>
      <c r="C15" s="6">
        <f>COUNTIFS(Enrollment_Data!$D$4:$D$2000,$A15,Enrollment_Data!$G$4:$G$2000,"Completed",Enrollment_Data!$F$4:$F$2000,IF($H$2="All","*",$H$2))</f>
        <v>2</v>
      </c>
      <c r="D15" s="6">
        <f>COUNTIFS(Enrollment_Data!$D$4:$D$2000,$A15,Enrollment_Data!$G$4:$G$2000,"Ongoing",Enrollment_Data!$F$4:$F$2000,IF($H$2="All","*",$H$2))</f>
        <v>10</v>
      </c>
      <c r="E15" s="6">
        <f>COUNTIFS(Enrollment_Data!$D$4:$D$2000,$A15,Enrollment_Data!$G$4:$G$2000,"Discontinued",Enrollment_Data!$F$4:$F$2000,IF($H$2="All","*",$H$2))</f>
        <v>1</v>
      </c>
      <c r="F15" s="40">
        <f t="shared" si="0"/>
        <v>0.15384615384615385</v>
      </c>
      <c r="G15" s="41">
        <f>IFERROR(AVERAGEIFS(Enrollment_Data!$I$4:$I$2000,Enrollment_Data!$D$4:$D$2000,$A15,Enrollment_Data!$F$4:$F$2000,IF($H$2="All","*",$H$2)),0)</f>
        <v>79.22999999999999</v>
      </c>
      <c r="H15" s="6" t="str">
        <f t="shared" si="1"/>
        <v>High enrollment / low completion</v>
      </c>
    </row>
    <row r="16" spans="1:12" x14ac:dyDescent="0.3">
      <c r="A16" s="6" t="s">
        <v>26</v>
      </c>
      <c r="B16" s="6">
        <f>COUNTIFS(Enrollment_Data!$D$4:$D$2000,$A16,Enrollment_Data!$F$4:$F$2000,IF($H$2="All","*",$H$2))</f>
        <v>12</v>
      </c>
      <c r="C16" s="6">
        <f>COUNTIFS(Enrollment_Data!$D$4:$D$2000,$A16,Enrollment_Data!$G$4:$G$2000,"Completed",Enrollment_Data!$F$4:$F$2000,IF($H$2="All","*",$H$2))</f>
        <v>1</v>
      </c>
      <c r="D16" s="6">
        <f>COUNTIFS(Enrollment_Data!$D$4:$D$2000,$A16,Enrollment_Data!$G$4:$G$2000,"Ongoing",Enrollment_Data!$F$4:$F$2000,IF($H$2="All","*",$H$2))</f>
        <v>10</v>
      </c>
      <c r="E16" s="6">
        <f>COUNTIFS(Enrollment_Data!$D$4:$D$2000,$A16,Enrollment_Data!$G$4:$G$2000,"Discontinued",Enrollment_Data!$F$4:$F$2000,IF($H$2="All","*",$H$2))</f>
        <v>1</v>
      </c>
      <c r="F16" s="40">
        <f t="shared" si="0"/>
        <v>8.3333333333333329E-2</v>
      </c>
      <c r="G16" s="41">
        <f>IFERROR(AVERAGEIFS(Enrollment_Data!$I$4:$I$2000,Enrollment_Data!$D$4:$D$2000,$A16,Enrollment_Data!$F$4:$F$2000,IF($H$2="All","*",$H$2)),0)</f>
        <v>70.699999999999989</v>
      </c>
      <c r="H16" s="6" t="str">
        <f t="shared" si="1"/>
        <v>Monitor</v>
      </c>
    </row>
    <row r="17" spans="1:12" x14ac:dyDescent="0.3">
      <c r="A17" s="6" t="s">
        <v>27</v>
      </c>
      <c r="B17" s="6">
        <f>COUNTIFS(Enrollment_Data!$D$4:$D$2000,$A17,Enrollment_Data!$F$4:$F$2000,IF($H$2="All","*",$H$2))</f>
        <v>17</v>
      </c>
      <c r="C17" s="6">
        <f>COUNTIFS(Enrollment_Data!$D$4:$D$2000,$A17,Enrollment_Data!$G$4:$G$2000,"Completed",Enrollment_Data!$F$4:$F$2000,IF($H$2="All","*",$H$2))</f>
        <v>1</v>
      </c>
      <c r="D17" s="6">
        <f>COUNTIFS(Enrollment_Data!$D$4:$D$2000,$A17,Enrollment_Data!$G$4:$G$2000,"Ongoing",Enrollment_Data!$F$4:$F$2000,IF($H$2="All","*",$H$2))</f>
        <v>14</v>
      </c>
      <c r="E17" s="6">
        <f>COUNTIFS(Enrollment_Data!$D$4:$D$2000,$A17,Enrollment_Data!$G$4:$G$2000,"Discontinued",Enrollment_Data!$F$4:$F$2000,IF($H$2="All","*",$H$2))</f>
        <v>2</v>
      </c>
      <c r="F17" s="40">
        <f t="shared" si="0"/>
        <v>5.8823529411764705E-2</v>
      </c>
      <c r="G17" s="41">
        <f>IFERROR(AVERAGEIFS(Enrollment_Data!$I$4:$I$2000,Enrollment_Data!$D$4:$D$2000,$A17,Enrollment_Data!$F$4:$F$2000,IF($H$2="All","*",$H$2)),0)</f>
        <v>62.483333333333327</v>
      </c>
      <c r="H17" s="6" t="str">
        <f t="shared" si="1"/>
        <v>High enrollment / low completion</v>
      </c>
    </row>
    <row r="18" spans="1:12" x14ac:dyDescent="0.3">
      <c r="A18" s="4" t="s">
        <v>28</v>
      </c>
      <c r="B18" s="4">
        <f>COUNTIFS(Enrollment_Data!$D$4:$D$2000,$A18,Enrollment_Data!$F$4:$F$2000,IF($H$2="All","*",$H$2))</f>
        <v>12</v>
      </c>
      <c r="C18" s="4">
        <f>COUNTIFS(Enrollment_Data!$D$4:$D$2000,$A18,Enrollment_Data!$G$4:$G$2000,"Completed",Enrollment_Data!$F$4:$F$2000,IF($H$2="All","*",$H$2))</f>
        <v>1</v>
      </c>
      <c r="D18" s="4">
        <f>COUNTIFS(Enrollment_Data!$D$4:$D$2000,$A18,Enrollment_Data!$G$4:$G$2000,"Ongoing",Enrollment_Data!$F$4:$F$2000,IF($H$2="All","*",$H$2))</f>
        <v>9</v>
      </c>
      <c r="E18" s="4">
        <f>COUNTIFS(Enrollment_Data!$D$4:$D$2000,$A18,Enrollment_Data!$G$4:$G$2000,"Discontinued",Enrollment_Data!$F$4:$F$2000,IF($H$2="All","*",$H$2))</f>
        <v>2</v>
      </c>
      <c r="F18" s="42">
        <f t="shared" si="0"/>
        <v>8.3333333333333329E-2</v>
      </c>
      <c r="G18" s="43">
        <f>IFERROR(AVERAGEIFS(Enrollment_Data!$I$4:$I$2000,Enrollment_Data!$D$4:$D$2000,$A18,Enrollment_Data!$F$4:$F$2000,IF($H$2="All","*",$H$2)),0)</f>
        <v>74.02000000000001</v>
      </c>
      <c r="H18" s="4" t="str">
        <f t="shared" si="1"/>
        <v>Monitor</v>
      </c>
    </row>
    <row r="21" spans="1:12" ht="30" customHeight="1" x14ac:dyDescent="0.3">
      <c r="A21" s="5" t="s">
        <v>29</v>
      </c>
      <c r="B21" s="5" t="s">
        <v>15</v>
      </c>
      <c r="C21" s="53"/>
      <c r="D21" s="53"/>
      <c r="E21" s="53"/>
      <c r="F21" s="53"/>
      <c r="G21" s="53"/>
      <c r="H21" s="53"/>
      <c r="I21" s="53"/>
      <c r="J21" s="39"/>
      <c r="K21" s="39"/>
      <c r="L21" s="39"/>
    </row>
    <row r="22" spans="1:12" x14ac:dyDescent="0.3">
      <c r="A22" s="6" t="s">
        <v>30</v>
      </c>
      <c r="B22" s="6">
        <f>COUNTIFS(Enrollment_Data!$I$4:$I$2000,"&gt;=0",Enrollment_Data!$I$4:$I$2000,"&lt;=39.999",Enrollment_Data!$C$4:$C$2000,IF($E$2="All","&lt;&gt;",INDEX(Course_Master!$A$4:$A$10,MATCH($E$2,Course_Master!$B$4:$B$10,0))),Enrollment_Data!$F$4:$F$2000,IF($H$2="All","*",$H$2))</f>
        <v>2</v>
      </c>
    </row>
    <row r="23" spans="1:12" x14ac:dyDescent="0.3">
      <c r="A23" s="6" t="s">
        <v>31</v>
      </c>
      <c r="B23" s="6">
        <f>COUNTIFS(Enrollment_Data!$I$4:$I$2000,"&gt;=40",Enrollment_Data!$I$4:$I$2000,"&lt;=59.999",Enrollment_Data!$C$4:$C$2000,IF($E$2="All","&lt;&gt;",INDEX(Course_Master!$A$4:$A$10,MATCH($E$2,Course_Master!$B$4:$B$10,0))),Enrollment_Data!$F$4:$F$2000,IF($H$2="All","*",$H$2))</f>
        <v>17</v>
      </c>
    </row>
    <row r="24" spans="1:12" x14ac:dyDescent="0.3">
      <c r="A24" s="6" t="s">
        <v>32</v>
      </c>
      <c r="B24" s="6">
        <f>COUNTIFS(Enrollment_Data!$I$4:$I$2000,"&gt;=60",Enrollment_Data!$I$4:$I$2000,"&lt;=79.999",Enrollment_Data!$C$4:$C$2000,IF($E$2="All","&lt;&gt;",INDEX(Course_Master!$A$4:$A$10,MATCH($E$2,Course_Master!$B$4:$B$10,0))),Enrollment_Data!$F$4:$F$2000,IF($H$2="All","*",$H$2))</f>
        <v>35</v>
      </c>
    </row>
    <row r="25" spans="1:12" x14ac:dyDescent="0.3">
      <c r="A25" s="6" t="s">
        <v>33</v>
      </c>
      <c r="B25" s="6">
        <f>COUNTIFS(Enrollment_Data!$I$4:$I$2000,"&gt;=80",Enrollment_Data!$I$4:$I$2000,"&lt;=100",Enrollment_Data!$C$4:$C$2000,IF($E$2="All","&lt;&gt;",INDEX(Course_Master!$A$4:$A$10,MATCH($E$2,Course_Master!$B$4:$B$10,0))),Enrollment_Data!$F$4:$F$2000,IF($H$2="All","*",$H$2))</f>
        <v>19</v>
      </c>
    </row>
  </sheetData>
  <mergeCells count="18">
    <mergeCell ref="G8:H8"/>
    <mergeCell ref="A8:B8"/>
    <mergeCell ref="C21:I21"/>
    <mergeCell ref="A1:L1"/>
    <mergeCell ref="D5:E5"/>
    <mergeCell ref="A5:B5"/>
    <mergeCell ref="G5:H5"/>
    <mergeCell ref="J7:K7"/>
    <mergeCell ref="D4:E4"/>
    <mergeCell ref="A4:B4"/>
    <mergeCell ref="G4:H4"/>
    <mergeCell ref="D8:E8"/>
    <mergeCell ref="J4:K4"/>
    <mergeCell ref="D7:E7"/>
    <mergeCell ref="A7:B7"/>
    <mergeCell ref="J5:K5"/>
    <mergeCell ref="G7:H7"/>
    <mergeCell ref="J8:K8"/>
  </mergeCells>
  <conditionalFormatting sqref="F12:F18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dataValidations count="2">
    <dataValidation type="list" sqref="E2" xr:uid="{00000000-0002-0000-0000-000000000000}">
      <formula1>"All,Complete Java Programming,Python Programming Mastery,Flutter Mobile Development,C/C++ Programming Course,C# .NET Development,Data Structures &amp; Algorithms,React Web Development"</formula1>
    </dataValidation>
    <dataValidation type="list" sqref="H2" xr:uid="{00000000-0002-0000-0000-000001000000}">
      <formula1>"All,2026-01,2026-02,2026-03,2026-04,2026-05,2026-06"</formula1>
    </dataValidation>
  </dataValidations>
  <pageMargins left="0.25" right="0.25" top="0.75" bottom="0.75" header="0.3" footer="0.3"/>
  <pageSetup paperSize="9" scale="71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3"/>
  <sheetViews>
    <sheetView showGridLines="0" tabSelected="1" view="pageBreakPreview" zoomScale="60" zoomScaleNormal="100" workbookViewId="0">
      <pane ySplit="3" topLeftCell="A58" activePane="bottomLeft" state="frozen"/>
      <selection activeCell="J24" sqref="J24"/>
      <selection pane="bottomLeft" activeCell="J24" sqref="J24"/>
    </sheetView>
  </sheetViews>
  <sheetFormatPr defaultRowHeight="14.4" x14ac:dyDescent="0.3"/>
  <cols>
    <col min="1" max="1" width="34" customWidth="1"/>
    <col min="2" max="2" width="19" customWidth="1"/>
    <col min="3" max="3" width="16.5546875" bestFit="1" customWidth="1"/>
    <col min="4" max="4" width="24" customWidth="1"/>
    <col min="5" max="5" width="20" customWidth="1"/>
    <col min="6" max="6" width="9" bestFit="1" customWidth="1"/>
    <col min="7" max="7" width="34" customWidth="1"/>
  </cols>
  <sheetData>
    <row r="1" spans="1:7" ht="31.95" customHeight="1" x14ac:dyDescent="0.3">
      <c r="A1" s="51" t="s">
        <v>34</v>
      </c>
      <c r="B1" s="52"/>
      <c r="C1" s="52"/>
      <c r="D1" s="52"/>
      <c r="E1" s="52"/>
      <c r="F1" s="52"/>
      <c r="G1" s="52"/>
    </row>
    <row r="3" spans="1:7" ht="30" customHeight="1" x14ac:dyDescent="0.3">
      <c r="A3" s="30" t="s">
        <v>35</v>
      </c>
      <c r="B3" s="31" t="s">
        <v>36</v>
      </c>
      <c r="C3" s="31" t="s">
        <v>37</v>
      </c>
      <c r="D3" s="31" t="s">
        <v>38</v>
      </c>
      <c r="E3" s="31" t="s">
        <v>39</v>
      </c>
      <c r="F3" s="31" t="s">
        <v>40</v>
      </c>
      <c r="G3" s="32" t="s">
        <v>41</v>
      </c>
    </row>
    <row r="4" spans="1:7" x14ac:dyDescent="0.3">
      <c r="A4" s="36" t="s">
        <v>42</v>
      </c>
      <c r="B4" s="13">
        <v>46177</v>
      </c>
      <c r="C4" s="12" t="s">
        <v>43</v>
      </c>
      <c r="D4" s="13">
        <v>46201</v>
      </c>
      <c r="E4" s="12" t="s">
        <v>43</v>
      </c>
      <c r="F4" s="12" t="s">
        <v>44</v>
      </c>
      <c r="G4" s="33" t="s">
        <v>45</v>
      </c>
    </row>
    <row r="5" spans="1:7" x14ac:dyDescent="0.3">
      <c r="A5" s="36" t="s">
        <v>46</v>
      </c>
      <c r="B5" s="13">
        <v>46177</v>
      </c>
      <c r="C5" s="12" t="s">
        <v>43</v>
      </c>
      <c r="D5" s="14"/>
      <c r="E5" s="12" t="s">
        <v>13</v>
      </c>
      <c r="F5" s="12" t="s">
        <v>44</v>
      </c>
      <c r="G5" s="33" t="s">
        <v>45</v>
      </c>
    </row>
    <row r="6" spans="1:7" x14ac:dyDescent="0.3">
      <c r="A6" s="36" t="s">
        <v>47</v>
      </c>
      <c r="B6" s="13">
        <v>46041</v>
      </c>
      <c r="C6" s="12" t="s">
        <v>43</v>
      </c>
      <c r="D6" s="13">
        <v>46068</v>
      </c>
      <c r="E6" s="12" t="s">
        <v>13</v>
      </c>
      <c r="F6" s="12" t="s">
        <v>48</v>
      </c>
      <c r="G6" s="33" t="s">
        <v>45</v>
      </c>
    </row>
    <row r="7" spans="1:7" x14ac:dyDescent="0.3">
      <c r="A7" s="36" t="s">
        <v>49</v>
      </c>
      <c r="B7" s="13">
        <v>46070</v>
      </c>
      <c r="C7" s="12" t="s">
        <v>43</v>
      </c>
      <c r="D7" s="13">
        <v>46139</v>
      </c>
      <c r="E7" s="12" t="s">
        <v>13</v>
      </c>
      <c r="F7" s="12" t="s">
        <v>50</v>
      </c>
      <c r="G7" s="33" t="s">
        <v>45</v>
      </c>
    </row>
    <row r="8" spans="1:7" x14ac:dyDescent="0.3">
      <c r="A8" s="36" t="s">
        <v>51</v>
      </c>
      <c r="B8" s="13">
        <v>46120</v>
      </c>
      <c r="C8" s="12" t="s">
        <v>43</v>
      </c>
      <c r="D8" s="13">
        <v>46120</v>
      </c>
      <c r="E8" s="12" t="s">
        <v>13</v>
      </c>
      <c r="F8" s="12" t="s">
        <v>52</v>
      </c>
      <c r="G8" s="33" t="s">
        <v>45</v>
      </c>
    </row>
    <row r="9" spans="1:7" x14ac:dyDescent="0.3">
      <c r="A9" s="36" t="s">
        <v>53</v>
      </c>
      <c r="B9" s="13">
        <v>46076</v>
      </c>
      <c r="C9" s="12" t="s">
        <v>43</v>
      </c>
      <c r="D9" s="13">
        <v>46103</v>
      </c>
      <c r="E9" s="12" t="s">
        <v>13</v>
      </c>
      <c r="F9" s="12" t="s">
        <v>50</v>
      </c>
      <c r="G9" s="33" t="s">
        <v>45</v>
      </c>
    </row>
    <row r="10" spans="1:7" x14ac:dyDescent="0.3">
      <c r="A10" s="36" t="s">
        <v>54</v>
      </c>
      <c r="B10" s="13">
        <v>46085</v>
      </c>
      <c r="C10" s="12" t="s">
        <v>43</v>
      </c>
      <c r="D10" s="13">
        <v>46129</v>
      </c>
      <c r="E10" s="12" t="s">
        <v>13</v>
      </c>
      <c r="F10" s="12" t="s">
        <v>55</v>
      </c>
      <c r="G10" s="33" t="s">
        <v>45</v>
      </c>
    </row>
    <row r="11" spans="1:7" x14ac:dyDescent="0.3">
      <c r="A11" s="36" t="s">
        <v>56</v>
      </c>
      <c r="B11" s="13">
        <v>46151</v>
      </c>
      <c r="C11" s="12" t="s">
        <v>43</v>
      </c>
      <c r="D11" s="13">
        <v>46202</v>
      </c>
      <c r="E11" s="12" t="s">
        <v>43</v>
      </c>
      <c r="F11" s="12" t="s">
        <v>57</v>
      </c>
      <c r="G11" s="33" t="s">
        <v>45</v>
      </c>
    </row>
    <row r="12" spans="1:7" x14ac:dyDescent="0.3">
      <c r="A12" s="36" t="s">
        <v>58</v>
      </c>
      <c r="B12" s="13">
        <v>46115</v>
      </c>
      <c r="C12" s="12" t="s">
        <v>43</v>
      </c>
      <c r="D12" s="14"/>
      <c r="E12" s="12" t="s">
        <v>13</v>
      </c>
      <c r="F12" s="12" t="s">
        <v>52</v>
      </c>
      <c r="G12" s="33" t="s">
        <v>45</v>
      </c>
    </row>
    <row r="13" spans="1:7" x14ac:dyDescent="0.3">
      <c r="A13" s="36" t="s">
        <v>59</v>
      </c>
      <c r="B13" s="13">
        <v>46154</v>
      </c>
      <c r="C13" s="12" t="s">
        <v>43</v>
      </c>
      <c r="D13" s="13">
        <v>46159</v>
      </c>
      <c r="E13" s="12" t="s">
        <v>13</v>
      </c>
      <c r="F13" s="12" t="s">
        <v>57</v>
      </c>
      <c r="G13" s="33" t="s">
        <v>45</v>
      </c>
    </row>
    <row r="14" spans="1:7" x14ac:dyDescent="0.3">
      <c r="A14" s="36" t="s">
        <v>60</v>
      </c>
      <c r="B14" s="13">
        <v>46181</v>
      </c>
      <c r="C14" s="12" t="s">
        <v>43</v>
      </c>
      <c r="D14" s="14"/>
      <c r="E14" s="12" t="s">
        <v>13</v>
      </c>
      <c r="F14" s="12" t="s">
        <v>44</v>
      </c>
      <c r="G14" s="33" t="s">
        <v>45</v>
      </c>
    </row>
    <row r="15" spans="1:7" x14ac:dyDescent="0.3">
      <c r="A15" s="36" t="s">
        <v>61</v>
      </c>
      <c r="B15" s="13">
        <v>46057</v>
      </c>
      <c r="C15" s="12" t="s">
        <v>43</v>
      </c>
      <c r="D15" s="13">
        <v>46103</v>
      </c>
      <c r="E15" s="12" t="s">
        <v>13</v>
      </c>
      <c r="F15" s="12" t="s">
        <v>50</v>
      </c>
      <c r="G15" s="33" t="s">
        <v>45</v>
      </c>
    </row>
    <row r="16" spans="1:7" x14ac:dyDescent="0.3">
      <c r="A16" s="36" t="s">
        <v>62</v>
      </c>
      <c r="B16" s="13">
        <v>46065</v>
      </c>
      <c r="C16" s="12" t="s">
        <v>43</v>
      </c>
      <c r="D16" s="13">
        <v>46074</v>
      </c>
      <c r="E16" s="12" t="s">
        <v>13</v>
      </c>
      <c r="F16" s="12" t="s">
        <v>50</v>
      </c>
      <c r="G16" s="33" t="s">
        <v>45</v>
      </c>
    </row>
    <row r="17" spans="1:7" x14ac:dyDescent="0.3">
      <c r="A17" s="36" t="s">
        <v>63</v>
      </c>
      <c r="B17" s="13">
        <v>46163</v>
      </c>
      <c r="C17" s="12" t="s">
        <v>43</v>
      </c>
      <c r="D17" s="13">
        <v>46183</v>
      </c>
      <c r="E17" s="12" t="s">
        <v>43</v>
      </c>
      <c r="F17" s="12" t="s">
        <v>57</v>
      </c>
      <c r="G17" s="33" t="s">
        <v>45</v>
      </c>
    </row>
    <row r="18" spans="1:7" x14ac:dyDescent="0.3">
      <c r="A18" s="36" t="s">
        <v>64</v>
      </c>
      <c r="B18" s="13">
        <v>46125</v>
      </c>
      <c r="C18" s="12" t="s">
        <v>43</v>
      </c>
      <c r="D18" s="14"/>
      <c r="E18" s="12" t="s">
        <v>13</v>
      </c>
      <c r="F18" s="12" t="s">
        <v>52</v>
      </c>
      <c r="G18" s="33" t="s">
        <v>45</v>
      </c>
    </row>
    <row r="19" spans="1:7" x14ac:dyDescent="0.3">
      <c r="A19" s="36" t="s">
        <v>65</v>
      </c>
      <c r="B19" s="13">
        <v>46191</v>
      </c>
      <c r="C19" s="12" t="s">
        <v>43</v>
      </c>
      <c r="D19" s="13">
        <v>46198</v>
      </c>
      <c r="E19" s="12" t="s">
        <v>43</v>
      </c>
      <c r="F19" s="12" t="s">
        <v>44</v>
      </c>
      <c r="G19" s="33" t="s">
        <v>45</v>
      </c>
    </row>
    <row r="20" spans="1:7" x14ac:dyDescent="0.3">
      <c r="A20" s="36" t="s">
        <v>66</v>
      </c>
      <c r="B20" s="13">
        <v>46055</v>
      </c>
      <c r="C20" s="12" t="s">
        <v>43</v>
      </c>
      <c r="D20" s="13">
        <v>46063</v>
      </c>
      <c r="E20" s="12" t="s">
        <v>13</v>
      </c>
      <c r="F20" s="12" t="s">
        <v>50</v>
      </c>
      <c r="G20" s="33" t="s">
        <v>45</v>
      </c>
    </row>
    <row r="21" spans="1:7" x14ac:dyDescent="0.3">
      <c r="A21" s="36" t="s">
        <v>67</v>
      </c>
      <c r="B21" s="13">
        <v>46072</v>
      </c>
      <c r="C21" s="12" t="s">
        <v>68</v>
      </c>
      <c r="D21" s="13">
        <v>46135</v>
      </c>
      <c r="E21" s="12" t="s">
        <v>13</v>
      </c>
      <c r="F21" s="12" t="s">
        <v>50</v>
      </c>
      <c r="G21" s="33" t="s">
        <v>45</v>
      </c>
    </row>
    <row r="22" spans="1:7" x14ac:dyDescent="0.3">
      <c r="A22" s="36" t="s">
        <v>69</v>
      </c>
      <c r="B22" s="13">
        <v>46133</v>
      </c>
      <c r="C22" s="12" t="s">
        <v>43</v>
      </c>
      <c r="D22" s="13">
        <v>46164</v>
      </c>
      <c r="E22" s="12" t="s">
        <v>13</v>
      </c>
      <c r="F22" s="12" t="s">
        <v>52</v>
      </c>
      <c r="G22" s="33" t="s">
        <v>45</v>
      </c>
    </row>
    <row r="23" spans="1:7" x14ac:dyDescent="0.3">
      <c r="A23" s="36" t="s">
        <v>70</v>
      </c>
      <c r="B23" s="13">
        <v>46191</v>
      </c>
      <c r="C23" s="12" t="s">
        <v>43</v>
      </c>
      <c r="D23" s="13">
        <v>46194</v>
      </c>
      <c r="E23" s="12" t="s">
        <v>43</v>
      </c>
      <c r="F23" s="12" t="s">
        <v>44</v>
      </c>
      <c r="G23" s="33" t="s">
        <v>45</v>
      </c>
    </row>
    <row r="24" spans="1:7" x14ac:dyDescent="0.3">
      <c r="A24" s="36" t="s">
        <v>71</v>
      </c>
      <c r="B24" s="13">
        <v>46124</v>
      </c>
      <c r="C24" s="12" t="s">
        <v>43</v>
      </c>
      <c r="D24" s="14"/>
      <c r="E24" s="12" t="s">
        <v>13</v>
      </c>
      <c r="F24" s="12" t="s">
        <v>52</v>
      </c>
      <c r="G24" s="33" t="s">
        <v>45</v>
      </c>
    </row>
    <row r="25" spans="1:7" x14ac:dyDescent="0.3">
      <c r="A25" s="36" t="s">
        <v>72</v>
      </c>
      <c r="B25" s="13">
        <v>46158</v>
      </c>
      <c r="C25" s="12" t="s">
        <v>43</v>
      </c>
      <c r="D25" s="13">
        <v>46172</v>
      </c>
      <c r="E25" s="12" t="s">
        <v>13</v>
      </c>
      <c r="F25" s="12" t="s">
        <v>57</v>
      </c>
      <c r="G25" s="33" t="s">
        <v>45</v>
      </c>
    </row>
    <row r="26" spans="1:7" x14ac:dyDescent="0.3">
      <c r="A26" s="36" t="s">
        <v>73</v>
      </c>
      <c r="B26" s="13">
        <v>46074</v>
      </c>
      <c r="C26" s="12" t="s">
        <v>43</v>
      </c>
      <c r="D26" s="13">
        <v>46082</v>
      </c>
      <c r="E26" s="12" t="s">
        <v>13</v>
      </c>
      <c r="F26" s="12" t="s">
        <v>50</v>
      </c>
      <c r="G26" s="33" t="s">
        <v>45</v>
      </c>
    </row>
    <row r="27" spans="1:7" x14ac:dyDescent="0.3">
      <c r="A27" s="36" t="s">
        <v>74</v>
      </c>
      <c r="B27" s="13">
        <v>46125</v>
      </c>
      <c r="C27" s="12" t="s">
        <v>43</v>
      </c>
      <c r="D27" s="13">
        <v>46157</v>
      </c>
      <c r="E27" s="12" t="s">
        <v>13</v>
      </c>
      <c r="F27" s="12" t="s">
        <v>52</v>
      </c>
      <c r="G27" s="33" t="s">
        <v>45</v>
      </c>
    </row>
    <row r="28" spans="1:7" x14ac:dyDescent="0.3">
      <c r="A28" s="36" t="s">
        <v>75</v>
      </c>
      <c r="B28" s="13">
        <v>46143</v>
      </c>
      <c r="C28" s="12" t="s">
        <v>43</v>
      </c>
      <c r="D28" s="13">
        <v>46199</v>
      </c>
      <c r="E28" s="12" t="s">
        <v>43</v>
      </c>
      <c r="F28" s="12" t="s">
        <v>57</v>
      </c>
      <c r="G28" s="33" t="s">
        <v>45</v>
      </c>
    </row>
    <row r="29" spans="1:7" x14ac:dyDescent="0.3">
      <c r="A29" s="36" t="s">
        <v>76</v>
      </c>
      <c r="B29" s="13">
        <v>46184</v>
      </c>
      <c r="C29" s="12" t="s">
        <v>43</v>
      </c>
      <c r="D29" s="13">
        <v>46203</v>
      </c>
      <c r="E29" s="12" t="s">
        <v>43</v>
      </c>
      <c r="F29" s="12" t="s">
        <v>44</v>
      </c>
      <c r="G29" s="33" t="s">
        <v>45</v>
      </c>
    </row>
    <row r="30" spans="1:7" x14ac:dyDescent="0.3">
      <c r="A30" s="36" t="s">
        <v>77</v>
      </c>
      <c r="B30" s="13">
        <v>46197</v>
      </c>
      <c r="C30" s="12" t="s">
        <v>43</v>
      </c>
      <c r="D30" s="13">
        <v>46195</v>
      </c>
      <c r="E30" s="12" t="s">
        <v>43</v>
      </c>
      <c r="F30" s="12" t="s">
        <v>44</v>
      </c>
      <c r="G30" s="33" t="s">
        <v>45</v>
      </c>
    </row>
    <row r="31" spans="1:7" x14ac:dyDescent="0.3">
      <c r="A31" s="36" t="s">
        <v>78</v>
      </c>
      <c r="B31" s="13">
        <v>46043</v>
      </c>
      <c r="C31" s="12" t="s">
        <v>43</v>
      </c>
      <c r="D31" s="13">
        <v>46068</v>
      </c>
      <c r="E31" s="12" t="s">
        <v>13</v>
      </c>
      <c r="F31" s="12" t="s">
        <v>48</v>
      </c>
      <c r="G31" s="33" t="s">
        <v>45</v>
      </c>
    </row>
    <row r="32" spans="1:7" x14ac:dyDescent="0.3">
      <c r="A32" s="36" t="s">
        <v>79</v>
      </c>
      <c r="B32" s="13">
        <v>46065</v>
      </c>
      <c r="C32" s="12" t="s">
        <v>43</v>
      </c>
      <c r="D32" s="13">
        <v>46132</v>
      </c>
      <c r="E32" s="12" t="s">
        <v>13</v>
      </c>
      <c r="F32" s="12" t="s">
        <v>50</v>
      </c>
      <c r="G32" s="33" t="s">
        <v>45</v>
      </c>
    </row>
    <row r="33" spans="1:7" x14ac:dyDescent="0.3">
      <c r="A33" s="36" t="s">
        <v>80</v>
      </c>
      <c r="B33" s="13">
        <v>46042</v>
      </c>
      <c r="C33" s="12" t="s">
        <v>43</v>
      </c>
      <c r="D33" s="13">
        <v>46088</v>
      </c>
      <c r="E33" s="12" t="s">
        <v>13</v>
      </c>
      <c r="F33" s="12" t="s">
        <v>48</v>
      </c>
      <c r="G33" s="33" t="s">
        <v>45</v>
      </c>
    </row>
    <row r="34" spans="1:7" x14ac:dyDescent="0.3">
      <c r="A34" s="36" t="s">
        <v>81</v>
      </c>
      <c r="B34" s="13">
        <v>46089</v>
      </c>
      <c r="C34" s="12" t="s">
        <v>43</v>
      </c>
      <c r="D34" s="14"/>
      <c r="E34" s="12" t="s">
        <v>13</v>
      </c>
      <c r="F34" s="12" t="s">
        <v>55</v>
      </c>
      <c r="G34" s="33" t="s">
        <v>45</v>
      </c>
    </row>
    <row r="35" spans="1:7" x14ac:dyDescent="0.3">
      <c r="A35" s="36" t="s">
        <v>82</v>
      </c>
      <c r="B35" s="13">
        <v>46025</v>
      </c>
      <c r="C35" s="12" t="s">
        <v>43</v>
      </c>
      <c r="D35" s="13">
        <v>46093</v>
      </c>
      <c r="E35" s="12" t="s">
        <v>13</v>
      </c>
      <c r="F35" s="12" t="s">
        <v>48</v>
      </c>
      <c r="G35" s="33" t="s">
        <v>45</v>
      </c>
    </row>
    <row r="36" spans="1:7" x14ac:dyDescent="0.3">
      <c r="A36" s="36" t="s">
        <v>83</v>
      </c>
      <c r="B36" s="13">
        <v>46058</v>
      </c>
      <c r="C36" s="12" t="s">
        <v>43</v>
      </c>
      <c r="D36" s="14"/>
      <c r="E36" s="12" t="s">
        <v>13</v>
      </c>
      <c r="F36" s="12" t="s">
        <v>50</v>
      </c>
      <c r="G36" s="33" t="s">
        <v>45</v>
      </c>
    </row>
    <row r="37" spans="1:7" x14ac:dyDescent="0.3">
      <c r="A37" s="36" t="s">
        <v>84</v>
      </c>
      <c r="B37" s="13">
        <v>46062</v>
      </c>
      <c r="C37" s="12" t="s">
        <v>43</v>
      </c>
      <c r="D37" s="13">
        <v>46089</v>
      </c>
      <c r="E37" s="12" t="s">
        <v>13</v>
      </c>
      <c r="F37" s="12" t="s">
        <v>50</v>
      </c>
      <c r="G37" s="33" t="s">
        <v>45</v>
      </c>
    </row>
    <row r="38" spans="1:7" x14ac:dyDescent="0.3">
      <c r="A38" s="36" t="s">
        <v>85</v>
      </c>
      <c r="B38" s="13">
        <v>46167</v>
      </c>
      <c r="C38" s="12" t="s">
        <v>43</v>
      </c>
      <c r="D38" s="13">
        <v>46197</v>
      </c>
      <c r="E38" s="12" t="s">
        <v>43</v>
      </c>
      <c r="F38" s="12" t="s">
        <v>57</v>
      </c>
      <c r="G38" s="33" t="s">
        <v>45</v>
      </c>
    </row>
    <row r="39" spans="1:7" x14ac:dyDescent="0.3">
      <c r="A39" s="36" t="s">
        <v>86</v>
      </c>
      <c r="B39" s="13">
        <v>46194</v>
      </c>
      <c r="C39" s="12" t="s">
        <v>43</v>
      </c>
      <c r="D39" s="14"/>
      <c r="E39" s="12" t="s">
        <v>13</v>
      </c>
      <c r="F39" s="12" t="s">
        <v>44</v>
      </c>
      <c r="G39" s="33" t="s">
        <v>45</v>
      </c>
    </row>
    <row r="40" spans="1:7" x14ac:dyDescent="0.3">
      <c r="A40" s="36" t="s">
        <v>87</v>
      </c>
      <c r="B40" s="13">
        <v>46116</v>
      </c>
      <c r="C40" s="12" t="s">
        <v>43</v>
      </c>
      <c r="D40" s="13">
        <v>46118</v>
      </c>
      <c r="E40" s="12" t="s">
        <v>13</v>
      </c>
      <c r="F40" s="12" t="s">
        <v>52</v>
      </c>
      <c r="G40" s="33" t="s">
        <v>45</v>
      </c>
    </row>
    <row r="41" spans="1:7" x14ac:dyDescent="0.3">
      <c r="A41" s="36" t="s">
        <v>88</v>
      </c>
      <c r="B41" s="13">
        <v>46160</v>
      </c>
      <c r="C41" s="12" t="s">
        <v>43</v>
      </c>
      <c r="D41" s="13">
        <v>46169</v>
      </c>
      <c r="E41" s="12" t="s">
        <v>13</v>
      </c>
      <c r="F41" s="12" t="s">
        <v>57</v>
      </c>
      <c r="G41" s="33" t="s">
        <v>45</v>
      </c>
    </row>
    <row r="42" spans="1:7" x14ac:dyDescent="0.3">
      <c r="A42" s="36" t="s">
        <v>89</v>
      </c>
      <c r="B42" s="13">
        <v>46194</v>
      </c>
      <c r="C42" s="12" t="s">
        <v>43</v>
      </c>
      <c r="D42" s="13">
        <v>46198</v>
      </c>
      <c r="E42" s="12" t="s">
        <v>43</v>
      </c>
      <c r="F42" s="12" t="s">
        <v>44</v>
      </c>
      <c r="G42" s="33" t="s">
        <v>45</v>
      </c>
    </row>
    <row r="43" spans="1:7" x14ac:dyDescent="0.3">
      <c r="A43" s="36" t="s">
        <v>90</v>
      </c>
      <c r="B43" s="13">
        <v>46084</v>
      </c>
      <c r="C43" s="12" t="s">
        <v>43</v>
      </c>
      <c r="D43" s="13">
        <v>46146</v>
      </c>
      <c r="E43" s="12" t="s">
        <v>13</v>
      </c>
      <c r="F43" s="12" t="s">
        <v>55</v>
      </c>
      <c r="G43" s="33" t="s">
        <v>45</v>
      </c>
    </row>
    <row r="44" spans="1:7" x14ac:dyDescent="0.3">
      <c r="A44" s="36" t="s">
        <v>91</v>
      </c>
      <c r="B44" s="13">
        <v>46071</v>
      </c>
      <c r="C44" s="12" t="s">
        <v>43</v>
      </c>
      <c r="D44" s="14"/>
      <c r="E44" s="12" t="s">
        <v>13</v>
      </c>
      <c r="F44" s="12" t="s">
        <v>50</v>
      </c>
      <c r="G44" s="33" t="s">
        <v>45</v>
      </c>
    </row>
    <row r="45" spans="1:7" x14ac:dyDescent="0.3">
      <c r="A45" s="36" t="s">
        <v>92</v>
      </c>
      <c r="B45" s="13">
        <v>46161</v>
      </c>
      <c r="C45" s="12" t="s">
        <v>43</v>
      </c>
      <c r="D45" s="13">
        <v>46200</v>
      </c>
      <c r="E45" s="12" t="s">
        <v>43</v>
      </c>
      <c r="F45" s="12" t="s">
        <v>57</v>
      </c>
      <c r="G45" s="33" t="s">
        <v>45</v>
      </c>
    </row>
    <row r="46" spans="1:7" x14ac:dyDescent="0.3">
      <c r="A46" s="36" t="s">
        <v>93</v>
      </c>
      <c r="B46" s="13">
        <v>46026</v>
      </c>
      <c r="C46" s="12" t="s">
        <v>43</v>
      </c>
      <c r="D46" s="13">
        <v>46078</v>
      </c>
      <c r="E46" s="12" t="s">
        <v>13</v>
      </c>
      <c r="F46" s="12" t="s">
        <v>48</v>
      </c>
      <c r="G46" s="33" t="s">
        <v>45</v>
      </c>
    </row>
    <row r="47" spans="1:7" x14ac:dyDescent="0.3">
      <c r="A47" s="36" t="s">
        <v>94</v>
      </c>
      <c r="B47" s="13">
        <v>46136</v>
      </c>
      <c r="C47" s="12" t="s">
        <v>43</v>
      </c>
      <c r="D47" s="13">
        <v>46148</v>
      </c>
      <c r="E47" s="12" t="s">
        <v>13</v>
      </c>
      <c r="F47" s="12" t="s">
        <v>52</v>
      </c>
      <c r="G47" s="33" t="s">
        <v>45</v>
      </c>
    </row>
    <row r="48" spans="1:7" x14ac:dyDescent="0.3">
      <c r="A48" s="36" t="s">
        <v>95</v>
      </c>
      <c r="B48" s="13">
        <v>46035</v>
      </c>
      <c r="C48" s="12" t="s">
        <v>43</v>
      </c>
      <c r="D48" s="13">
        <v>46048</v>
      </c>
      <c r="E48" s="12" t="s">
        <v>13</v>
      </c>
      <c r="F48" s="12" t="s">
        <v>48</v>
      </c>
      <c r="G48" s="33" t="s">
        <v>45</v>
      </c>
    </row>
    <row r="49" spans="1:7" x14ac:dyDescent="0.3">
      <c r="A49" s="36" t="s">
        <v>96</v>
      </c>
      <c r="B49" s="13">
        <v>46060</v>
      </c>
      <c r="C49" s="12" t="s">
        <v>43</v>
      </c>
      <c r="D49" s="13">
        <v>46114</v>
      </c>
      <c r="E49" s="12" t="s">
        <v>13</v>
      </c>
      <c r="F49" s="12" t="s">
        <v>50</v>
      </c>
      <c r="G49" s="33" t="s">
        <v>45</v>
      </c>
    </row>
    <row r="50" spans="1:7" x14ac:dyDescent="0.3">
      <c r="A50" s="36" t="s">
        <v>97</v>
      </c>
      <c r="B50" s="13">
        <v>46062</v>
      </c>
      <c r="C50" s="12" t="s">
        <v>43</v>
      </c>
      <c r="D50" s="14"/>
      <c r="E50" s="12" t="s">
        <v>13</v>
      </c>
      <c r="F50" s="12" t="s">
        <v>50</v>
      </c>
      <c r="G50" s="33" t="s">
        <v>45</v>
      </c>
    </row>
    <row r="51" spans="1:7" x14ac:dyDescent="0.3">
      <c r="A51" s="36" t="s">
        <v>98</v>
      </c>
      <c r="B51" s="13">
        <v>46037</v>
      </c>
      <c r="C51" s="12" t="s">
        <v>43</v>
      </c>
      <c r="D51" s="14"/>
      <c r="E51" s="12" t="s">
        <v>13</v>
      </c>
      <c r="F51" s="12" t="s">
        <v>48</v>
      </c>
      <c r="G51" s="33" t="s">
        <v>45</v>
      </c>
    </row>
    <row r="52" spans="1:7" x14ac:dyDescent="0.3">
      <c r="A52" s="36" t="s">
        <v>99</v>
      </c>
      <c r="B52" s="13">
        <v>46024</v>
      </c>
      <c r="C52" s="12" t="s">
        <v>43</v>
      </c>
      <c r="D52" s="13">
        <v>46025</v>
      </c>
      <c r="E52" s="12" t="s">
        <v>13</v>
      </c>
      <c r="F52" s="12" t="s">
        <v>48</v>
      </c>
      <c r="G52" s="33" t="s">
        <v>45</v>
      </c>
    </row>
    <row r="53" spans="1:7" x14ac:dyDescent="0.3">
      <c r="A53" s="36" t="s">
        <v>100</v>
      </c>
      <c r="B53" s="13">
        <v>46047</v>
      </c>
      <c r="C53" s="12" t="s">
        <v>68</v>
      </c>
      <c r="D53" s="13">
        <v>46109</v>
      </c>
      <c r="E53" s="12" t="s">
        <v>13</v>
      </c>
      <c r="F53" s="12" t="s">
        <v>48</v>
      </c>
      <c r="G53" s="33" t="s">
        <v>45</v>
      </c>
    </row>
    <row r="54" spans="1:7" x14ac:dyDescent="0.3">
      <c r="A54" s="36" t="s">
        <v>101</v>
      </c>
      <c r="B54" s="13">
        <v>46119</v>
      </c>
      <c r="C54" s="12" t="s">
        <v>68</v>
      </c>
      <c r="D54" s="14"/>
      <c r="E54" s="12" t="s">
        <v>13</v>
      </c>
      <c r="F54" s="12" t="s">
        <v>52</v>
      </c>
      <c r="G54" s="33" t="s">
        <v>45</v>
      </c>
    </row>
    <row r="55" spans="1:7" x14ac:dyDescent="0.3">
      <c r="A55" s="36" t="s">
        <v>102</v>
      </c>
      <c r="B55" s="13">
        <v>46066</v>
      </c>
      <c r="C55" s="12" t="s">
        <v>43</v>
      </c>
      <c r="D55" s="13">
        <v>46124</v>
      </c>
      <c r="E55" s="12" t="s">
        <v>13</v>
      </c>
      <c r="F55" s="12" t="s">
        <v>50</v>
      </c>
      <c r="G55" s="33" t="s">
        <v>45</v>
      </c>
    </row>
    <row r="56" spans="1:7" x14ac:dyDescent="0.3">
      <c r="A56" s="36" t="s">
        <v>103</v>
      </c>
      <c r="B56" s="13">
        <v>46095</v>
      </c>
      <c r="C56" s="12" t="s">
        <v>43</v>
      </c>
      <c r="D56" s="13">
        <v>46166</v>
      </c>
      <c r="E56" s="12" t="s">
        <v>13</v>
      </c>
      <c r="F56" s="12" t="s">
        <v>55</v>
      </c>
      <c r="G56" s="33" t="s">
        <v>45</v>
      </c>
    </row>
    <row r="57" spans="1:7" x14ac:dyDescent="0.3">
      <c r="A57" s="36" t="s">
        <v>104</v>
      </c>
      <c r="B57" s="13">
        <v>46196</v>
      </c>
      <c r="C57" s="12" t="s">
        <v>43</v>
      </c>
      <c r="D57" s="13">
        <v>46203</v>
      </c>
      <c r="E57" s="12" t="s">
        <v>43</v>
      </c>
      <c r="F57" s="12" t="s">
        <v>44</v>
      </c>
      <c r="G57" s="33" t="s">
        <v>45</v>
      </c>
    </row>
    <row r="58" spans="1:7" x14ac:dyDescent="0.3">
      <c r="A58" s="36" t="s">
        <v>105</v>
      </c>
      <c r="B58" s="13">
        <v>46166</v>
      </c>
      <c r="C58" s="12" t="s">
        <v>43</v>
      </c>
      <c r="D58" s="13">
        <v>46173</v>
      </c>
      <c r="E58" s="12" t="s">
        <v>43</v>
      </c>
      <c r="F58" s="12" t="s">
        <v>57</v>
      </c>
      <c r="G58" s="33" t="s">
        <v>45</v>
      </c>
    </row>
    <row r="59" spans="1:7" x14ac:dyDescent="0.3">
      <c r="A59" s="36" t="s">
        <v>106</v>
      </c>
      <c r="B59" s="13">
        <v>46041</v>
      </c>
      <c r="C59" s="12" t="s">
        <v>43</v>
      </c>
      <c r="D59" s="14"/>
      <c r="E59" s="12" t="s">
        <v>13</v>
      </c>
      <c r="F59" s="12" t="s">
        <v>48</v>
      </c>
      <c r="G59" s="33" t="s">
        <v>45</v>
      </c>
    </row>
    <row r="60" spans="1:7" x14ac:dyDescent="0.3">
      <c r="A60" s="36" t="s">
        <v>107</v>
      </c>
      <c r="B60" s="13">
        <v>46148</v>
      </c>
      <c r="C60" s="12" t="s">
        <v>43</v>
      </c>
      <c r="D60" s="13">
        <v>46171</v>
      </c>
      <c r="E60" s="12" t="s">
        <v>13</v>
      </c>
      <c r="F60" s="12" t="s">
        <v>57</v>
      </c>
      <c r="G60" s="33" t="s">
        <v>45</v>
      </c>
    </row>
    <row r="61" spans="1:7" x14ac:dyDescent="0.3">
      <c r="A61" s="36" t="s">
        <v>108</v>
      </c>
      <c r="B61" s="13">
        <v>46042</v>
      </c>
      <c r="C61" s="12" t="s">
        <v>43</v>
      </c>
      <c r="D61" s="14"/>
      <c r="E61" s="12" t="s">
        <v>13</v>
      </c>
      <c r="F61" s="12" t="s">
        <v>48</v>
      </c>
      <c r="G61" s="33" t="s">
        <v>45</v>
      </c>
    </row>
    <row r="62" spans="1:7" x14ac:dyDescent="0.3">
      <c r="A62" s="36" t="s">
        <v>109</v>
      </c>
      <c r="B62" s="13">
        <v>46116</v>
      </c>
      <c r="C62" s="12" t="s">
        <v>68</v>
      </c>
      <c r="D62" s="13">
        <v>46190</v>
      </c>
      <c r="E62" s="12" t="s">
        <v>43</v>
      </c>
      <c r="F62" s="12" t="s">
        <v>52</v>
      </c>
      <c r="G62" s="33" t="s">
        <v>45</v>
      </c>
    </row>
    <row r="63" spans="1:7" x14ac:dyDescent="0.3">
      <c r="A63" s="37" t="s">
        <v>110</v>
      </c>
      <c r="B63" s="38">
        <v>46144</v>
      </c>
      <c r="C63" s="34" t="s">
        <v>43</v>
      </c>
      <c r="D63" s="38">
        <v>46194</v>
      </c>
      <c r="E63" s="34" t="s">
        <v>43</v>
      </c>
      <c r="F63" s="34" t="s">
        <v>57</v>
      </c>
      <c r="G63" s="35" t="s">
        <v>45</v>
      </c>
    </row>
  </sheetData>
  <mergeCells count="1">
    <mergeCell ref="A1:G1"/>
  </mergeCells>
  <pageMargins left="0.25" right="0.25" top="0.75" bottom="0.75" header="0.3" footer="0.3"/>
  <pageSetup paperSize="9" scale="5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07"/>
  <sheetViews>
    <sheetView showGridLines="0" tabSelected="1" view="pageBreakPreview" zoomScale="60" zoomScaleNormal="55" workbookViewId="0">
      <pane ySplit="3" topLeftCell="A99" activePane="bottomLeft" state="frozen"/>
      <selection activeCell="J24" sqref="J24"/>
      <selection pane="bottomLeft" activeCell="J24" sqref="J24"/>
    </sheetView>
  </sheetViews>
  <sheetFormatPr defaultRowHeight="14.4" x14ac:dyDescent="0.3"/>
  <cols>
    <col min="1" max="1" width="34" customWidth="1"/>
    <col min="2" max="3" width="12" customWidth="1"/>
    <col min="4" max="4" width="30" customWidth="1"/>
    <col min="5" max="5" width="17" customWidth="1"/>
    <col min="6" max="6" width="18" customWidth="1"/>
    <col min="7" max="7" width="19" customWidth="1"/>
    <col min="8" max="8" width="17" customWidth="1"/>
    <col min="9" max="9" width="20" customWidth="1"/>
    <col min="10" max="10" width="21" customWidth="1"/>
    <col min="11" max="11" width="20" customWidth="1"/>
    <col min="12" max="12" width="34" customWidth="1"/>
  </cols>
  <sheetData>
    <row r="1" spans="1:12" ht="31.95" customHeight="1" x14ac:dyDescent="0.3">
      <c r="A1" s="54" t="s">
        <v>111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3" spans="1:12" ht="30" customHeight="1" x14ac:dyDescent="0.3">
      <c r="A3" s="7" t="s">
        <v>112</v>
      </c>
      <c r="B3" s="7" t="s">
        <v>35</v>
      </c>
      <c r="C3" s="7" t="s">
        <v>113</v>
      </c>
      <c r="D3" s="7" t="s">
        <v>114</v>
      </c>
      <c r="E3" s="7" t="s">
        <v>115</v>
      </c>
      <c r="F3" s="7" t="s">
        <v>116</v>
      </c>
      <c r="G3" s="7" t="s">
        <v>117</v>
      </c>
      <c r="H3" s="7" t="s">
        <v>118</v>
      </c>
      <c r="I3" s="7" t="s">
        <v>119</v>
      </c>
      <c r="J3" s="7" t="s">
        <v>120</v>
      </c>
      <c r="K3" s="7" t="s">
        <v>121</v>
      </c>
      <c r="L3" s="7" t="s">
        <v>41</v>
      </c>
    </row>
    <row r="4" spans="1:12" x14ac:dyDescent="0.3">
      <c r="A4" s="6" t="s">
        <v>122</v>
      </c>
      <c r="B4" s="6" t="s">
        <v>42</v>
      </c>
      <c r="C4" s="6">
        <v>3</v>
      </c>
      <c r="D4" s="6" t="s">
        <v>24</v>
      </c>
      <c r="E4" s="8">
        <v>46198</v>
      </c>
      <c r="F4" s="6" t="s">
        <v>44</v>
      </c>
      <c r="G4" s="6" t="s">
        <v>17</v>
      </c>
      <c r="H4" s="9"/>
      <c r="I4" s="10">
        <v>55.4</v>
      </c>
      <c r="J4" s="6">
        <v>11</v>
      </c>
      <c r="K4" s="8">
        <v>46198</v>
      </c>
      <c r="L4" s="6" t="s">
        <v>45</v>
      </c>
    </row>
    <row r="5" spans="1:12" x14ac:dyDescent="0.3">
      <c r="A5" s="6" t="s">
        <v>123</v>
      </c>
      <c r="B5" s="6" t="s">
        <v>42</v>
      </c>
      <c r="C5" s="6">
        <v>2</v>
      </c>
      <c r="D5" s="6" t="s">
        <v>23</v>
      </c>
      <c r="E5" s="8">
        <v>46177</v>
      </c>
      <c r="F5" s="6" t="s">
        <v>44</v>
      </c>
      <c r="G5" s="6" t="s">
        <v>17</v>
      </c>
      <c r="H5" s="9"/>
      <c r="I5" s="11"/>
      <c r="J5" s="6">
        <v>0</v>
      </c>
      <c r="K5" s="8">
        <v>46179</v>
      </c>
      <c r="L5" s="6" t="s">
        <v>45</v>
      </c>
    </row>
    <row r="6" spans="1:12" x14ac:dyDescent="0.3">
      <c r="A6" s="6" t="s">
        <v>124</v>
      </c>
      <c r="B6" s="6" t="s">
        <v>46</v>
      </c>
      <c r="C6" s="6">
        <v>5</v>
      </c>
      <c r="D6" s="6" t="s">
        <v>26</v>
      </c>
      <c r="E6" s="8">
        <v>46181</v>
      </c>
      <c r="F6" s="6" t="s">
        <v>44</v>
      </c>
      <c r="G6" s="6" t="s">
        <v>17</v>
      </c>
      <c r="H6" s="9"/>
      <c r="I6" s="11"/>
      <c r="J6" s="6">
        <v>12</v>
      </c>
      <c r="K6" s="8">
        <v>46190</v>
      </c>
      <c r="L6" s="6" t="s">
        <v>45</v>
      </c>
    </row>
    <row r="7" spans="1:12" x14ac:dyDescent="0.3">
      <c r="A7" s="6" t="s">
        <v>125</v>
      </c>
      <c r="B7" s="6" t="s">
        <v>46</v>
      </c>
      <c r="C7" s="6">
        <v>3</v>
      </c>
      <c r="D7" s="6" t="s">
        <v>24</v>
      </c>
      <c r="E7" s="8">
        <v>46182</v>
      </c>
      <c r="F7" s="6" t="s">
        <v>44</v>
      </c>
      <c r="G7" s="6" t="s">
        <v>17</v>
      </c>
      <c r="H7" s="9"/>
      <c r="I7" s="10">
        <v>84.7</v>
      </c>
      <c r="J7" s="6">
        <v>17</v>
      </c>
      <c r="K7" s="8">
        <v>46182</v>
      </c>
      <c r="L7" s="6" t="s">
        <v>45</v>
      </c>
    </row>
    <row r="8" spans="1:12" x14ac:dyDescent="0.3">
      <c r="A8" s="6" t="s">
        <v>126</v>
      </c>
      <c r="B8" s="6" t="s">
        <v>47</v>
      </c>
      <c r="C8" s="6">
        <v>5</v>
      </c>
      <c r="D8" s="6" t="s">
        <v>26</v>
      </c>
      <c r="E8" s="8">
        <v>46067</v>
      </c>
      <c r="F8" s="6" t="s">
        <v>50</v>
      </c>
      <c r="G8" s="6" t="s">
        <v>17</v>
      </c>
      <c r="H8" s="9"/>
      <c r="I8" s="10">
        <v>77</v>
      </c>
      <c r="J8" s="6">
        <v>9</v>
      </c>
      <c r="K8" s="8">
        <v>46139</v>
      </c>
      <c r="L8" s="6" t="s">
        <v>45</v>
      </c>
    </row>
    <row r="9" spans="1:12" x14ac:dyDescent="0.3">
      <c r="A9" s="6" t="s">
        <v>127</v>
      </c>
      <c r="B9" s="6" t="s">
        <v>47</v>
      </c>
      <c r="C9" s="6">
        <v>3</v>
      </c>
      <c r="D9" s="6" t="s">
        <v>24</v>
      </c>
      <c r="E9" s="8">
        <v>46195</v>
      </c>
      <c r="F9" s="6" t="s">
        <v>44</v>
      </c>
      <c r="G9" s="6" t="s">
        <v>17</v>
      </c>
      <c r="H9" s="9"/>
      <c r="I9" s="10">
        <v>76.400000000000006</v>
      </c>
      <c r="J9" s="6">
        <v>9</v>
      </c>
      <c r="K9" s="8">
        <v>46203</v>
      </c>
      <c r="L9" s="6" t="s">
        <v>45</v>
      </c>
    </row>
    <row r="10" spans="1:12" x14ac:dyDescent="0.3">
      <c r="A10" s="6" t="s">
        <v>128</v>
      </c>
      <c r="B10" s="6" t="s">
        <v>49</v>
      </c>
      <c r="C10" s="6">
        <v>7</v>
      </c>
      <c r="D10" s="6" t="s">
        <v>28</v>
      </c>
      <c r="E10" s="8">
        <v>46093</v>
      </c>
      <c r="F10" s="6" t="s">
        <v>55</v>
      </c>
      <c r="G10" s="6" t="s">
        <v>17</v>
      </c>
      <c r="H10" s="9"/>
      <c r="I10" s="11"/>
      <c r="J10" s="6">
        <v>11</v>
      </c>
      <c r="K10" s="8">
        <v>46191</v>
      </c>
      <c r="L10" s="6" t="s">
        <v>45</v>
      </c>
    </row>
    <row r="11" spans="1:12" x14ac:dyDescent="0.3">
      <c r="A11" s="6" t="s">
        <v>129</v>
      </c>
      <c r="B11" s="6" t="s">
        <v>49</v>
      </c>
      <c r="C11" s="6">
        <v>1</v>
      </c>
      <c r="D11" s="6" t="s">
        <v>22</v>
      </c>
      <c r="E11" s="8">
        <v>46103</v>
      </c>
      <c r="F11" s="6" t="s">
        <v>55</v>
      </c>
      <c r="G11" s="6" t="s">
        <v>17</v>
      </c>
      <c r="H11" s="9"/>
      <c r="I11" s="10">
        <v>71</v>
      </c>
      <c r="J11" s="6">
        <v>1</v>
      </c>
      <c r="K11" s="8">
        <v>46117</v>
      </c>
      <c r="L11" s="6" t="s">
        <v>45</v>
      </c>
    </row>
    <row r="12" spans="1:12" x14ac:dyDescent="0.3">
      <c r="A12" s="6" t="s">
        <v>130</v>
      </c>
      <c r="B12" s="6" t="s">
        <v>51</v>
      </c>
      <c r="C12" s="6">
        <v>6</v>
      </c>
      <c r="D12" s="6" t="s">
        <v>27</v>
      </c>
      <c r="E12" s="8">
        <v>46139</v>
      </c>
      <c r="F12" s="6" t="s">
        <v>52</v>
      </c>
      <c r="G12" s="6" t="s">
        <v>17</v>
      </c>
      <c r="H12" s="9"/>
      <c r="I12" s="11"/>
      <c r="J12" s="6">
        <v>5</v>
      </c>
      <c r="K12" s="8">
        <v>46194</v>
      </c>
      <c r="L12" s="6" t="s">
        <v>45</v>
      </c>
    </row>
    <row r="13" spans="1:12" x14ac:dyDescent="0.3">
      <c r="A13" s="6" t="s">
        <v>131</v>
      </c>
      <c r="B13" s="6" t="s">
        <v>53</v>
      </c>
      <c r="C13" s="6">
        <v>3</v>
      </c>
      <c r="D13" s="6" t="s">
        <v>24</v>
      </c>
      <c r="E13" s="8">
        <v>46169</v>
      </c>
      <c r="F13" s="6" t="s">
        <v>57</v>
      </c>
      <c r="G13" s="6" t="s">
        <v>17</v>
      </c>
      <c r="H13" s="9"/>
      <c r="I13" s="11"/>
      <c r="J13" s="6">
        <v>12</v>
      </c>
      <c r="K13" s="8">
        <v>46182</v>
      </c>
      <c r="L13" s="6" t="s">
        <v>45</v>
      </c>
    </row>
    <row r="14" spans="1:12" x14ac:dyDescent="0.3">
      <c r="A14" s="6" t="s">
        <v>132</v>
      </c>
      <c r="B14" s="6" t="s">
        <v>54</v>
      </c>
      <c r="C14" s="6">
        <v>6</v>
      </c>
      <c r="D14" s="6" t="s">
        <v>27</v>
      </c>
      <c r="E14" s="8">
        <v>46130</v>
      </c>
      <c r="F14" s="6" t="s">
        <v>52</v>
      </c>
      <c r="G14" s="6" t="s">
        <v>17</v>
      </c>
      <c r="H14" s="9"/>
      <c r="I14" s="11"/>
      <c r="J14" s="6">
        <v>5</v>
      </c>
      <c r="K14" s="8">
        <v>46160</v>
      </c>
      <c r="L14" s="6" t="s">
        <v>45</v>
      </c>
    </row>
    <row r="15" spans="1:12" x14ac:dyDescent="0.3">
      <c r="A15" s="6" t="s">
        <v>133</v>
      </c>
      <c r="B15" s="6" t="s">
        <v>54</v>
      </c>
      <c r="C15" s="6">
        <v>1</v>
      </c>
      <c r="D15" s="6" t="s">
        <v>22</v>
      </c>
      <c r="E15" s="8">
        <v>46195</v>
      </c>
      <c r="F15" s="6" t="s">
        <v>44</v>
      </c>
      <c r="G15" s="6" t="s">
        <v>17</v>
      </c>
      <c r="H15" s="9"/>
      <c r="I15" s="11"/>
      <c r="J15" s="6">
        <v>11</v>
      </c>
      <c r="K15" s="8">
        <v>46201</v>
      </c>
      <c r="L15" s="6" t="s">
        <v>45</v>
      </c>
    </row>
    <row r="16" spans="1:12" x14ac:dyDescent="0.3">
      <c r="A16" s="6" t="s">
        <v>134</v>
      </c>
      <c r="B16" s="6" t="s">
        <v>56</v>
      </c>
      <c r="C16" s="6">
        <v>7</v>
      </c>
      <c r="D16" s="6" t="s">
        <v>28</v>
      </c>
      <c r="E16" s="8">
        <v>46202</v>
      </c>
      <c r="F16" s="6" t="s">
        <v>44</v>
      </c>
      <c r="G16" s="6" t="s">
        <v>17</v>
      </c>
      <c r="H16" s="9"/>
      <c r="I16" s="11"/>
      <c r="J16" s="6">
        <v>2</v>
      </c>
      <c r="K16" s="8">
        <v>46203</v>
      </c>
      <c r="L16" s="6" t="s">
        <v>45</v>
      </c>
    </row>
    <row r="17" spans="1:12" x14ac:dyDescent="0.3">
      <c r="A17" s="6" t="s">
        <v>135</v>
      </c>
      <c r="B17" s="6" t="s">
        <v>56</v>
      </c>
      <c r="C17" s="6">
        <v>6</v>
      </c>
      <c r="D17" s="6" t="s">
        <v>27</v>
      </c>
      <c r="E17" s="8">
        <v>46165</v>
      </c>
      <c r="F17" s="6" t="s">
        <v>57</v>
      </c>
      <c r="G17" s="6" t="s">
        <v>17</v>
      </c>
      <c r="H17" s="9"/>
      <c r="I17" s="10">
        <v>54.3</v>
      </c>
      <c r="J17" s="6">
        <v>8</v>
      </c>
      <c r="K17" s="8">
        <v>46179</v>
      </c>
      <c r="L17" s="6" t="s">
        <v>45</v>
      </c>
    </row>
    <row r="18" spans="1:12" x14ac:dyDescent="0.3">
      <c r="A18" s="6" t="s">
        <v>136</v>
      </c>
      <c r="B18" s="6" t="s">
        <v>58</v>
      </c>
      <c r="C18" s="6">
        <v>2</v>
      </c>
      <c r="D18" s="6" t="s">
        <v>23</v>
      </c>
      <c r="E18" s="8">
        <v>46166</v>
      </c>
      <c r="F18" s="6" t="s">
        <v>57</v>
      </c>
      <c r="G18" s="6" t="s">
        <v>18</v>
      </c>
      <c r="H18" s="9"/>
      <c r="I18" s="11"/>
      <c r="J18" s="6">
        <v>0</v>
      </c>
      <c r="K18" s="8">
        <v>46183</v>
      </c>
      <c r="L18" s="6" t="s">
        <v>45</v>
      </c>
    </row>
    <row r="19" spans="1:12" x14ac:dyDescent="0.3">
      <c r="A19" s="6" t="s">
        <v>137</v>
      </c>
      <c r="B19" s="6" t="s">
        <v>59</v>
      </c>
      <c r="C19" s="6">
        <v>5</v>
      </c>
      <c r="D19" s="6" t="s">
        <v>26</v>
      </c>
      <c r="E19" s="8">
        <v>46179</v>
      </c>
      <c r="F19" s="6" t="s">
        <v>44</v>
      </c>
      <c r="G19" s="6" t="s">
        <v>17</v>
      </c>
      <c r="H19" s="9"/>
      <c r="I19" s="11"/>
      <c r="J19" s="6">
        <v>1</v>
      </c>
      <c r="K19" s="8">
        <v>46182</v>
      </c>
      <c r="L19" s="6" t="s">
        <v>45</v>
      </c>
    </row>
    <row r="20" spans="1:12" x14ac:dyDescent="0.3">
      <c r="A20" s="6" t="s">
        <v>138</v>
      </c>
      <c r="B20" s="6" t="s">
        <v>60</v>
      </c>
      <c r="C20" s="6">
        <v>3</v>
      </c>
      <c r="D20" s="6" t="s">
        <v>24</v>
      </c>
      <c r="E20" s="8">
        <v>46189</v>
      </c>
      <c r="F20" s="6" t="s">
        <v>44</v>
      </c>
      <c r="G20" s="6" t="s">
        <v>17</v>
      </c>
      <c r="H20" s="9"/>
      <c r="I20" s="10">
        <v>70.400000000000006</v>
      </c>
      <c r="J20" s="6">
        <v>17</v>
      </c>
      <c r="K20" s="8">
        <v>46190</v>
      </c>
      <c r="L20" s="6" t="s">
        <v>45</v>
      </c>
    </row>
    <row r="21" spans="1:12" x14ac:dyDescent="0.3">
      <c r="A21" s="6" t="s">
        <v>139</v>
      </c>
      <c r="B21" s="6" t="s">
        <v>60</v>
      </c>
      <c r="C21" s="6">
        <v>2</v>
      </c>
      <c r="D21" s="6" t="s">
        <v>23</v>
      </c>
      <c r="E21" s="8">
        <v>46193</v>
      </c>
      <c r="F21" s="6" t="s">
        <v>44</v>
      </c>
      <c r="G21" s="6" t="s">
        <v>17</v>
      </c>
      <c r="H21" s="9"/>
      <c r="I21" s="10">
        <v>60</v>
      </c>
      <c r="J21" s="6">
        <v>14</v>
      </c>
      <c r="K21" s="8">
        <v>46193</v>
      </c>
      <c r="L21" s="6" t="s">
        <v>45</v>
      </c>
    </row>
    <row r="22" spans="1:12" x14ac:dyDescent="0.3">
      <c r="A22" s="6" t="s">
        <v>140</v>
      </c>
      <c r="B22" s="6" t="s">
        <v>60</v>
      </c>
      <c r="C22" s="6">
        <v>5</v>
      </c>
      <c r="D22" s="6" t="s">
        <v>26</v>
      </c>
      <c r="E22" s="8">
        <v>46197</v>
      </c>
      <c r="F22" s="6" t="s">
        <v>44</v>
      </c>
      <c r="G22" s="6" t="s">
        <v>17</v>
      </c>
      <c r="H22" s="9"/>
      <c r="I22" s="10">
        <v>67.599999999999994</v>
      </c>
      <c r="J22" s="6">
        <v>12</v>
      </c>
      <c r="K22" s="8">
        <v>46200</v>
      </c>
      <c r="L22" s="6" t="s">
        <v>45</v>
      </c>
    </row>
    <row r="23" spans="1:12" x14ac:dyDescent="0.3">
      <c r="A23" s="6" t="s">
        <v>141</v>
      </c>
      <c r="B23" s="6" t="s">
        <v>61</v>
      </c>
      <c r="C23" s="6">
        <v>6</v>
      </c>
      <c r="D23" s="6" t="s">
        <v>27</v>
      </c>
      <c r="E23" s="8">
        <v>46141</v>
      </c>
      <c r="F23" s="6" t="s">
        <v>52</v>
      </c>
      <c r="G23" s="6" t="s">
        <v>17</v>
      </c>
      <c r="H23" s="9"/>
      <c r="I23" s="10">
        <v>49.4</v>
      </c>
      <c r="J23" s="6">
        <v>10</v>
      </c>
      <c r="K23" s="8">
        <v>46173</v>
      </c>
      <c r="L23" s="6" t="s">
        <v>45</v>
      </c>
    </row>
    <row r="24" spans="1:12" x14ac:dyDescent="0.3">
      <c r="A24" s="6" t="s">
        <v>142</v>
      </c>
      <c r="B24" s="6" t="s">
        <v>62</v>
      </c>
      <c r="C24" s="6">
        <v>4</v>
      </c>
      <c r="D24" s="6" t="s">
        <v>25</v>
      </c>
      <c r="E24" s="8">
        <v>46148</v>
      </c>
      <c r="F24" s="6" t="s">
        <v>57</v>
      </c>
      <c r="G24" s="6" t="s">
        <v>17</v>
      </c>
      <c r="H24" s="9"/>
      <c r="I24" s="10">
        <v>82.2</v>
      </c>
      <c r="J24" s="6">
        <v>0</v>
      </c>
      <c r="K24" s="8">
        <v>46191</v>
      </c>
      <c r="L24" s="6" t="s">
        <v>45</v>
      </c>
    </row>
    <row r="25" spans="1:12" x14ac:dyDescent="0.3">
      <c r="A25" s="6" t="s">
        <v>143</v>
      </c>
      <c r="B25" s="6" t="s">
        <v>63</v>
      </c>
      <c r="C25" s="6">
        <v>2</v>
      </c>
      <c r="D25" s="6" t="s">
        <v>23</v>
      </c>
      <c r="E25" s="8">
        <v>46199</v>
      </c>
      <c r="F25" s="6" t="s">
        <v>44</v>
      </c>
      <c r="G25" s="6" t="s">
        <v>18</v>
      </c>
      <c r="H25" s="9"/>
      <c r="I25" s="10">
        <v>82.5</v>
      </c>
      <c r="J25" s="6">
        <v>10</v>
      </c>
      <c r="K25" s="8">
        <v>46200</v>
      </c>
      <c r="L25" s="6" t="s">
        <v>45</v>
      </c>
    </row>
    <row r="26" spans="1:12" x14ac:dyDescent="0.3">
      <c r="A26" s="6" t="s">
        <v>144</v>
      </c>
      <c r="B26" s="6" t="s">
        <v>63</v>
      </c>
      <c r="C26" s="6">
        <v>5</v>
      </c>
      <c r="D26" s="6" t="s">
        <v>26</v>
      </c>
      <c r="E26" s="8">
        <v>46190</v>
      </c>
      <c r="F26" s="6" t="s">
        <v>44</v>
      </c>
      <c r="G26" s="6" t="s">
        <v>17</v>
      </c>
      <c r="H26" s="9"/>
      <c r="I26" s="10">
        <v>65.400000000000006</v>
      </c>
      <c r="J26" s="6">
        <v>17</v>
      </c>
      <c r="K26" s="8">
        <v>46197</v>
      </c>
      <c r="L26" s="6" t="s">
        <v>45</v>
      </c>
    </row>
    <row r="27" spans="1:12" x14ac:dyDescent="0.3">
      <c r="A27" s="6" t="s">
        <v>145</v>
      </c>
      <c r="B27" s="6" t="s">
        <v>64</v>
      </c>
      <c r="C27" s="6">
        <v>7</v>
      </c>
      <c r="D27" s="6" t="s">
        <v>28</v>
      </c>
      <c r="E27" s="8">
        <v>46146</v>
      </c>
      <c r="F27" s="6" t="s">
        <v>57</v>
      </c>
      <c r="G27" s="6" t="s">
        <v>17</v>
      </c>
      <c r="H27" s="9"/>
      <c r="I27" s="10">
        <v>85.6</v>
      </c>
      <c r="J27" s="6">
        <v>11</v>
      </c>
      <c r="K27" s="8">
        <v>46151</v>
      </c>
      <c r="L27" s="6" t="s">
        <v>45</v>
      </c>
    </row>
    <row r="28" spans="1:12" x14ac:dyDescent="0.3">
      <c r="A28" s="6" t="s">
        <v>146</v>
      </c>
      <c r="B28" s="6" t="s">
        <v>64</v>
      </c>
      <c r="C28" s="6">
        <v>6</v>
      </c>
      <c r="D28" s="6" t="s">
        <v>27</v>
      </c>
      <c r="E28" s="8">
        <v>46155</v>
      </c>
      <c r="F28" s="6" t="s">
        <v>57</v>
      </c>
      <c r="G28" s="6" t="s">
        <v>17</v>
      </c>
      <c r="H28" s="9"/>
      <c r="I28" s="10">
        <v>73</v>
      </c>
      <c r="J28" s="6">
        <v>16</v>
      </c>
      <c r="K28" s="8">
        <v>46194</v>
      </c>
      <c r="L28" s="6" t="s">
        <v>45</v>
      </c>
    </row>
    <row r="29" spans="1:12" x14ac:dyDescent="0.3">
      <c r="A29" s="6" t="s">
        <v>147</v>
      </c>
      <c r="B29" s="6" t="s">
        <v>65</v>
      </c>
      <c r="C29" s="6">
        <v>1</v>
      </c>
      <c r="D29" s="6" t="s">
        <v>22</v>
      </c>
      <c r="E29" s="8">
        <v>46197</v>
      </c>
      <c r="F29" s="6" t="s">
        <v>44</v>
      </c>
      <c r="G29" s="6" t="s">
        <v>17</v>
      </c>
      <c r="H29" s="9"/>
      <c r="I29" s="10">
        <v>75</v>
      </c>
      <c r="J29" s="6">
        <v>13</v>
      </c>
      <c r="K29" s="8">
        <v>46200</v>
      </c>
      <c r="L29" s="6" t="s">
        <v>45</v>
      </c>
    </row>
    <row r="30" spans="1:12" x14ac:dyDescent="0.3">
      <c r="A30" s="6" t="s">
        <v>148</v>
      </c>
      <c r="B30" s="6" t="s">
        <v>65</v>
      </c>
      <c r="C30" s="6">
        <v>4</v>
      </c>
      <c r="D30" s="6" t="s">
        <v>25</v>
      </c>
      <c r="E30" s="8">
        <v>46197</v>
      </c>
      <c r="F30" s="6" t="s">
        <v>44</v>
      </c>
      <c r="G30" s="6" t="s">
        <v>17</v>
      </c>
      <c r="H30" s="9"/>
      <c r="I30" s="10">
        <v>93.7</v>
      </c>
      <c r="J30" s="6">
        <v>0</v>
      </c>
      <c r="K30" s="8">
        <v>46203</v>
      </c>
      <c r="L30" s="6" t="s">
        <v>45</v>
      </c>
    </row>
    <row r="31" spans="1:12" x14ac:dyDescent="0.3">
      <c r="A31" s="6" t="s">
        <v>149</v>
      </c>
      <c r="B31" s="6" t="s">
        <v>66</v>
      </c>
      <c r="C31" s="6">
        <v>2</v>
      </c>
      <c r="D31" s="6" t="s">
        <v>23</v>
      </c>
      <c r="E31" s="8">
        <v>46187</v>
      </c>
      <c r="F31" s="6" t="s">
        <v>44</v>
      </c>
      <c r="G31" s="6" t="s">
        <v>17</v>
      </c>
      <c r="H31" s="9"/>
      <c r="I31" s="10">
        <v>54.7</v>
      </c>
      <c r="J31" s="6">
        <v>0</v>
      </c>
      <c r="K31" s="8">
        <v>46190</v>
      </c>
      <c r="L31" s="6" t="s">
        <v>45</v>
      </c>
    </row>
    <row r="32" spans="1:12" x14ac:dyDescent="0.3">
      <c r="A32" s="6" t="s">
        <v>150</v>
      </c>
      <c r="B32" s="6" t="s">
        <v>67</v>
      </c>
      <c r="C32" s="6">
        <v>7</v>
      </c>
      <c r="D32" s="6" t="s">
        <v>28</v>
      </c>
      <c r="E32" s="8">
        <v>46153</v>
      </c>
      <c r="F32" s="6" t="s">
        <v>57</v>
      </c>
      <c r="G32" s="6" t="s">
        <v>17</v>
      </c>
      <c r="H32" s="9"/>
      <c r="I32" s="11"/>
      <c r="J32" s="6">
        <v>17</v>
      </c>
      <c r="K32" s="8">
        <v>46180</v>
      </c>
      <c r="L32" s="6" t="s">
        <v>45</v>
      </c>
    </row>
    <row r="33" spans="1:12" x14ac:dyDescent="0.3">
      <c r="A33" s="6" t="s">
        <v>151</v>
      </c>
      <c r="B33" s="6" t="s">
        <v>67</v>
      </c>
      <c r="C33" s="6">
        <v>4</v>
      </c>
      <c r="D33" s="6" t="s">
        <v>25</v>
      </c>
      <c r="E33" s="8">
        <v>46186</v>
      </c>
      <c r="F33" s="6" t="s">
        <v>44</v>
      </c>
      <c r="G33" s="6" t="s">
        <v>17</v>
      </c>
      <c r="H33" s="9"/>
      <c r="I33" s="11"/>
      <c r="J33" s="6">
        <v>9</v>
      </c>
      <c r="K33" s="8">
        <v>46193</v>
      </c>
      <c r="L33" s="6" t="s">
        <v>45</v>
      </c>
    </row>
    <row r="34" spans="1:12" x14ac:dyDescent="0.3">
      <c r="A34" s="6" t="s">
        <v>152</v>
      </c>
      <c r="B34" s="6" t="s">
        <v>69</v>
      </c>
      <c r="C34" s="6">
        <v>3</v>
      </c>
      <c r="D34" s="6" t="s">
        <v>24</v>
      </c>
      <c r="E34" s="8">
        <v>46195</v>
      </c>
      <c r="F34" s="6" t="s">
        <v>44</v>
      </c>
      <c r="G34" s="6" t="s">
        <v>17</v>
      </c>
      <c r="H34" s="9"/>
      <c r="I34" s="10">
        <v>82.2</v>
      </c>
      <c r="J34" s="6">
        <v>11</v>
      </c>
      <c r="K34" s="8">
        <v>46203</v>
      </c>
      <c r="L34" s="6" t="s">
        <v>45</v>
      </c>
    </row>
    <row r="35" spans="1:12" x14ac:dyDescent="0.3">
      <c r="A35" s="6" t="s">
        <v>153</v>
      </c>
      <c r="B35" s="6" t="s">
        <v>69</v>
      </c>
      <c r="C35" s="6">
        <v>5</v>
      </c>
      <c r="D35" s="6" t="s">
        <v>26</v>
      </c>
      <c r="E35" s="8">
        <v>46143</v>
      </c>
      <c r="F35" s="6" t="s">
        <v>57</v>
      </c>
      <c r="G35" s="6" t="s">
        <v>16</v>
      </c>
      <c r="H35" s="8">
        <v>46172</v>
      </c>
      <c r="I35" s="10">
        <v>77.400000000000006</v>
      </c>
      <c r="J35" s="6">
        <v>7</v>
      </c>
      <c r="K35" s="8">
        <v>46147</v>
      </c>
      <c r="L35" s="6" t="s">
        <v>45</v>
      </c>
    </row>
    <row r="36" spans="1:12" x14ac:dyDescent="0.3">
      <c r="A36" s="6" t="s">
        <v>154</v>
      </c>
      <c r="B36" s="6" t="s">
        <v>70</v>
      </c>
      <c r="C36" s="6">
        <v>3</v>
      </c>
      <c r="D36" s="6" t="s">
        <v>24</v>
      </c>
      <c r="E36" s="8">
        <v>46199</v>
      </c>
      <c r="F36" s="6" t="s">
        <v>44</v>
      </c>
      <c r="G36" s="6" t="s">
        <v>17</v>
      </c>
      <c r="H36" s="9"/>
      <c r="I36" s="10">
        <v>78.900000000000006</v>
      </c>
      <c r="J36" s="6">
        <v>1</v>
      </c>
      <c r="K36" s="8">
        <v>46203</v>
      </c>
      <c r="L36" s="6" t="s">
        <v>45</v>
      </c>
    </row>
    <row r="37" spans="1:12" x14ac:dyDescent="0.3">
      <c r="A37" s="6" t="s">
        <v>155</v>
      </c>
      <c r="B37" s="6" t="s">
        <v>71</v>
      </c>
      <c r="C37" s="6">
        <v>1</v>
      </c>
      <c r="D37" s="6" t="s">
        <v>22</v>
      </c>
      <c r="E37" s="8">
        <v>46169</v>
      </c>
      <c r="F37" s="6" t="s">
        <v>57</v>
      </c>
      <c r="G37" s="6" t="s">
        <v>18</v>
      </c>
      <c r="H37" s="9"/>
      <c r="I37" s="10">
        <v>59.9</v>
      </c>
      <c r="J37" s="6">
        <v>0</v>
      </c>
      <c r="K37" s="8">
        <v>46195</v>
      </c>
      <c r="L37" s="6" t="s">
        <v>45</v>
      </c>
    </row>
    <row r="38" spans="1:12" x14ac:dyDescent="0.3">
      <c r="A38" s="6" t="s">
        <v>156</v>
      </c>
      <c r="B38" s="6" t="s">
        <v>72</v>
      </c>
      <c r="C38" s="6">
        <v>6</v>
      </c>
      <c r="D38" s="6" t="s">
        <v>27</v>
      </c>
      <c r="E38" s="8">
        <v>46196</v>
      </c>
      <c r="F38" s="6" t="s">
        <v>44</v>
      </c>
      <c r="G38" s="6" t="s">
        <v>17</v>
      </c>
      <c r="H38" s="9"/>
      <c r="I38" s="10">
        <v>69.7</v>
      </c>
      <c r="J38" s="6">
        <v>13</v>
      </c>
      <c r="K38" s="8">
        <v>46198</v>
      </c>
      <c r="L38" s="6" t="s">
        <v>45</v>
      </c>
    </row>
    <row r="39" spans="1:12" x14ac:dyDescent="0.3">
      <c r="A39" s="6" t="s">
        <v>157</v>
      </c>
      <c r="B39" s="6" t="s">
        <v>72</v>
      </c>
      <c r="C39" s="6">
        <v>5</v>
      </c>
      <c r="D39" s="6" t="s">
        <v>26</v>
      </c>
      <c r="E39" s="8">
        <v>46187</v>
      </c>
      <c r="F39" s="6" t="s">
        <v>44</v>
      </c>
      <c r="G39" s="6" t="s">
        <v>17</v>
      </c>
      <c r="H39" s="9"/>
      <c r="I39" s="11"/>
      <c r="J39" s="6">
        <v>13</v>
      </c>
      <c r="K39" s="8">
        <v>46187</v>
      </c>
      <c r="L39" s="6" t="s">
        <v>45</v>
      </c>
    </row>
    <row r="40" spans="1:12" x14ac:dyDescent="0.3">
      <c r="A40" s="6" t="s">
        <v>158</v>
      </c>
      <c r="B40" s="6" t="s">
        <v>73</v>
      </c>
      <c r="C40" s="6">
        <v>4</v>
      </c>
      <c r="D40" s="6" t="s">
        <v>25</v>
      </c>
      <c r="E40" s="8">
        <v>46108</v>
      </c>
      <c r="F40" s="6" t="s">
        <v>55</v>
      </c>
      <c r="G40" s="6" t="s">
        <v>17</v>
      </c>
      <c r="H40" s="9"/>
      <c r="I40" s="10">
        <v>88</v>
      </c>
      <c r="J40" s="6">
        <v>11</v>
      </c>
      <c r="K40" s="8">
        <v>46135</v>
      </c>
      <c r="L40" s="6" t="s">
        <v>45</v>
      </c>
    </row>
    <row r="41" spans="1:12" x14ac:dyDescent="0.3">
      <c r="A41" s="6" t="s">
        <v>159</v>
      </c>
      <c r="B41" s="6" t="s">
        <v>74</v>
      </c>
      <c r="C41" s="6">
        <v>3</v>
      </c>
      <c r="D41" s="6" t="s">
        <v>24</v>
      </c>
      <c r="E41" s="8">
        <v>46160</v>
      </c>
      <c r="F41" s="6" t="s">
        <v>57</v>
      </c>
      <c r="G41" s="6" t="s">
        <v>17</v>
      </c>
      <c r="H41" s="9"/>
      <c r="I41" s="11"/>
      <c r="J41" s="6">
        <v>3</v>
      </c>
      <c r="K41" s="8">
        <v>46190</v>
      </c>
      <c r="L41" s="6" t="s">
        <v>45</v>
      </c>
    </row>
    <row r="42" spans="1:12" x14ac:dyDescent="0.3">
      <c r="A42" s="6" t="s">
        <v>160</v>
      </c>
      <c r="B42" s="6" t="s">
        <v>74</v>
      </c>
      <c r="C42" s="6">
        <v>4</v>
      </c>
      <c r="D42" s="6" t="s">
        <v>25</v>
      </c>
      <c r="E42" s="8">
        <v>46127</v>
      </c>
      <c r="F42" s="6" t="s">
        <v>52</v>
      </c>
      <c r="G42" s="6" t="s">
        <v>17</v>
      </c>
      <c r="H42" s="9"/>
      <c r="I42" s="10">
        <v>81.5</v>
      </c>
      <c r="J42" s="6">
        <v>2</v>
      </c>
      <c r="K42" s="8">
        <v>46130</v>
      </c>
      <c r="L42" s="6" t="s">
        <v>45</v>
      </c>
    </row>
    <row r="43" spans="1:12" x14ac:dyDescent="0.3">
      <c r="A43" s="6" t="s">
        <v>161</v>
      </c>
      <c r="B43" s="6" t="s">
        <v>75</v>
      </c>
      <c r="C43" s="6">
        <v>2</v>
      </c>
      <c r="D43" s="6" t="s">
        <v>23</v>
      </c>
      <c r="E43" s="8">
        <v>46152</v>
      </c>
      <c r="F43" s="6" t="s">
        <v>57</v>
      </c>
      <c r="G43" s="6" t="s">
        <v>16</v>
      </c>
      <c r="H43" s="8">
        <v>46197</v>
      </c>
      <c r="I43" s="10">
        <v>69</v>
      </c>
      <c r="J43" s="6">
        <v>7</v>
      </c>
      <c r="K43" s="8">
        <v>46181</v>
      </c>
      <c r="L43" s="6" t="s">
        <v>45</v>
      </c>
    </row>
    <row r="44" spans="1:12" x14ac:dyDescent="0.3">
      <c r="A44" s="6" t="s">
        <v>162</v>
      </c>
      <c r="B44" s="6" t="s">
        <v>75</v>
      </c>
      <c r="C44" s="6">
        <v>1</v>
      </c>
      <c r="D44" s="6" t="s">
        <v>22</v>
      </c>
      <c r="E44" s="8">
        <v>46187</v>
      </c>
      <c r="F44" s="6" t="s">
        <v>44</v>
      </c>
      <c r="G44" s="6" t="s">
        <v>18</v>
      </c>
      <c r="H44" s="9"/>
      <c r="I44" s="10">
        <v>43.6</v>
      </c>
      <c r="J44" s="6">
        <v>6</v>
      </c>
      <c r="K44" s="8">
        <v>46196</v>
      </c>
      <c r="L44" s="6" t="s">
        <v>45</v>
      </c>
    </row>
    <row r="45" spans="1:12" x14ac:dyDescent="0.3">
      <c r="A45" s="6" t="s">
        <v>163</v>
      </c>
      <c r="B45" s="6" t="s">
        <v>75</v>
      </c>
      <c r="C45" s="6">
        <v>5</v>
      </c>
      <c r="D45" s="6" t="s">
        <v>26</v>
      </c>
      <c r="E45" s="8">
        <v>46149</v>
      </c>
      <c r="F45" s="6" t="s">
        <v>57</v>
      </c>
      <c r="G45" s="6" t="s">
        <v>17</v>
      </c>
      <c r="H45" s="9"/>
      <c r="I45" s="11"/>
      <c r="J45" s="6">
        <v>13</v>
      </c>
      <c r="K45" s="8">
        <v>46174</v>
      </c>
      <c r="L45" s="6" t="s">
        <v>45</v>
      </c>
    </row>
    <row r="46" spans="1:12" x14ac:dyDescent="0.3">
      <c r="A46" s="6" t="s">
        <v>164</v>
      </c>
      <c r="B46" s="6" t="s">
        <v>76</v>
      </c>
      <c r="C46" s="6">
        <v>2</v>
      </c>
      <c r="D46" s="6" t="s">
        <v>23</v>
      </c>
      <c r="E46" s="8">
        <v>46191</v>
      </c>
      <c r="F46" s="6" t="s">
        <v>44</v>
      </c>
      <c r="G46" s="6" t="s">
        <v>17</v>
      </c>
      <c r="H46" s="9"/>
      <c r="I46" s="10">
        <v>49.7</v>
      </c>
      <c r="J46" s="6">
        <v>4</v>
      </c>
      <c r="K46" s="8">
        <v>46203</v>
      </c>
      <c r="L46" s="6" t="s">
        <v>45</v>
      </c>
    </row>
    <row r="47" spans="1:12" x14ac:dyDescent="0.3">
      <c r="A47" s="6" t="s">
        <v>165</v>
      </c>
      <c r="B47" s="6" t="s">
        <v>76</v>
      </c>
      <c r="C47" s="6">
        <v>1</v>
      </c>
      <c r="D47" s="6" t="s">
        <v>22</v>
      </c>
      <c r="E47" s="8">
        <v>46202</v>
      </c>
      <c r="F47" s="6" t="s">
        <v>44</v>
      </c>
      <c r="G47" s="6" t="s">
        <v>17</v>
      </c>
      <c r="H47" s="9"/>
      <c r="I47" s="10">
        <v>59.9</v>
      </c>
      <c r="J47" s="6">
        <v>11</v>
      </c>
      <c r="K47" s="8">
        <v>46202</v>
      </c>
      <c r="L47" s="6" t="s">
        <v>45</v>
      </c>
    </row>
    <row r="48" spans="1:12" x14ac:dyDescent="0.3">
      <c r="A48" s="6" t="s">
        <v>166</v>
      </c>
      <c r="B48" s="6" t="s">
        <v>76</v>
      </c>
      <c r="C48" s="6">
        <v>5</v>
      </c>
      <c r="D48" s="6" t="s">
        <v>26</v>
      </c>
      <c r="E48" s="8">
        <v>46197</v>
      </c>
      <c r="F48" s="6" t="s">
        <v>44</v>
      </c>
      <c r="G48" s="6" t="s">
        <v>17</v>
      </c>
      <c r="H48" s="9"/>
      <c r="I48" s="10">
        <v>77.900000000000006</v>
      </c>
      <c r="J48" s="6">
        <v>0</v>
      </c>
      <c r="K48" s="8">
        <v>46202</v>
      </c>
      <c r="L48" s="6" t="s">
        <v>45</v>
      </c>
    </row>
    <row r="49" spans="1:12" x14ac:dyDescent="0.3">
      <c r="A49" s="6" t="s">
        <v>167</v>
      </c>
      <c r="B49" s="6" t="s">
        <v>77</v>
      </c>
      <c r="C49" s="6">
        <v>4</v>
      </c>
      <c r="D49" s="6" t="s">
        <v>25</v>
      </c>
      <c r="E49" s="8">
        <v>46200</v>
      </c>
      <c r="F49" s="6" t="s">
        <v>44</v>
      </c>
      <c r="G49" s="6" t="s">
        <v>17</v>
      </c>
      <c r="H49" s="9"/>
      <c r="I49" s="11"/>
      <c r="J49" s="6">
        <v>18</v>
      </c>
      <c r="K49" s="8">
        <v>46203</v>
      </c>
      <c r="L49" s="6" t="s">
        <v>45</v>
      </c>
    </row>
    <row r="50" spans="1:12" x14ac:dyDescent="0.3">
      <c r="A50" s="6" t="s">
        <v>168</v>
      </c>
      <c r="B50" s="6" t="s">
        <v>77</v>
      </c>
      <c r="C50" s="6">
        <v>6</v>
      </c>
      <c r="D50" s="6" t="s">
        <v>27</v>
      </c>
      <c r="E50" s="8">
        <v>46200</v>
      </c>
      <c r="F50" s="6" t="s">
        <v>44</v>
      </c>
      <c r="G50" s="6" t="s">
        <v>17</v>
      </c>
      <c r="H50" s="9"/>
      <c r="I50" s="11"/>
      <c r="J50" s="6">
        <v>8</v>
      </c>
      <c r="K50" s="8">
        <v>46200</v>
      </c>
      <c r="L50" s="6" t="s">
        <v>45</v>
      </c>
    </row>
    <row r="51" spans="1:12" x14ac:dyDescent="0.3">
      <c r="A51" s="6" t="s">
        <v>169</v>
      </c>
      <c r="B51" s="6" t="s">
        <v>77</v>
      </c>
      <c r="C51" s="6">
        <v>2</v>
      </c>
      <c r="D51" s="6" t="s">
        <v>23</v>
      </c>
      <c r="E51" s="8">
        <v>46199</v>
      </c>
      <c r="F51" s="6" t="s">
        <v>44</v>
      </c>
      <c r="G51" s="6" t="s">
        <v>17</v>
      </c>
      <c r="H51" s="9"/>
      <c r="I51" s="10">
        <v>53.2</v>
      </c>
      <c r="J51" s="6">
        <v>1</v>
      </c>
      <c r="K51" s="8">
        <v>46202</v>
      </c>
      <c r="L51" s="6" t="s">
        <v>45</v>
      </c>
    </row>
    <row r="52" spans="1:12" x14ac:dyDescent="0.3">
      <c r="A52" s="6" t="s">
        <v>170</v>
      </c>
      <c r="B52" s="6" t="s">
        <v>78</v>
      </c>
      <c r="C52" s="6">
        <v>2</v>
      </c>
      <c r="D52" s="6" t="s">
        <v>23</v>
      </c>
      <c r="E52" s="8">
        <v>46097</v>
      </c>
      <c r="F52" s="6" t="s">
        <v>55</v>
      </c>
      <c r="G52" s="6" t="s">
        <v>18</v>
      </c>
      <c r="H52" s="9"/>
      <c r="I52" s="10">
        <v>76.2</v>
      </c>
      <c r="J52" s="6">
        <v>9</v>
      </c>
      <c r="K52" s="8">
        <v>46168</v>
      </c>
      <c r="L52" s="6" t="s">
        <v>45</v>
      </c>
    </row>
    <row r="53" spans="1:12" x14ac:dyDescent="0.3">
      <c r="A53" s="6" t="s">
        <v>171</v>
      </c>
      <c r="B53" s="6" t="s">
        <v>78</v>
      </c>
      <c r="C53" s="6">
        <v>4</v>
      </c>
      <c r="D53" s="6" t="s">
        <v>25</v>
      </c>
      <c r="E53" s="8">
        <v>46045</v>
      </c>
      <c r="F53" s="6" t="s">
        <v>48</v>
      </c>
      <c r="G53" s="6" t="s">
        <v>17</v>
      </c>
      <c r="H53" s="9"/>
      <c r="I53" s="10">
        <v>72.8</v>
      </c>
      <c r="J53" s="6">
        <v>8</v>
      </c>
      <c r="K53" s="8">
        <v>46166</v>
      </c>
      <c r="L53" s="6" t="s">
        <v>45</v>
      </c>
    </row>
    <row r="54" spans="1:12" x14ac:dyDescent="0.3">
      <c r="A54" s="6" t="s">
        <v>172</v>
      </c>
      <c r="B54" s="6" t="s">
        <v>79</v>
      </c>
      <c r="C54" s="6">
        <v>4</v>
      </c>
      <c r="D54" s="6" t="s">
        <v>25</v>
      </c>
      <c r="E54" s="8">
        <v>46069</v>
      </c>
      <c r="F54" s="6" t="s">
        <v>50</v>
      </c>
      <c r="G54" s="6" t="s">
        <v>16</v>
      </c>
      <c r="H54" s="8">
        <v>46098</v>
      </c>
      <c r="I54" s="10">
        <v>86.3</v>
      </c>
      <c r="J54" s="6">
        <v>12</v>
      </c>
      <c r="K54" s="8">
        <v>46190</v>
      </c>
      <c r="L54" s="6" t="s">
        <v>45</v>
      </c>
    </row>
    <row r="55" spans="1:12" x14ac:dyDescent="0.3">
      <c r="A55" s="6" t="s">
        <v>173</v>
      </c>
      <c r="B55" s="6" t="s">
        <v>79</v>
      </c>
      <c r="C55" s="6">
        <v>7</v>
      </c>
      <c r="D55" s="6" t="s">
        <v>28</v>
      </c>
      <c r="E55" s="8">
        <v>46200</v>
      </c>
      <c r="F55" s="6" t="s">
        <v>44</v>
      </c>
      <c r="G55" s="6" t="s">
        <v>18</v>
      </c>
      <c r="H55" s="9"/>
      <c r="I55" s="11"/>
      <c r="J55" s="6">
        <v>12</v>
      </c>
      <c r="K55" s="8">
        <v>46203</v>
      </c>
      <c r="L55" s="6" t="s">
        <v>45</v>
      </c>
    </row>
    <row r="56" spans="1:12" x14ac:dyDescent="0.3">
      <c r="A56" s="6" t="s">
        <v>174</v>
      </c>
      <c r="B56" s="6" t="s">
        <v>80</v>
      </c>
      <c r="C56" s="6">
        <v>3</v>
      </c>
      <c r="D56" s="6" t="s">
        <v>24</v>
      </c>
      <c r="E56" s="8">
        <v>46101</v>
      </c>
      <c r="F56" s="6" t="s">
        <v>55</v>
      </c>
      <c r="G56" s="6" t="s">
        <v>16</v>
      </c>
      <c r="H56" s="8">
        <v>46128</v>
      </c>
      <c r="I56" s="10">
        <v>70.5</v>
      </c>
      <c r="J56" s="6">
        <v>7</v>
      </c>
      <c r="K56" s="8">
        <v>46128</v>
      </c>
      <c r="L56" s="6" t="s">
        <v>45</v>
      </c>
    </row>
    <row r="57" spans="1:12" x14ac:dyDescent="0.3">
      <c r="A57" s="6" t="s">
        <v>175</v>
      </c>
      <c r="B57" s="6" t="s">
        <v>81</v>
      </c>
      <c r="C57" s="6">
        <v>3</v>
      </c>
      <c r="D57" s="6" t="s">
        <v>24</v>
      </c>
      <c r="E57" s="8">
        <v>46164</v>
      </c>
      <c r="F57" s="6" t="s">
        <v>57</v>
      </c>
      <c r="G57" s="6" t="s">
        <v>17</v>
      </c>
      <c r="H57" s="9"/>
      <c r="I57" s="10">
        <v>37.700000000000003</v>
      </c>
      <c r="J57" s="6">
        <v>4</v>
      </c>
      <c r="K57" s="8">
        <v>46176</v>
      </c>
      <c r="L57" s="6" t="s">
        <v>45</v>
      </c>
    </row>
    <row r="58" spans="1:12" x14ac:dyDescent="0.3">
      <c r="A58" s="6" t="s">
        <v>176</v>
      </c>
      <c r="B58" s="6" t="s">
        <v>81</v>
      </c>
      <c r="C58" s="6">
        <v>6</v>
      </c>
      <c r="D58" s="6" t="s">
        <v>27</v>
      </c>
      <c r="E58" s="8">
        <v>46126</v>
      </c>
      <c r="F58" s="6" t="s">
        <v>52</v>
      </c>
      <c r="G58" s="6" t="s">
        <v>16</v>
      </c>
      <c r="H58" s="8">
        <v>46152</v>
      </c>
      <c r="I58" s="10">
        <v>70.099999999999994</v>
      </c>
      <c r="J58" s="6">
        <v>2</v>
      </c>
      <c r="K58" s="8">
        <v>46196</v>
      </c>
      <c r="L58" s="6" t="s">
        <v>45</v>
      </c>
    </row>
    <row r="59" spans="1:12" x14ac:dyDescent="0.3">
      <c r="A59" s="6" t="s">
        <v>177</v>
      </c>
      <c r="B59" s="6" t="s">
        <v>82</v>
      </c>
      <c r="C59" s="6">
        <v>2</v>
      </c>
      <c r="D59" s="6" t="s">
        <v>23</v>
      </c>
      <c r="E59" s="8">
        <v>46188</v>
      </c>
      <c r="F59" s="6" t="s">
        <v>44</v>
      </c>
      <c r="G59" s="6" t="s">
        <v>17</v>
      </c>
      <c r="H59" s="9"/>
      <c r="I59" s="10">
        <v>65</v>
      </c>
      <c r="J59" s="6">
        <v>10</v>
      </c>
      <c r="K59" s="8">
        <v>46203</v>
      </c>
      <c r="L59" s="6" t="s">
        <v>45</v>
      </c>
    </row>
    <row r="60" spans="1:12" x14ac:dyDescent="0.3">
      <c r="A60" s="6" t="s">
        <v>178</v>
      </c>
      <c r="B60" s="6" t="s">
        <v>83</v>
      </c>
      <c r="C60" s="6">
        <v>3</v>
      </c>
      <c r="D60" s="6" t="s">
        <v>24</v>
      </c>
      <c r="E60" s="8">
        <v>46071</v>
      </c>
      <c r="F60" s="6" t="s">
        <v>50</v>
      </c>
      <c r="G60" s="6" t="s">
        <v>18</v>
      </c>
      <c r="H60" s="9"/>
      <c r="I60" s="11"/>
      <c r="J60" s="6">
        <v>3</v>
      </c>
      <c r="K60" s="8">
        <v>46173</v>
      </c>
      <c r="L60" s="6" t="s">
        <v>45</v>
      </c>
    </row>
    <row r="61" spans="1:12" x14ac:dyDescent="0.3">
      <c r="A61" s="6" t="s">
        <v>179</v>
      </c>
      <c r="B61" s="6" t="s">
        <v>83</v>
      </c>
      <c r="C61" s="6">
        <v>2</v>
      </c>
      <c r="D61" s="6" t="s">
        <v>23</v>
      </c>
      <c r="E61" s="8">
        <v>46183</v>
      </c>
      <c r="F61" s="6" t="s">
        <v>44</v>
      </c>
      <c r="G61" s="6" t="s">
        <v>17</v>
      </c>
      <c r="H61" s="9"/>
      <c r="I61" s="10">
        <v>86.8</v>
      </c>
      <c r="J61" s="6">
        <v>0</v>
      </c>
      <c r="K61" s="8">
        <v>46185</v>
      </c>
      <c r="L61" s="6" t="s">
        <v>45</v>
      </c>
    </row>
    <row r="62" spans="1:12" x14ac:dyDescent="0.3">
      <c r="A62" s="6" t="s">
        <v>180</v>
      </c>
      <c r="B62" s="6" t="s">
        <v>84</v>
      </c>
      <c r="C62" s="6">
        <v>1</v>
      </c>
      <c r="D62" s="6" t="s">
        <v>22</v>
      </c>
      <c r="E62" s="8">
        <v>46119</v>
      </c>
      <c r="F62" s="6" t="s">
        <v>52</v>
      </c>
      <c r="G62" s="6" t="s">
        <v>17</v>
      </c>
      <c r="H62" s="9"/>
      <c r="I62" s="10">
        <v>92.8</v>
      </c>
      <c r="J62" s="6">
        <v>0</v>
      </c>
      <c r="K62" s="8">
        <v>46157</v>
      </c>
      <c r="L62" s="6" t="s">
        <v>45</v>
      </c>
    </row>
    <row r="63" spans="1:12" x14ac:dyDescent="0.3">
      <c r="A63" s="6" t="s">
        <v>181</v>
      </c>
      <c r="B63" s="6" t="s">
        <v>84</v>
      </c>
      <c r="C63" s="6">
        <v>5</v>
      </c>
      <c r="D63" s="6" t="s">
        <v>26</v>
      </c>
      <c r="E63" s="8">
        <v>46171</v>
      </c>
      <c r="F63" s="6" t="s">
        <v>57</v>
      </c>
      <c r="G63" s="6" t="s">
        <v>18</v>
      </c>
      <c r="H63" s="9"/>
      <c r="I63" s="10">
        <v>54.3</v>
      </c>
      <c r="J63" s="6">
        <v>0</v>
      </c>
      <c r="K63" s="8">
        <v>46184</v>
      </c>
      <c r="L63" s="6" t="s">
        <v>45</v>
      </c>
    </row>
    <row r="64" spans="1:12" x14ac:dyDescent="0.3">
      <c r="A64" s="6" t="s">
        <v>182</v>
      </c>
      <c r="B64" s="6" t="s">
        <v>84</v>
      </c>
      <c r="C64" s="6">
        <v>4</v>
      </c>
      <c r="D64" s="6" t="s">
        <v>25</v>
      </c>
      <c r="E64" s="8">
        <v>46116</v>
      </c>
      <c r="F64" s="6" t="s">
        <v>52</v>
      </c>
      <c r="G64" s="6" t="s">
        <v>18</v>
      </c>
      <c r="H64" s="9"/>
      <c r="I64" s="10">
        <v>57.4</v>
      </c>
      <c r="J64" s="6">
        <v>18</v>
      </c>
      <c r="K64" s="8">
        <v>46125</v>
      </c>
      <c r="L64" s="6" t="s">
        <v>45</v>
      </c>
    </row>
    <row r="65" spans="1:12" x14ac:dyDescent="0.3">
      <c r="A65" s="6" t="s">
        <v>183</v>
      </c>
      <c r="B65" s="6" t="s">
        <v>85</v>
      </c>
      <c r="C65" s="6">
        <v>4</v>
      </c>
      <c r="D65" s="6" t="s">
        <v>25</v>
      </c>
      <c r="E65" s="8">
        <v>46195</v>
      </c>
      <c r="F65" s="6" t="s">
        <v>44</v>
      </c>
      <c r="G65" s="6" t="s">
        <v>17</v>
      </c>
      <c r="H65" s="9"/>
      <c r="I65" s="10">
        <v>83.3</v>
      </c>
      <c r="J65" s="6">
        <v>15</v>
      </c>
      <c r="K65" s="8">
        <v>46196</v>
      </c>
      <c r="L65" s="6" t="s">
        <v>45</v>
      </c>
    </row>
    <row r="66" spans="1:12" x14ac:dyDescent="0.3">
      <c r="A66" s="6" t="s">
        <v>184</v>
      </c>
      <c r="B66" s="6" t="s">
        <v>86</v>
      </c>
      <c r="C66" s="6">
        <v>3</v>
      </c>
      <c r="D66" s="6" t="s">
        <v>24</v>
      </c>
      <c r="E66" s="8">
        <v>46203</v>
      </c>
      <c r="F66" s="6" t="s">
        <v>44</v>
      </c>
      <c r="G66" s="6" t="s">
        <v>17</v>
      </c>
      <c r="H66" s="9"/>
      <c r="I66" s="11"/>
      <c r="J66" s="6">
        <v>18</v>
      </c>
      <c r="K66" s="8">
        <v>46203</v>
      </c>
      <c r="L66" s="6" t="s">
        <v>45</v>
      </c>
    </row>
    <row r="67" spans="1:12" x14ac:dyDescent="0.3">
      <c r="A67" s="6" t="s">
        <v>185</v>
      </c>
      <c r="B67" s="6" t="s">
        <v>86</v>
      </c>
      <c r="C67" s="6">
        <v>6</v>
      </c>
      <c r="D67" s="6" t="s">
        <v>27</v>
      </c>
      <c r="E67" s="8">
        <v>46196</v>
      </c>
      <c r="F67" s="6" t="s">
        <v>44</v>
      </c>
      <c r="G67" s="6" t="s">
        <v>17</v>
      </c>
      <c r="H67" s="9"/>
      <c r="I67" s="11"/>
      <c r="J67" s="6">
        <v>6</v>
      </c>
      <c r="K67" s="8">
        <v>46200</v>
      </c>
      <c r="L67" s="6" t="s">
        <v>45</v>
      </c>
    </row>
    <row r="68" spans="1:12" x14ac:dyDescent="0.3">
      <c r="A68" s="6" t="s">
        <v>186</v>
      </c>
      <c r="B68" s="6" t="s">
        <v>87</v>
      </c>
      <c r="C68" s="6">
        <v>7</v>
      </c>
      <c r="D68" s="6" t="s">
        <v>28</v>
      </c>
      <c r="E68" s="8">
        <v>46152</v>
      </c>
      <c r="F68" s="6" t="s">
        <v>57</v>
      </c>
      <c r="G68" s="6" t="s">
        <v>17</v>
      </c>
      <c r="H68" s="9"/>
      <c r="I68" s="10">
        <v>74.400000000000006</v>
      </c>
      <c r="J68" s="6">
        <v>13</v>
      </c>
      <c r="K68" s="8">
        <v>46169</v>
      </c>
      <c r="L68" s="6" t="s">
        <v>45</v>
      </c>
    </row>
    <row r="69" spans="1:12" x14ac:dyDescent="0.3">
      <c r="A69" s="6" t="s">
        <v>187</v>
      </c>
      <c r="B69" s="6" t="s">
        <v>87</v>
      </c>
      <c r="C69" s="6">
        <v>5</v>
      </c>
      <c r="D69" s="6" t="s">
        <v>26</v>
      </c>
      <c r="E69" s="8">
        <v>46180</v>
      </c>
      <c r="F69" s="6" t="s">
        <v>44</v>
      </c>
      <c r="G69" s="6" t="s">
        <v>17</v>
      </c>
      <c r="H69" s="9"/>
      <c r="I69" s="10">
        <v>48</v>
      </c>
      <c r="J69" s="6">
        <v>9</v>
      </c>
      <c r="K69" s="8">
        <v>46180</v>
      </c>
      <c r="L69" s="6" t="s">
        <v>45</v>
      </c>
    </row>
    <row r="70" spans="1:12" x14ac:dyDescent="0.3">
      <c r="A70" s="6" t="s">
        <v>188</v>
      </c>
      <c r="B70" s="6" t="s">
        <v>88</v>
      </c>
      <c r="C70" s="6">
        <v>6</v>
      </c>
      <c r="D70" s="6" t="s">
        <v>27</v>
      </c>
      <c r="E70" s="8">
        <v>46196</v>
      </c>
      <c r="F70" s="6" t="s">
        <v>44</v>
      </c>
      <c r="G70" s="6" t="s">
        <v>17</v>
      </c>
      <c r="H70" s="9"/>
      <c r="I70" s="10">
        <v>55</v>
      </c>
      <c r="J70" s="6">
        <v>9</v>
      </c>
      <c r="K70" s="8">
        <v>46196</v>
      </c>
      <c r="L70" s="6" t="s">
        <v>45</v>
      </c>
    </row>
    <row r="71" spans="1:12" x14ac:dyDescent="0.3">
      <c r="A71" s="6" t="s">
        <v>189</v>
      </c>
      <c r="B71" s="6" t="s">
        <v>89</v>
      </c>
      <c r="C71" s="6">
        <v>2</v>
      </c>
      <c r="D71" s="6" t="s">
        <v>23</v>
      </c>
      <c r="E71" s="8">
        <v>46202</v>
      </c>
      <c r="F71" s="6" t="s">
        <v>44</v>
      </c>
      <c r="G71" s="6" t="s">
        <v>17</v>
      </c>
      <c r="H71" s="9"/>
      <c r="I71" s="11"/>
      <c r="J71" s="6">
        <v>14</v>
      </c>
      <c r="K71" s="8">
        <v>46203</v>
      </c>
      <c r="L71" s="6" t="s">
        <v>45</v>
      </c>
    </row>
    <row r="72" spans="1:12" x14ac:dyDescent="0.3">
      <c r="A72" s="6" t="s">
        <v>190</v>
      </c>
      <c r="B72" s="6" t="s">
        <v>89</v>
      </c>
      <c r="C72" s="6">
        <v>4</v>
      </c>
      <c r="D72" s="6" t="s">
        <v>25</v>
      </c>
      <c r="E72" s="8">
        <v>46195</v>
      </c>
      <c r="F72" s="6" t="s">
        <v>44</v>
      </c>
      <c r="G72" s="6" t="s">
        <v>17</v>
      </c>
      <c r="H72" s="9"/>
      <c r="I72" s="10">
        <v>69.2</v>
      </c>
      <c r="J72" s="6">
        <v>14</v>
      </c>
      <c r="K72" s="8">
        <v>46202</v>
      </c>
      <c r="L72" s="6" t="s">
        <v>45</v>
      </c>
    </row>
    <row r="73" spans="1:12" x14ac:dyDescent="0.3">
      <c r="A73" s="6" t="s">
        <v>191</v>
      </c>
      <c r="B73" s="6" t="s">
        <v>90</v>
      </c>
      <c r="C73" s="6">
        <v>4</v>
      </c>
      <c r="D73" s="6" t="s">
        <v>25</v>
      </c>
      <c r="E73" s="8">
        <v>46188</v>
      </c>
      <c r="F73" s="6" t="s">
        <v>44</v>
      </c>
      <c r="G73" s="6" t="s">
        <v>17</v>
      </c>
      <c r="H73" s="9"/>
      <c r="I73" s="10">
        <v>77.900000000000006</v>
      </c>
      <c r="J73" s="6">
        <v>9</v>
      </c>
      <c r="K73" s="8">
        <v>46198</v>
      </c>
      <c r="L73" s="6" t="s">
        <v>45</v>
      </c>
    </row>
    <row r="74" spans="1:12" x14ac:dyDescent="0.3">
      <c r="A74" s="6" t="s">
        <v>192</v>
      </c>
      <c r="B74" s="6" t="s">
        <v>91</v>
      </c>
      <c r="C74" s="6">
        <v>7</v>
      </c>
      <c r="D74" s="6" t="s">
        <v>28</v>
      </c>
      <c r="E74" s="8">
        <v>46174</v>
      </c>
      <c r="F74" s="6" t="s">
        <v>44</v>
      </c>
      <c r="G74" s="6" t="s">
        <v>17</v>
      </c>
      <c r="H74" s="9"/>
      <c r="I74" s="11"/>
      <c r="J74" s="6">
        <v>18</v>
      </c>
      <c r="K74" s="8">
        <v>46188</v>
      </c>
      <c r="L74" s="6" t="s">
        <v>45</v>
      </c>
    </row>
    <row r="75" spans="1:12" x14ac:dyDescent="0.3">
      <c r="A75" s="6" t="s">
        <v>193</v>
      </c>
      <c r="B75" s="6" t="s">
        <v>92</v>
      </c>
      <c r="C75" s="6">
        <v>2</v>
      </c>
      <c r="D75" s="6" t="s">
        <v>23</v>
      </c>
      <c r="E75" s="8">
        <v>46194</v>
      </c>
      <c r="F75" s="6" t="s">
        <v>44</v>
      </c>
      <c r="G75" s="6" t="s">
        <v>18</v>
      </c>
      <c r="H75" s="9"/>
      <c r="I75" s="11"/>
      <c r="J75" s="6">
        <v>2</v>
      </c>
      <c r="K75" s="8">
        <v>46197</v>
      </c>
      <c r="L75" s="6" t="s">
        <v>45</v>
      </c>
    </row>
    <row r="76" spans="1:12" x14ac:dyDescent="0.3">
      <c r="A76" s="6" t="s">
        <v>194</v>
      </c>
      <c r="B76" s="6" t="s">
        <v>93</v>
      </c>
      <c r="C76" s="6">
        <v>2</v>
      </c>
      <c r="D76" s="6" t="s">
        <v>23</v>
      </c>
      <c r="E76" s="8">
        <v>46099</v>
      </c>
      <c r="F76" s="6" t="s">
        <v>55</v>
      </c>
      <c r="G76" s="6" t="s">
        <v>17</v>
      </c>
      <c r="H76" s="9"/>
      <c r="I76" s="10">
        <v>99.2</v>
      </c>
      <c r="J76" s="6">
        <v>8</v>
      </c>
      <c r="K76" s="8">
        <v>46189</v>
      </c>
      <c r="L76" s="6" t="s">
        <v>45</v>
      </c>
    </row>
    <row r="77" spans="1:12" x14ac:dyDescent="0.3">
      <c r="A77" s="6" t="s">
        <v>195</v>
      </c>
      <c r="B77" s="6" t="s">
        <v>94</v>
      </c>
      <c r="C77" s="6">
        <v>5</v>
      </c>
      <c r="D77" s="6" t="s">
        <v>26</v>
      </c>
      <c r="E77" s="8">
        <v>46137</v>
      </c>
      <c r="F77" s="6" t="s">
        <v>52</v>
      </c>
      <c r="G77" s="6" t="s">
        <v>17</v>
      </c>
      <c r="H77" s="9"/>
      <c r="I77" s="10">
        <v>98</v>
      </c>
      <c r="J77" s="6">
        <v>0</v>
      </c>
      <c r="K77" s="8">
        <v>46151</v>
      </c>
      <c r="L77" s="6" t="s">
        <v>45</v>
      </c>
    </row>
    <row r="78" spans="1:12" x14ac:dyDescent="0.3">
      <c r="A78" s="6" t="s">
        <v>196</v>
      </c>
      <c r="B78" s="6" t="s">
        <v>95</v>
      </c>
      <c r="C78" s="6">
        <v>1</v>
      </c>
      <c r="D78" s="6" t="s">
        <v>22</v>
      </c>
      <c r="E78" s="8">
        <v>46074</v>
      </c>
      <c r="F78" s="6" t="s">
        <v>50</v>
      </c>
      <c r="G78" s="6" t="s">
        <v>17</v>
      </c>
      <c r="H78" s="9"/>
      <c r="I78" s="10">
        <v>60.8</v>
      </c>
      <c r="J78" s="6">
        <v>16</v>
      </c>
      <c r="K78" s="8">
        <v>46136</v>
      </c>
      <c r="L78" s="6" t="s">
        <v>45</v>
      </c>
    </row>
    <row r="79" spans="1:12" x14ac:dyDescent="0.3">
      <c r="A79" s="6" t="s">
        <v>197</v>
      </c>
      <c r="B79" s="6" t="s">
        <v>95</v>
      </c>
      <c r="C79" s="6">
        <v>6</v>
      </c>
      <c r="D79" s="6" t="s">
        <v>27</v>
      </c>
      <c r="E79" s="8">
        <v>46151</v>
      </c>
      <c r="F79" s="6" t="s">
        <v>57</v>
      </c>
      <c r="G79" s="6" t="s">
        <v>17</v>
      </c>
      <c r="H79" s="9"/>
      <c r="I79" s="10">
        <v>71.400000000000006</v>
      </c>
      <c r="J79" s="6">
        <v>0</v>
      </c>
      <c r="K79" s="8">
        <v>46183</v>
      </c>
      <c r="L79" s="6" t="s">
        <v>45</v>
      </c>
    </row>
    <row r="80" spans="1:12" x14ac:dyDescent="0.3">
      <c r="A80" s="6" t="s">
        <v>198</v>
      </c>
      <c r="B80" s="6" t="s">
        <v>96</v>
      </c>
      <c r="C80" s="6">
        <v>2</v>
      </c>
      <c r="D80" s="6" t="s">
        <v>23</v>
      </c>
      <c r="E80" s="8">
        <v>46130</v>
      </c>
      <c r="F80" s="6" t="s">
        <v>52</v>
      </c>
      <c r="G80" s="6" t="s">
        <v>17</v>
      </c>
      <c r="H80" s="9"/>
      <c r="I80" s="11"/>
      <c r="J80" s="6">
        <v>17</v>
      </c>
      <c r="K80" s="8">
        <v>46164</v>
      </c>
      <c r="L80" s="6" t="s">
        <v>45</v>
      </c>
    </row>
    <row r="81" spans="1:12" x14ac:dyDescent="0.3">
      <c r="A81" s="6" t="s">
        <v>199</v>
      </c>
      <c r="B81" s="6" t="s">
        <v>96</v>
      </c>
      <c r="C81" s="6">
        <v>1</v>
      </c>
      <c r="D81" s="6" t="s">
        <v>22</v>
      </c>
      <c r="E81" s="8">
        <v>46060</v>
      </c>
      <c r="F81" s="6" t="s">
        <v>50</v>
      </c>
      <c r="G81" s="6" t="s">
        <v>18</v>
      </c>
      <c r="H81" s="9"/>
      <c r="I81" s="10">
        <v>27.8</v>
      </c>
      <c r="J81" s="6">
        <v>5</v>
      </c>
      <c r="K81" s="8">
        <v>46174</v>
      </c>
      <c r="L81" s="6" t="s">
        <v>45</v>
      </c>
    </row>
    <row r="82" spans="1:12" x14ac:dyDescent="0.3">
      <c r="A82" s="6" t="s">
        <v>200</v>
      </c>
      <c r="B82" s="6" t="s">
        <v>97</v>
      </c>
      <c r="C82" s="6">
        <v>3</v>
      </c>
      <c r="D82" s="6" t="s">
        <v>24</v>
      </c>
      <c r="E82" s="8">
        <v>46203</v>
      </c>
      <c r="F82" s="6" t="s">
        <v>44</v>
      </c>
      <c r="G82" s="6" t="s">
        <v>17</v>
      </c>
      <c r="H82" s="9"/>
      <c r="I82" s="10">
        <v>45.2</v>
      </c>
      <c r="J82" s="6">
        <v>0</v>
      </c>
      <c r="K82" s="8">
        <v>46203</v>
      </c>
      <c r="L82" s="6" t="s">
        <v>45</v>
      </c>
    </row>
    <row r="83" spans="1:12" x14ac:dyDescent="0.3">
      <c r="A83" s="6" t="s">
        <v>201</v>
      </c>
      <c r="B83" s="6" t="s">
        <v>97</v>
      </c>
      <c r="C83" s="6">
        <v>7</v>
      </c>
      <c r="D83" s="6" t="s">
        <v>28</v>
      </c>
      <c r="E83" s="8">
        <v>46123</v>
      </c>
      <c r="F83" s="6" t="s">
        <v>52</v>
      </c>
      <c r="G83" s="6" t="s">
        <v>17</v>
      </c>
      <c r="H83" s="9"/>
      <c r="I83" s="10">
        <v>72.7</v>
      </c>
      <c r="J83" s="6">
        <v>13</v>
      </c>
      <c r="K83" s="8">
        <v>46172</v>
      </c>
      <c r="L83" s="6" t="s">
        <v>45</v>
      </c>
    </row>
    <row r="84" spans="1:12" x14ac:dyDescent="0.3">
      <c r="A84" s="6" t="s">
        <v>202</v>
      </c>
      <c r="B84" s="6" t="s">
        <v>98</v>
      </c>
      <c r="C84" s="6">
        <v>7</v>
      </c>
      <c r="D84" s="6" t="s">
        <v>28</v>
      </c>
      <c r="E84" s="8">
        <v>46163</v>
      </c>
      <c r="F84" s="6" t="s">
        <v>57</v>
      </c>
      <c r="G84" s="6" t="s">
        <v>17</v>
      </c>
      <c r="H84" s="9"/>
      <c r="I84" s="10">
        <v>67.900000000000006</v>
      </c>
      <c r="J84" s="6">
        <v>0</v>
      </c>
      <c r="K84" s="8">
        <v>46184</v>
      </c>
      <c r="L84" s="6" t="s">
        <v>45</v>
      </c>
    </row>
    <row r="85" spans="1:12" x14ac:dyDescent="0.3">
      <c r="A85" s="6" t="s">
        <v>203</v>
      </c>
      <c r="B85" s="6" t="s">
        <v>98</v>
      </c>
      <c r="C85" s="6">
        <v>6</v>
      </c>
      <c r="D85" s="6" t="s">
        <v>27</v>
      </c>
      <c r="E85" s="8">
        <v>46062</v>
      </c>
      <c r="F85" s="6" t="s">
        <v>50</v>
      </c>
      <c r="G85" s="6" t="s">
        <v>17</v>
      </c>
      <c r="H85" s="9"/>
      <c r="I85" s="10">
        <v>56.7</v>
      </c>
      <c r="J85" s="6">
        <v>14</v>
      </c>
      <c r="K85" s="8">
        <v>46101</v>
      </c>
      <c r="L85" s="6" t="s">
        <v>45</v>
      </c>
    </row>
    <row r="86" spans="1:12" x14ac:dyDescent="0.3">
      <c r="A86" s="6" t="s">
        <v>204</v>
      </c>
      <c r="B86" s="6" t="s">
        <v>98</v>
      </c>
      <c r="C86" s="6">
        <v>2</v>
      </c>
      <c r="D86" s="6" t="s">
        <v>23</v>
      </c>
      <c r="E86" s="8">
        <v>46056</v>
      </c>
      <c r="F86" s="6" t="s">
        <v>50</v>
      </c>
      <c r="G86" s="6" t="s">
        <v>17</v>
      </c>
      <c r="H86" s="9"/>
      <c r="I86" s="11"/>
      <c r="J86" s="6">
        <v>13</v>
      </c>
      <c r="K86" s="8">
        <v>46076</v>
      </c>
      <c r="L86" s="6" t="s">
        <v>45</v>
      </c>
    </row>
    <row r="87" spans="1:12" x14ac:dyDescent="0.3">
      <c r="A87" s="6" t="s">
        <v>205</v>
      </c>
      <c r="B87" s="6" t="s">
        <v>99</v>
      </c>
      <c r="C87" s="6">
        <v>7</v>
      </c>
      <c r="D87" s="6" t="s">
        <v>28</v>
      </c>
      <c r="E87" s="8">
        <v>46160</v>
      </c>
      <c r="F87" s="6" t="s">
        <v>57</v>
      </c>
      <c r="G87" s="6" t="s">
        <v>18</v>
      </c>
      <c r="H87" s="9"/>
      <c r="I87" s="10">
        <v>69.5</v>
      </c>
      <c r="J87" s="6">
        <v>16</v>
      </c>
      <c r="K87" s="8">
        <v>46194</v>
      </c>
      <c r="L87" s="6" t="s">
        <v>45</v>
      </c>
    </row>
    <row r="88" spans="1:12" x14ac:dyDescent="0.3">
      <c r="A88" s="6" t="s">
        <v>206</v>
      </c>
      <c r="B88" s="6" t="s">
        <v>99</v>
      </c>
      <c r="C88" s="6">
        <v>6</v>
      </c>
      <c r="D88" s="6" t="s">
        <v>27</v>
      </c>
      <c r="E88" s="8">
        <v>46033</v>
      </c>
      <c r="F88" s="6" t="s">
        <v>48</v>
      </c>
      <c r="G88" s="6" t="s">
        <v>17</v>
      </c>
      <c r="H88" s="9"/>
      <c r="I88" s="10">
        <v>67.400000000000006</v>
      </c>
      <c r="J88" s="6">
        <v>3</v>
      </c>
      <c r="K88" s="8">
        <v>46144</v>
      </c>
      <c r="L88" s="6" t="s">
        <v>45</v>
      </c>
    </row>
    <row r="89" spans="1:12" x14ac:dyDescent="0.3">
      <c r="A89" s="6" t="s">
        <v>207</v>
      </c>
      <c r="B89" s="6" t="s">
        <v>100</v>
      </c>
      <c r="C89" s="6">
        <v>7</v>
      </c>
      <c r="D89" s="6" t="s">
        <v>28</v>
      </c>
      <c r="E89" s="8">
        <v>46160</v>
      </c>
      <c r="F89" s="6" t="s">
        <v>57</v>
      </c>
      <c r="G89" s="6" t="s">
        <v>16</v>
      </c>
      <c r="H89" s="8">
        <v>46194</v>
      </c>
      <c r="I89" s="11"/>
      <c r="J89" s="6">
        <v>2</v>
      </c>
      <c r="K89" s="8">
        <v>46178</v>
      </c>
      <c r="L89" s="6" t="s">
        <v>45</v>
      </c>
    </row>
    <row r="90" spans="1:12" x14ac:dyDescent="0.3">
      <c r="A90" s="6" t="s">
        <v>208</v>
      </c>
      <c r="B90" s="6" t="s">
        <v>100</v>
      </c>
      <c r="C90" s="6">
        <v>6</v>
      </c>
      <c r="D90" s="6" t="s">
        <v>27</v>
      </c>
      <c r="E90" s="8">
        <v>46138</v>
      </c>
      <c r="F90" s="6" t="s">
        <v>52</v>
      </c>
      <c r="G90" s="6" t="s">
        <v>18</v>
      </c>
      <c r="H90" s="9"/>
      <c r="I90" s="10">
        <v>61.4</v>
      </c>
      <c r="J90" s="6">
        <v>6</v>
      </c>
      <c r="K90" s="8">
        <v>46159</v>
      </c>
      <c r="L90" s="6" t="s">
        <v>45</v>
      </c>
    </row>
    <row r="91" spans="1:12" x14ac:dyDescent="0.3">
      <c r="A91" s="6" t="s">
        <v>209</v>
      </c>
      <c r="B91" s="6" t="s">
        <v>100</v>
      </c>
      <c r="C91" s="6">
        <v>1</v>
      </c>
      <c r="D91" s="6" t="s">
        <v>22</v>
      </c>
      <c r="E91" s="8">
        <v>46091</v>
      </c>
      <c r="F91" s="6" t="s">
        <v>55</v>
      </c>
      <c r="G91" s="6" t="s">
        <v>16</v>
      </c>
      <c r="H91" s="8">
        <v>46130</v>
      </c>
      <c r="I91" s="10">
        <v>73.8</v>
      </c>
      <c r="J91" s="6">
        <v>15</v>
      </c>
      <c r="K91" s="8">
        <v>46172</v>
      </c>
      <c r="L91" s="6" t="s">
        <v>45</v>
      </c>
    </row>
    <row r="92" spans="1:12" x14ac:dyDescent="0.3">
      <c r="A92" s="6" t="s">
        <v>210</v>
      </c>
      <c r="B92" s="6" t="s">
        <v>101</v>
      </c>
      <c r="C92" s="6">
        <v>3</v>
      </c>
      <c r="D92" s="6" t="s">
        <v>24</v>
      </c>
      <c r="E92" s="8">
        <v>46120</v>
      </c>
      <c r="F92" s="6" t="s">
        <v>52</v>
      </c>
      <c r="G92" s="6" t="s">
        <v>17</v>
      </c>
      <c r="H92" s="9"/>
      <c r="I92" s="10">
        <v>100</v>
      </c>
      <c r="J92" s="6">
        <v>18</v>
      </c>
      <c r="K92" s="8">
        <v>46140</v>
      </c>
      <c r="L92" s="6" t="s">
        <v>45</v>
      </c>
    </row>
    <row r="93" spans="1:12" x14ac:dyDescent="0.3">
      <c r="A93" s="6" t="s">
        <v>211</v>
      </c>
      <c r="B93" s="6" t="s">
        <v>102</v>
      </c>
      <c r="C93" s="6">
        <v>3</v>
      </c>
      <c r="D93" s="6" t="s">
        <v>24</v>
      </c>
      <c r="E93" s="8">
        <v>46142</v>
      </c>
      <c r="F93" s="6" t="s">
        <v>52</v>
      </c>
      <c r="G93" s="6" t="s">
        <v>17</v>
      </c>
      <c r="H93" s="9"/>
      <c r="I93" s="10">
        <v>72</v>
      </c>
      <c r="J93" s="6">
        <v>13</v>
      </c>
      <c r="K93" s="8">
        <v>46196</v>
      </c>
      <c r="L93" s="6" t="s">
        <v>45</v>
      </c>
    </row>
    <row r="94" spans="1:12" x14ac:dyDescent="0.3">
      <c r="A94" s="6" t="s">
        <v>212</v>
      </c>
      <c r="B94" s="6" t="s">
        <v>103</v>
      </c>
      <c r="C94" s="6">
        <v>2</v>
      </c>
      <c r="D94" s="6" t="s">
        <v>23</v>
      </c>
      <c r="E94" s="8">
        <v>46168</v>
      </c>
      <c r="F94" s="6" t="s">
        <v>57</v>
      </c>
      <c r="G94" s="6" t="s">
        <v>18</v>
      </c>
      <c r="H94" s="9"/>
      <c r="I94" s="10">
        <v>99</v>
      </c>
      <c r="J94" s="6">
        <v>1</v>
      </c>
      <c r="K94" s="8">
        <v>46193</v>
      </c>
      <c r="L94" s="6" t="s">
        <v>45</v>
      </c>
    </row>
    <row r="95" spans="1:12" x14ac:dyDescent="0.3">
      <c r="A95" s="6" t="s">
        <v>213</v>
      </c>
      <c r="B95" s="6" t="s">
        <v>103</v>
      </c>
      <c r="C95" s="6">
        <v>4</v>
      </c>
      <c r="D95" s="6" t="s">
        <v>25</v>
      </c>
      <c r="E95" s="8">
        <v>46130</v>
      </c>
      <c r="F95" s="6" t="s">
        <v>52</v>
      </c>
      <c r="G95" s="6" t="s">
        <v>16</v>
      </c>
      <c r="H95" s="8">
        <v>46188</v>
      </c>
      <c r="I95" s="11"/>
      <c r="J95" s="6">
        <v>0</v>
      </c>
      <c r="K95" s="8">
        <v>46193</v>
      </c>
      <c r="L95" s="6" t="s">
        <v>45</v>
      </c>
    </row>
    <row r="96" spans="1:12" x14ac:dyDescent="0.3">
      <c r="A96" s="6" t="s">
        <v>214</v>
      </c>
      <c r="B96" s="6" t="s">
        <v>104</v>
      </c>
      <c r="C96" s="6">
        <v>3</v>
      </c>
      <c r="D96" s="6" t="s">
        <v>24</v>
      </c>
      <c r="E96" s="8">
        <v>46201</v>
      </c>
      <c r="F96" s="6" t="s">
        <v>44</v>
      </c>
      <c r="G96" s="6" t="s">
        <v>17</v>
      </c>
      <c r="H96" s="9"/>
      <c r="I96" s="10">
        <v>62.2</v>
      </c>
      <c r="J96" s="6">
        <v>5</v>
      </c>
      <c r="K96" s="8">
        <v>46203</v>
      </c>
      <c r="L96" s="6" t="s">
        <v>45</v>
      </c>
    </row>
    <row r="97" spans="1:12" x14ac:dyDescent="0.3">
      <c r="A97" s="6" t="s">
        <v>215</v>
      </c>
      <c r="B97" s="6" t="s">
        <v>104</v>
      </c>
      <c r="C97" s="6">
        <v>2</v>
      </c>
      <c r="D97" s="6" t="s">
        <v>23</v>
      </c>
      <c r="E97" s="8">
        <v>46197</v>
      </c>
      <c r="F97" s="6" t="s">
        <v>44</v>
      </c>
      <c r="G97" s="6" t="s">
        <v>17</v>
      </c>
      <c r="H97" s="9"/>
      <c r="I97" s="10">
        <v>51.9</v>
      </c>
      <c r="J97" s="6">
        <v>15</v>
      </c>
      <c r="K97" s="8">
        <v>46197</v>
      </c>
      <c r="L97" s="6" t="s">
        <v>45</v>
      </c>
    </row>
    <row r="98" spans="1:12" x14ac:dyDescent="0.3">
      <c r="A98" s="6" t="s">
        <v>216</v>
      </c>
      <c r="B98" s="6" t="s">
        <v>105</v>
      </c>
      <c r="C98" s="6">
        <v>6</v>
      </c>
      <c r="D98" s="6" t="s">
        <v>27</v>
      </c>
      <c r="E98" s="8">
        <v>46171</v>
      </c>
      <c r="F98" s="6" t="s">
        <v>57</v>
      </c>
      <c r="G98" s="6" t="s">
        <v>17</v>
      </c>
      <c r="H98" s="9"/>
      <c r="I98" s="10">
        <v>63.9</v>
      </c>
      <c r="J98" s="6">
        <v>12</v>
      </c>
      <c r="K98" s="8">
        <v>46203</v>
      </c>
      <c r="L98" s="6" t="s">
        <v>45</v>
      </c>
    </row>
    <row r="99" spans="1:12" x14ac:dyDescent="0.3">
      <c r="A99" s="6" t="s">
        <v>217</v>
      </c>
      <c r="B99" s="6" t="s">
        <v>105</v>
      </c>
      <c r="C99" s="6">
        <v>2</v>
      </c>
      <c r="D99" s="6" t="s">
        <v>23</v>
      </c>
      <c r="E99" s="8">
        <v>46183</v>
      </c>
      <c r="F99" s="6" t="s">
        <v>44</v>
      </c>
      <c r="G99" s="6" t="s">
        <v>17</v>
      </c>
      <c r="H99" s="9"/>
      <c r="I99" s="10">
        <v>76.7</v>
      </c>
      <c r="J99" s="6">
        <v>16</v>
      </c>
      <c r="K99" s="8">
        <v>46192</v>
      </c>
      <c r="L99" s="6" t="s">
        <v>45</v>
      </c>
    </row>
    <row r="100" spans="1:12" x14ac:dyDescent="0.3">
      <c r="A100" s="6" t="s">
        <v>218</v>
      </c>
      <c r="B100" s="6" t="s">
        <v>106</v>
      </c>
      <c r="C100" s="6">
        <v>3</v>
      </c>
      <c r="D100" s="6" t="s">
        <v>24</v>
      </c>
      <c r="E100" s="8">
        <v>46160</v>
      </c>
      <c r="F100" s="6" t="s">
        <v>57</v>
      </c>
      <c r="G100" s="6" t="s">
        <v>17</v>
      </c>
      <c r="H100" s="9"/>
      <c r="I100" s="10">
        <v>99.2</v>
      </c>
      <c r="J100" s="6">
        <v>13</v>
      </c>
      <c r="K100" s="8">
        <v>46195</v>
      </c>
      <c r="L100" s="6" t="s">
        <v>45</v>
      </c>
    </row>
    <row r="101" spans="1:12" x14ac:dyDescent="0.3">
      <c r="A101" s="6" t="s">
        <v>219</v>
      </c>
      <c r="B101" s="6" t="s">
        <v>106</v>
      </c>
      <c r="C101" s="6">
        <v>1</v>
      </c>
      <c r="D101" s="6" t="s">
        <v>22</v>
      </c>
      <c r="E101" s="8">
        <v>46134</v>
      </c>
      <c r="F101" s="6" t="s">
        <v>52</v>
      </c>
      <c r="G101" s="6" t="s">
        <v>16</v>
      </c>
      <c r="H101" s="8">
        <v>46174</v>
      </c>
      <c r="I101" s="10">
        <v>66.2</v>
      </c>
      <c r="J101" s="6">
        <v>15</v>
      </c>
      <c r="K101" s="8">
        <v>46181</v>
      </c>
      <c r="L101" s="6" t="s">
        <v>45</v>
      </c>
    </row>
    <row r="102" spans="1:12" x14ac:dyDescent="0.3">
      <c r="A102" s="6" t="s">
        <v>220</v>
      </c>
      <c r="B102" s="6" t="s">
        <v>107</v>
      </c>
      <c r="C102" s="6">
        <v>6</v>
      </c>
      <c r="D102" s="6" t="s">
        <v>27</v>
      </c>
      <c r="E102" s="8">
        <v>46185</v>
      </c>
      <c r="F102" s="6" t="s">
        <v>44</v>
      </c>
      <c r="G102" s="6" t="s">
        <v>18</v>
      </c>
      <c r="H102" s="9"/>
      <c r="I102" s="10">
        <v>57.5</v>
      </c>
      <c r="J102" s="6">
        <v>18</v>
      </c>
      <c r="K102" s="8">
        <v>46195</v>
      </c>
      <c r="L102" s="6" t="s">
        <v>45</v>
      </c>
    </row>
    <row r="103" spans="1:12" x14ac:dyDescent="0.3">
      <c r="A103" s="6" t="s">
        <v>221</v>
      </c>
      <c r="B103" s="6" t="s">
        <v>107</v>
      </c>
      <c r="C103" s="6">
        <v>3</v>
      </c>
      <c r="D103" s="6" t="s">
        <v>24</v>
      </c>
      <c r="E103" s="8">
        <v>46187</v>
      </c>
      <c r="F103" s="6" t="s">
        <v>44</v>
      </c>
      <c r="G103" s="6" t="s">
        <v>17</v>
      </c>
      <c r="H103" s="9"/>
      <c r="I103" s="10">
        <v>87.2</v>
      </c>
      <c r="J103" s="6">
        <v>10</v>
      </c>
      <c r="K103" s="8">
        <v>46200</v>
      </c>
      <c r="L103" s="6" t="s">
        <v>45</v>
      </c>
    </row>
    <row r="104" spans="1:12" x14ac:dyDescent="0.3">
      <c r="A104" s="6" t="s">
        <v>222</v>
      </c>
      <c r="B104" s="6" t="s">
        <v>108</v>
      </c>
      <c r="C104" s="6">
        <v>1</v>
      </c>
      <c r="D104" s="6" t="s">
        <v>22</v>
      </c>
      <c r="E104" s="8">
        <v>46051</v>
      </c>
      <c r="F104" s="6" t="s">
        <v>48</v>
      </c>
      <c r="G104" s="6" t="s">
        <v>18</v>
      </c>
      <c r="H104" s="9"/>
      <c r="I104" s="10">
        <v>96</v>
      </c>
      <c r="J104" s="6">
        <v>15</v>
      </c>
      <c r="K104" s="8">
        <v>46145</v>
      </c>
      <c r="L104" s="6" t="s">
        <v>45</v>
      </c>
    </row>
    <row r="105" spans="1:12" x14ac:dyDescent="0.3">
      <c r="A105" s="6" t="s">
        <v>223</v>
      </c>
      <c r="B105" s="6" t="s">
        <v>109</v>
      </c>
      <c r="C105" s="6">
        <v>6</v>
      </c>
      <c r="D105" s="6" t="s">
        <v>27</v>
      </c>
      <c r="E105" s="8">
        <v>46185</v>
      </c>
      <c r="F105" s="6" t="s">
        <v>44</v>
      </c>
      <c r="G105" s="6" t="s">
        <v>17</v>
      </c>
      <c r="H105" s="9"/>
      <c r="I105" s="11"/>
      <c r="J105" s="6">
        <v>14</v>
      </c>
      <c r="K105" s="8">
        <v>46188</v>
      </c>
      <c r="L105" s="6" t="s">
        <v>45</v>
      </c>
    </row>
    <row r="106" spans="1:12" x14ac:dyDescent="0.3">
      <c r="A106" s="6" t="s">
        <v>224</v>
      </c>
      <c r="B106" s="6" t="s">
        <v>109</v>
      </c>
      <c r="C106" s="6">
        <v>7</v>
      </c>
      <c r="D106" s="6" t="s">
        <v>28</v>
      </c>
      <c r="E106" s="8">
        <v>46178</v>
      </c>
      <c r="F106" s="6" t="s">
        <v>44</v>
      </c>
      <c r="G106" s="6" t="s">
        <v>17</v>
      </c>
      <c r="H106" s="9"/>
      <c r="I106" s="11"/>
      <c r="J106" s="6">
        <v>12</v>
      </c>
      <c r="K106" s="8">
        <v>46184</v>
      </c>
      <c r="L106" s="6" t="s">
        <v>45</v>
      </c>
    </row>
    <row r="107" spans="1:12" x14ac:dyDescent="0.3">
      <c r="A107" s="6" t="s">
        <v>225</v>
      </c>
      <c r="B107" s="6" t="s">
        <v>110</v>
      </c>
      <c r="C107" s="6">
        <v>2</v>
      </c>
      <c r="D107" s="6" t="s">
        <v>23</v>
      </c>
      <c r="E107" s="8">
        <v>46198</v>
      </c>
      <c r="F107" s="6" t="s">
        <v>44</v>
      </c>
      <c r="G107" s="6" t="s">
        <v>18</v>
      </c>
      <c r="H107" s="9"/>
      <c r="I107" s="11"/>
      <c r="J107" s="6">
        <v>12</v>
      </c>
      <c r="K107" s="8">
        <v>46198</v>
      </c>
      <c r="L107" s="6" t="s">
        <v>45</v>
      </c>
    </row>
  </sheetData>
  <autoFilter ref="A3:L107" xr:uid="{00000000-0009-0000-0000-000002000000}"/>
  <mergeCells count="1">
    <mergeCell ref="A1:L1"/>
  </mergeCells>
  <pageMargins left="0.25" right="0.25" top="0.75" bottom="0.75" header="0.3" footer="0.3"/>
  <pageSetup paperSize="9" scale="3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0"/>
  <sheetViews>
    <sheetView showGridLines="0" tabSelected="1" view="pageBreakPreview" zoomScale="60" zoomScaleNormal="100" workbookViewId="0">
      <pane ySplit="3" topLeftCell="A4" activePane="bottomLeft" state="frozen"/>
      <selection activeCell="J24" sqref="J24"/>
      <selection pane="bottomLeft" activeCell="J24" sqref="J24"/>
    </sheetView>
  </sheetViews>
  <sheetFormatPr defaultRowHeight="14.4" x14ac:dyDescent="0.3"/>
  <cols>
    <col min="1" max="1" width="34" style="15" customWidth="1"/>
    <col min="2" max="2" width="30" style="15" customWidth="1"/>
    <col min="3" max="4" width="20" style="15" customWidth="1"/>
    <col min="5" max="5" width="14" style="15" customWidth="1"/>
    <col min="6" max="6" width="44.33203125" style="15" bestFit="1" customWidth="1"/>
    <col min="7" max="16384" width="8.88671875" style="15"/>
  </cols>
  <sheetData>
    <row r="1" spans="1:6" ht="31.95" customHeight="1" x14ac:dyDescent="0.3">
      <c r="A1" s="60" t="s">
        <v>226</v>
      </c>
      <c r="B1" s="61"/>
      <c r="C1" s="61"/>
      <c r="D1" s="61"/>
      <c r="E1" s="61"/>
      <c r="F1" s="61"/>
    </row>
    <row r="3" spans="1:6" s="16" customFormat="1" ht="30" customHeight="1" x14ac:dyDescent="0.3">
      <c r="A3" s="21" t="s">
        <v>113</v>
      </c>
      <c r="B3" s="22" t="s">
        <v>114</v>
      </c>
      <c r="C3" s="22" t="s">
        <v>227</v>
      </c>
      <c r="D3" s="22" t="s">
        <v>228</v>
      </c>
      <c r="E3" s="22" t="s">
        <v>229</v>
      </c>
      <c r="F3" s="23" t="s">
        <v>41</v>
      </c>
    </row>
    <row r="4" spans="1:6" x14ac:dyDescent="0.3">
      <c r="A4" s="19">
        <v>1</v>
      </c>
      <c r="B4" s="12" t="s">
        <v>22</v>
      </c>
      <c r="C4" s="12" t="s">
        <v>230</v>
      </c>
      <c r="D4" s="12" t="s">
        <v>231</v>
      </c>
      <c r="E4" s="12" t="s">
        <v>232</v>
      </c>
      <c r="F4" s="33" t="s">
        <v>233</v>
      </c>
    </row>
    <row r="5" spans="1:6" x14ac:dyDescent="0.3">
      <c r="A5" s="19">
        <v>2</v>
      </c>
      <c r="B5" s="12" t="s">
        <v>23</v>
      </c>
      <c r="C5" s="12" t="s">
        <v>230</v>
      </c>
      <c r="D5" s="12" t="s">
        <v>234</v>
      </c>
      <c r="E5" s="12" t="s">
        <v>235</v>
      </c>
      <c r="F5" s="33" t="s">
        <v>233</v>
      </c>
    </row>
    <row r="6" spans="1:6" x14ac:dyDescent="0.3">
      <c r="A6" s="19">
        <v>3</v>
      </c>
      <c r="B6" s="12" t="s">
        <v>24</v>
      </c>
      <c r="C6" s="12" t="s">
        <v>236</v>
      </c>
      <c r="D6" s="12" t="s">
        <v>231</v>
      </c>
      <c r="E6" s="12" t="s">
        <v>235</v>
      </c>
      <c r="F6" s="33" t="s">
        <v>233</v>
      </c>
    </row>
    <row r="7" spans="1:6" x14ac:dyDescent="0.3">
      <c r="A7" s="19">
        <v>4</v>
      </c>
      <c r="B7" s="12" t="s">
        <v>25</v>
      </c>
      <c r="C7" s="12" t="s">
        <v>230</v>
      </c>
      <c r="D7" s="12" t="s">
        <v>234</v>
      </c>
      <c r="E7" s="12" t="s">
        <v>232</v>
      </c>
      <c r="F7" s="33" t="s">
        <v>233</v>
      </c>
    </row>
    <row r="8" spans="1:6" x14ac:dyDescent="0.3">
      <c r="A8" s="19">
        <v>5</v>
      </c>
      <c r="B8" s="12" t="s">
        <v>26</v>
      </c>
      <c r="C8" s="12" t="s">
        <v>230</v>
      </c>
      <c r="D8" s="12" t="s">
        <v>231</v>
      </c>
      <c r="E8" s="12" t="s">
        <v>232</v>
      </c>
      <c r="F8" s="33" t="s">
        <v>233</v>
      </c>
    </row>
    <row r="9" spans="1:6" x14ac:dyDescent="0.3">
      <c r="A9" s="19">
        <v>6</v>
      </c>
      <c r="B9" s="12" t="s">
        <v>27</v>
      </c>
      <c r="C9" s="12" t="s">
        <v>237</v>
      </c>
      <c r="D9" s="12" t="s">
        <v>234</v>
      </c>
      <c r="E9" s="12" t="s">
        <v>238</v>
      </c>
      <c r="F9" s="33" t="s">
        <v>233</v>
      </c>
    </row>
    <row r="10" spans="1:6" x14ac:dyDescent="0.3">
      <c r="A10" s="20">
        <v>7</v>
      </c>
      <c r="B10" s="34" t="s">
        <v>28</v>
      </c>
      <c r="C10" s="34" t="s">
        <v>239</v>
      </c>
      <c r="D10" s="34" t="s">
        <v>231</v>
      </c>
      <c r="E10" s="34" t="s">
        <v>232</v>
      </c>
      <c r="F10" s="35" t="s">
        <v>233</v>
      </c>
    </row>
  </sheetData>
  <mergeCells count="1">
    <mergeCell ref="A1:F1"/>
  </mergeCells>
  <pageMargins left="0.25" right="0.25" top="0.75" bottom="0.75" header="0.3" footer="0.3"/>
  <pageSetup paperSize="9" scale="83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9"/>
  <sheetViews>
    <sheetView showGridLines="0" tabSelected="1" view="pageBreakPreview" zoomScale="60" zoomScaleNormal="87" workbookViewId="0">
      <selection activeCell="J24" sqref="J24"/>
    </sheetView>
  </sheetViews>
  <sheetFormatPr defaultRowHeight="14.4" x14ac:dyDescent="0.3"/>
  <cols>
    <col min="1" max="1" width="34" customWidth="1"/>
    <col min="2" max="2" width="22" bestFit="1" customWidth="1"/>
    <col min="3" max="6" width="34" customWidth="1"/>
  </cols>
  <sheetData>
    <row r="1" spans="1:6" ht="31.95" customHeight="1" x14ac:dyDescent="0.3">
      <c r="A1" s="51" t="s">
        <v>240</v>
      </c>
      <c r="B1" s="52"/>
      <c r="C1" s="52"/>
      <c r="D1" s="52"/>
      <c r="E1" s="52"/>
      <c r="F1" s="52"/>
    </row>
    <row r="3" spans="1:6" ht="30" customHeight="1" x14ac:dyDescent="0.3">
      <c r="A3" s="50" t="s">
        <v>40</v>
      </c>
      <c r="B3" s="50" t="s">
        <v>241</v>
      </c>
      <c r="C3" s="50" t="s">
        <v>7</v>
      </c>
      <c r="D3" s="50" t="s">
        <v>242</v>
      </c>
      <c r="E3" s="50" t="s">
        <v>11</v>
      </c>
      <c r="F3" s="50" t="s">
        <v>41</v>
      </c>
    </row>
    <row r="4" spans="1:6" x14ac:dyDescent="0.3">
      <c r="A4" s="17" t="s">
        <v>48</v>
      </c>
      <c r="B4" s="17">
        <f>COUNTIF(Student_Data!$F$4:$F$1000,A4)</f>
        <v>11</v>
      </c>
      <c r="C4" s="17">
        <f>COUNTIF(Enrollment_Data!$F$4:$F$2000,A4)</f>
        <v>3</v>
      </c>
      <c r="D4" s="17">
        <f>COUNTIFS(Enrollment_Data!$F$4:$F$2000,A4,Enrollment_Data!$G$4:$G$2000,"Completed")</f>
        <v>0</v>
      </c>
      <c r="E4" s="18">
        <f>IFERROR(AVERAGEIF(Enrollment_Data!$F$4:$F$2000,A4,Enrollment_Data!$I$4:$I$2000),0)</f>
        <v>78.733333333333334</v>
      </c>
      <c r="F4" s="17" t="s">
        <v>45</v>
      </c>
    </row>
    <row r="5" spans="1:6" x14ac:dyDescent="0.3">
      <c r="A5" s="17" t="s">
        <v>50</v>
      </c>
      <c r="B5" s="17">
        <f>COUNTIF(Student_Data!$F$4:$F$1000,A5)</f>
        <v>14</v>
      </c>
      <c r="C5" s="17">
        <f>COUNTIF(Enrollment_Data!$F$4:$F$2000,A5)</f>
        <v>7</v>
      </c>
      <c r="D5" s="17">
        <f>COUNTIFS(Enrollment_Data!$F$4:$F$2000,A5,Enrollment_Data!$G$4:$G$2000,"Completed")</f>
        <v>1</v>
      </c>
      <c r="E5" s="18">
        <f>IFERROR(AVERAGEIF(Enrollment_Data!$F$4:$F$2000,A5,Enrollment_Data!$I$4:$I$2000),0)</f>
        <v>61.720000000000006</v>
      </c>
      <c r="F5" s="17" t="s">
        <v>45</v>
      </c>
    </row>
    <row r="6" spans="1:6" x14ac:dyDescent="0.3">
      <c r="A6" s="17" t="s">
        <v>55</v>
      </c>
      <c r="B6" s="17">
        <f>COUNTIF(Student_Data!$F$4:$F$1000,A6)</f>
        <v>4</v>
      </c>
      <c r="C6" s="17">
        <f>COUNTIF(Enrollment_Data!$F$4:$F$2000,A6)</f>
        <v>7</v>
      </c>
      <c r="D6" s="17">
        <f>COUNTIFS(Enrollment_Data!$F$4:$F$2000,A6,Enrollment_Data!$G$4:$G$2000,"Completed")</f>
        <v>2</v>
      </c>
      <c r="E6" s="18">
        <f>IFERROR(AVERAGEIF(Enrollment_Data!$F$4:$F$2000,A6,Enrollment_Data!$I$4:$I$2000),0)</f>
        <v>79.783333333333331</v>
      </c>
      <c r="F6" s="17" t="s">
        <v>45</v>
      </c>
    </row>
    <row r="7" spans="1:6" x14ac:dyDescent="0.3">
      <c r="A7" s="17" t="s">
        <v>52</v>
      </c>
      <c r="B7" s="17">
        <f>COUNTIF(Student_Data!$F$4:$F$1000,A7)</f>
        <v>10</v>
      </c>
      <c r="C7" s="17">
        <f>COUNTIF(Enrollment_Data!$F$4:$F$2000,A7)</f>
        <v>15</v>
      </c>
      <c r="D7" s="17">
        <f>COUNTIFS(Enrollment_Data!$F$4:$F$2000,A7,Enrollment_Data!$G$4:$G$2000,"Completed")</f>
        <v>3</v>
      </c>
      <c r="E7" s="18">
        <f>IFERROR(AVERAGEIF(Enrollment_Data!$F$4:$F$2000,A7,Enrollment_Data!$I$4:$I$2000),0)</f>
        <v>74.681818181818187</v>
      </c>
      <c r="F7" s="17" t="s">
        <v>45</v>
      </c>
    </row>
    <row r="8" spans="1:6" x14ac:dyDescent="0.3">
      <c r="A8" s="17" t="s">
        <v>57</v>
      </c>
      <c r="B8" s="17">
        <f>COUNTIF(Student_Data!$F$4:$F$1000,A8)</f>
        <v>11</v>
      </c>
      <c r="C8" s="17">
        <f>COUNTIF(Enrollment_Data!$F$4:$F$2000,A8)</f>
        <v>22</v>
      </c>
      <c r="D8" s="17">
        <f>COUNTIFS(Enrollment_Data!$F$4:$F$2000,A8,Enrollment_Data!$G$4:$G$2000,"Completed")</f>
        <v>3</v>
      </c>
      <c r="E8" s="18">
        <f>IFERROR(AVERAGEIF(Enrollment_Data!$F$4:$F$2000,A8,Enrollment_Data!$I$4:$I$2000),0)</f>
        <v>71.168750000000003</v>
      </c>
      <c r="F8" s="17" t="s">
        <v>45</v>
      </c>
    </row>
    <row r="9" spans="1:6" x14ac:dyDescent="0.3">
      <c r="A9" s="17" t="s">
        <v>44</v>
      </c>
      <c r="B9" s="17">
        <f>COUNTIF(Student_Data!$F$4:$F$1000,A9)</f>
        <v>10</v>
      </c>
      <c r="C9" s="17">
        <f>COUNTIF(Enrollment_Data!$F$4:$F$2000,A9)</f>
        <v>50</v>
      </c>
      <c r="D9" s="17">
        <f>COUNTIFS(Enrollment_Data!$F$4:$F$2000,A9,Enrollment_Data!$G$4:$G$2000,"Completed")</f>
        <v>0</v>
      </c>
      <c r="E9" s="18">
        <f>IFERROR(AVERAGEIF(Enrollment_Data!$F$4:$F$2000,A9,Enrollment_Data!$I$4:$I$2000),0)</f>
        <v>67.712500000000006</v>
      </c>
      <c r="F9" s="17" t="s">
        <v>45</v>
      </c>
    </row>
  </sheetData>
  <mergeCells count="1">
    <mergeCell ref="A1:F1"/>
  </mergeCells>
  <pageMargins left="0.25" right="0.25" top="0.75" bottom="0.75" header="0.3" footer="0.3"/>
  <pageSetup paperSize="9" scale="71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9"/>
  <sheetViews>
    <sheetView showGridLines="0" tabSelected="1" view="pageBreakPreview" zoomScale="60" zoomScaleNormal="100" workbookViewId="0">
      <pane ySplit="3" topLeftCell="A4" activePane="bottomLeft" state="frozen"/>
      <selection activeCell="J24" sqref="J24"/>
      <selection pane="bottomLeft" activeCell="J24" sqref="J24"/>
    </sheetView>
  </sheetViews>
  <sheetFormatPr defaultRowHeight="14.4" x14ac:dyDescent="0.3"/>
  <cols>
    <col min="1" max="5" width="34" customWidth="1"/>
  </cols>
  <sheetData>
    <row r="1" spans="1:5" ht="31.95" customHeight="1" x14ac:dyDescent="0.3">
      <c r="A1" s="54" t="s">
        <v>243</v>
      </c>
      <c r="B1" s="55"/>
      <c r="C1" s="55"/>
      <c r="D1" s="55"/>
      <c r="E1" s="55"/>
    </row>
    <row r="3" spans="1:5" ht="30" customHeight="1" x14ac:dyDescent="0.3">
      <c r="A3" s="21" t="s">
        <v>244</v>
      </c>
      <c r="B3" s="22" t="s">
        <v>245</v>
      </c>
      <c r="C3" s="22" t="s">
        <v>246</v>
      </c>
      <c r="D3" s="22" t="s">
        <v>247</v>
      </c>
      <c r="E3" s="23" t="s">
        <v>248</v>
      </c>
    </row>
    <row r="4" spans="1:5" ht="43.2" x14ac:dyDescent="0.3">
      <c r="A4" s="44" t="s">
        <v>249</v>
      </c>
      <c r="B4" s="45" t="s">
        <v>250</v>
      </c>
      <c r="C4" s="45" t="s">
        <v>251</v>
      </c>
      <c r="D4" s="45" t="s">
        <v>252</v>
      </c>
      <c r="E4" s="46" t="s">
        <v>253</v>
      </c>
    </row>
    <row r="5" spans="1:5" ht="43.2" x14ac:dyDescent="0.3">
      <c r="A5" s="44" t="s">
        <v>254</v>
      </c>
      <c r="B5" s="45" t="s">
        <v>255</v>
      </c>
      <c r="C5" s="45" t="s">
        <v>256</v>
      </c>
      <c r="D5" s="45" t="s">
        <v>257</v>
      </c>
      <c r="E5" s="46" t="s">
        <v>258</v>
      </c>
    </row>
    <row r="6" spans="1:5" ht="43.2" x14ac:dyDescent="0.3">
      <c r="A6" s="44" t="s">
        <v>259</v>
      </c>
      <c r="B6" s="45" t="s">
        <v>260</v>
      </c>
      <c r="C6" s="45" t="s">
        <v>261</v>
      </c>
      <c r="D6" s="45" t="s">
        <v>262</v>
      </c>
      <c r="E6" s="46" t="s">
        <v>263</v>
      </c>
    </row>
    <row r="7" spans="1:5" ht="43.2" x14ac:dyDescent="0.3">
      <c r="A7" s="44" t="s">
        <v>264</v>
      </c>
      <c r="B7" s="45" t="s">
        <v>265</v>
      </c>
      <c r="C7" s="45" t="s">
        <v>266</v>
      </c>
      <c r="D7" s="45" t="s">
        <v>267</v>
      </c>
      <c r="E7" s="46" t="s">
        <v>268</v>
      </c>
    </row>
    <row r="8" spans="1:5" ht="43.2" x14ac:dyDescent="0.3">
      <c r="A8" s="44" t="s">
        <v>269</v>
      </c>
      <c r="B8" s="45" t="s">
        <v>270</v>
      </c>
      <c r="C8" s="45" t="s">
        <v>271</v>
      </c>
      <c r="D8" s="45" t="s">
        <v>272</v>
      </c>
      <c r="E8" s="46" t="s">
        <v>273</v>
      </c>
    </row>
    <row r="9" spans="1:5" ht="43.2" x14ac:dyDescent="0.3">
      <c r="A9" s="47" t="s">
        <v>274</v>
      </c>
      <c r="B9" s="48" t="s">
        <v>275</v>
      </c>
      <c r="C9" s="48" t="s">
        <v>276</v>
      </c>
      <c r="D9" s="48" t="s">
        <v>277</v>
      </c>
      <c r="E9" s="49" t="s">
        <v>278</v>
      </c>
    </row>
  </sheetData>
  <mergeCells count="1">
    <mergeCell ref="A1:E1"/>
  </mergeCells>
  <pageMargins left="0.25" right="0.25" top="0.75" bottom="0.75" header="0.3" footer="0.3"/>
  <pageSetup paperSize="9" scale="79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5"/>
  <sheetViews>
    <sheetView showGridLines="0" tabSelected="1" view="pageBreakPreview" zoomScale="60" zoomScaleNormal="100" workbookViewId="0">
      <pane ySplit="3" topLeftCell="A12" activePane="bottomLeft" state="frozen"/>
      <selection activeCell="J24" sqref="J24"/>
      <selection pane="bottomLeft" activeCell="J24" sqref="J24"/>
    </sheetView>
  </sheetViews>
  <sheetFormatPr defaultRowHeight="14.4" x14ac:dyDescent="0.3"/>
  <cols>
    <col min="1" max="4" width="34" customWidth="1"/>
  </cols>
  <sheetData>
    <row r="1" spans="1:4" ht="31.95" customHeight="1" x14ac:dyDescent="0.3">
      <c r="A1" s="54" t="s">
        <v>279</v>
      </c>
      <c r="B1" s="55"/>
      <c r="C1" s="55"/>
      <c r="D1" s="55"/>
    </row>
    <row r="3" spans="1:4" ht="30" customHeight="1" x14ac:dyDescent="0.3">
      <c r="A3" s="30" t="s">
        <v>280</v>
      </c>
      <c r="B3" s="31" t="s">
        <v>281</v>
      </c>
      <c r="C3" s="31" t="s">
        <v>282</v>
      </c>
      <c r="D3" s="32" t="s">
        <v>283</v>
      </c>
    </row>
    <row r="4" spans="1:4" ht="72" x14ac:dyDescent="0.3">
      <c r="A4" s="25" t="s">
        <v>284</v>
      </c>
      <c r="B4" s="24" t="s">
        <v>285</v>
      </c>
      <c r="C4" s="24" t="s">
        <v>286</v>
      </c>
      <c r="D4" s="26" t="s">
        <v>287</v>
      </c>
    </row>
    <row r="5" spans="1:4" ht="57.6" x14ac:dyDescent="0.3">
      <c r="A5" s="25" t="s">
        <v>288</v>
      </c>
      <c r="B5" s="24" t="s">
        <v>289</v>
      </c>
      <c r="C5" s="24" t="s">
        <v>290</v>
      </c>
      <c r="D5" s="26" t="s">
        <v>291</v>
      </c>
    </row>
    <row r="6" spans="1:4" ht="43.2" x14ac:dyDescent="0.3">
      <c r="A6" s="25" t="s">
        <v>292</v>
      </c>
      <c r="B6" s="24" t="s">
        <v>293</v>
      </c>
      <c r="C6" s="24" t="s">
        <v>294</v>
      </c>
      <c r="D6" s="26" t="s">
        <v>295</v>
      </c>
    </row>
    <row r="7" spans="1:4" ht="43.2" x14ac:dyDescent="0.3">
      <c r="A7" s="25" t="s">
        <v>296</v>
      </c>
      <c r="B7" s="24" t="s">
        <v>297</v>
      </c>
      <c r="C7" s="24" t="s">
        <v>298</v>
      </c>
      <c r="D7" s="26" t="s">
        <v>299</v>
      </c>
    </row>
    <row r="8" spans="1:4" ht="43.2" x14ac:dyDescent="0.3">
      <c r="A8" s="25" t="s">
        <v>300</v>
      </c>
      <c r="B8" s="24" t="s">
        <v>301</v>
      </c>
      <c r="C8" s="24" t="s">
        <v>302</v>
      </c>
      <c r="D8" s="26" t="s">
        <v>303</v>
      </c>
    </row>
    <row r="9" spans="1:4" ht="43.2" x14ac:dyDescent="0.3">
      <c r="A9" s="25" t="s">
        <v>304</v>
      </c>
      <c r="B9" s="24" t="s">
        <v>305</v>
      </c>
      <c r="C9" s="24" t="s">
        <v>306</v>
      </c>
      <c r="D9" s="26" t="s">
        <v>307</v>
      </c>
    </row>
    <row r="10" spans="1:4" ht="43.2" x14ac:dyDescent="0.3">
      <c r="A10" s="25" t="s">
        <v>308</v>
      </c>
      <c r="B10" s="24" t="s">
        <v>309</v>
      </c>
      <c r="C10" s="24" t="s">
        <v>310</v>
      </c>
      <c r="D10" s="26" t="s">
        <v>311</v>
      </c>
    </row>
    <row r="11" spans="1:4" ht="28.8" x14ac:dyDescent="0.3">
      <c r="A11" s="25" t="s">
        <v>312</v>
      </c>
      <c r="B11" s="24" t="s">
        <v>313</v>
      </c>
      <c r="C11" s="24" t="s">
        <v>314</v>
      </c>
      <c r="D11" s="26" t="s">
        <v>315</v>
      </c>
    </row>
    <row r="12" spans="1:4" ht="57.6" x14ac:dyDescent="0.3">
      <c r="A12" s="25" t="s">
        <v>316</v>
      </c>
      <c r="B12" s="24" t="s">
        <v>317</v>
      </c>
      <c r="C12" s="24" t="s">
        <v>318</v>
      </c>
      <c r="D12" s="26" t="s">
        <v>319</v>
      </c>
    </row>
    <row r="13" spans="1:4" ht="57.6" x14ac:dyDescent="0.3">
      <c r="A13" s="25" t="s">
        <v>320</v>
      </c>
      <c r="B13" s="24" t="s">
        <v>321</v>
      </c>
      <c r="C13" s="24" t="s">
        <v>322</v>
      </c>
      <c r="D13" s="26" t="s">
        <v>323</v>
      </c>
    </row>
    <row r="14" spans="1:4" ht="43.2" x14ac:dyDescent="0.3">
      <c r="A14" s="25" t="s">
        <v>324</v>
      </c>
      <c r="B14" s="24" t="s">
        <v>325</v>
      </c>
      <c r="C14" s="24" t="s">
        <v>326</v>
      </c>
      <c r="D14" s="26" t="s">
        <v>327</v>
      </c>
    </row>
    <row r="15" spans="1:4" ht="57.6" x14ac:dyDescent="0.3">
      <c r="A15" s="27" t="s">
        <v>328</v>
      </c>
      <c r="B15" s="28" t="s">
        <v>329</v>
      </c>
      <c r="C15" s="28" t="s">
        <v>330</v>
      </c>
      <c r="D15" s="29" t="s">
        <v>331</v>
      </c>
    </row>
  </sheetData>
  <mergeCells count="1">
    <mergeCell ref="A1:D1"/>
  </mergeCells>
  <pageMargins left="0.25" right="0.25" top="0.75" bottom="0.75" header="0.3" footer="0.3"/>
  <pageSetup paperSize="9" scale="72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Dashboard</vt:lpstr>
      <vt:lpstr>Student_Data</vt:lpstr>
      <vt:lpstr>Enrollment_Data</vt:lpstr>
      <vt:lpstr>Course_Master</vt:lpstr>
      <vt:lpstr>Monthly_Trends</vt:lpstr>
      <vt:lpstr>Recommendations</vt:lpstr>
      <vt:lpstr>Source_Notes</vt:lpstr>
      <vt:lpstr>Course_Master!Print_Area</vt:lpstr>
      <vt:lpstr>Enrollment_Data!Print_Area</vt:lpstr>
      <vt:lpstr>Monthly_Trends!Print_Area</vt:lpstr>
      <vt:lpstr>Recommendations!Print_Area</vt:lpstr>
      <vt:lpstr>Student_Data!Print_Area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PRANIT VARAT</cp:lastModifiedBy>
  <cp:lastPrinted>2026-10-27T10:45:38Z</cp:lastPrinted>
  <dcterms:created xsi:type="dcterms:W3CDTF">2026-10-27T06:59:57Z</dcterms:created>
  <dcterms:modified xsi:type="dcterms:W3CDTF">2026-10-28T10:54:26Z</dcterms:modified>
</cp:coreProperties>
</file>