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4A84D6B8-06AD-439E-A4BF-31FB37994719}" xr6:coauthVersionLast="47" xr6:coauthVersionMax="47" xr10:uidLastSave="{00000000-0000-0000-0000-000000000000}"/>
  <bookViews>
    <workbookView xWindow="-108" yWindow="-108" windowWidth="23256" windowHeight="12456" activeTab="2" xr2:uid="{DB59378D-CAD9-4833-B96D-3A7644DE54D1}"/>
  </bookViews>
  <sheets>
    <sheet name="Read Me" sheetId="1" r:id="rId1"/>
    <sheet name="Data Audit" sheetId="2" r:id="rId2"/>
    <sheet name="Course Catalog" sheetId="3" r:id="rId3"/>
    <sheet name="Mentor Workload" sheetId="4" r:id="rId4"/>
    <sheet name="Mentor Allocation Mod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5" l="1"/>
  <c r="O2" i="5"/>
  <c r="L2" i="5"/>
  <c r="P2" i="4"/>
  <c r="O2" i="4"/>
  <c r="J2" i="4"/>
  <c r="H2" i="4"/>
</calcChain>
</file>

<file path=xl/sharedStrings.xml><?xml version="1.0" encoding="utf-8"?>
<sst xmlns="http://schemas.openxmlformats.org/spreadsheetml/2006/main" count="174" uniqueCount="142">
  <si>
    <t>Field</t>
  </si>
  <si>
    <t>Details</t>
  </si>
  <si>
    <t>Project Name</t>
  </si>
  <si>
    <t>CDaX Mentor Allocation Model</t>
  </si>
  <si>
    <t>Objective</t>
  </si>
  <si>
    <t>Determine how mentors should be allocated across students and courses.</t>
  </si>
  <si>
    <t>Business Outcome</t>
  </si>
  <si>
    <t>Reduce mentor overload while maintaining student support quality.</t>
  </si>
  <si>
    <t>Analysis Areas</t>
  </si>
  <si>
    <t>Student volume, course difficulty, attendance, support requirements, project workload, mentor workload, response time.</t>
  </si>
  <si>
    <t>Data Sources</t>
  </si>
  <si>
    <t>Available CDaX Excel sample data and verified backend/SQL exports, where available.</t>
  </si>
  <si>
    <t>Methodology</t>
  </si>
  <si>
    <t>Assess student support demand, estimate mentor workload, check mentor capacity, and recommend allocation.</t>
  </si>
  <si>
    <t>Scoring Weights</t>
  </si>
  <si>
    <t>Course Difficulty 25%; Attendance Risk 20%; Support Demand 25%; Project Workload 20%; Response-Time Risk 10%.</t>
  </si>
  <si>
    <t>Scoring Status</t>
  </si>
  <si>
    <t>Proposed weights only; validate when sufficient actual data is available.</t>
  </si>
  <si>
    <t>Data Quality Rule</t>
  </si>
  <si>
    <t>Do not invent missing values or mentor assignments. Leave unavailable values blank.</t>
  </si>
  <si>
    <t>Important Limitation</t>
  </si>
  <si>
    <t>Catalog enrollment counts do not represent verified current mentoring demand.</t>
  </si>
  <si>
    <t>Final Output</t>
  </si>
  <si>
    <t>Workload assessment, capacity checks, allocation recommendations, and identified data gaps.</t>
  </si>
  <si>
    <t>Analysis Area</t>
  </si>
  <si>
    <t>Required Data</t>
  </si>
  <si>
    <t>Available Evidence</t>
  </si>
  <si>
    <t>Status</t>
  </si>
  <si>
    <t>Action Required</t>
  </si>
  <si>
    <t>Student Volume</t>
  </si>
  <si>
    <t>Active students enrolled in each course</t>
  </si>
  <si>
    <t>Sample user and purchase records are available</t>
  </si>
  <si>
    <t>Partial</t>
  </si>
  <si>
    <t>Verify current enrollments and statuses</t>
  </si>
  <si>
    <t>Course Difficulty</t>
  </si>
  <si>
    <t>Course level, difficulty rating, project intensity</t>
  </si>
  <si>
    <t>Course catalog includes course levels</t>
  </si>
  <si>
    <t>Obtain verified difficulty ratings and project intensity</t>
  </si>
  <si>
    <t>Attendance</t>
  </si>
  <si>
    <t>Student attendance by live session</t>
  </si>
  <si>
    <t>Attendance schema references are available; actual records not verified</t>
  </si>
  <si>
    <t>Missing</t>
  </si>
  <si>
    <t>Obtain live-session attendance records</t>
  </si>
  <si>
    <t>Support Requirements</t>
  </si>
  <si>
    <t>Open tickets, severity, assigned mentor, response time</t>
  </si>
  <si>
    <t>No verified support ticket records in the reviewed sample</t>
  </si>
  <si>
    <t>Obtain support request data</t>
  </si>
  <si>
    <t>Project Workload</t>
  </si>
  <si>
    <t>Pending project reviews and review hours</t>
  </si>
  <si>
    <t>No verified project-review workload records in the reviewed sample</t>
  </si>
  <si>
    <t>Obtain project submissions and review history</t>
  </si>
  <si>
    <t>Mentor Workload</t>
  </si>
  <si>
    <t>Availability, assigned hours, open cases, pending reviews</t>
  </si>
  <si>
    <t>Two instructor IDs appear in the sample catalog; current mentor capacity is unverified</t>
  </si>
  <si>
    <t>Confirm mentor roster and availability</t>
  </si>
  <si>
    <t>Response Time</t>
  </si>
  <si>
    <t>First response timestamps and SLA targets</t>
  </si>
  <si>
    <t>No verified response-time history in the reviewed sample</t>
  </si>
  <si>
    <t>Obtain support timestamps and SLA rules</t>
  </si>
  <si>
    <t>Current Assignments</t>
  </si>
  <si>
    <t>Student, course and mentor mapping</t>
  </si>
  <si>
    <t>No verified mentor assignment history in the reviewed sample</t>
  </si>
  <si>
    <t>Obtain assignment records</t>
  </si>
  <si>
    <t>Course Catalog</t>
  </si>
  <si>
    <t>Course name, category, instructor and level</t>
  </si>
  <si>
    <t>Seven sample course records available</t>
  </si>
  <si>
    <t>Available for sample</t>
  </si>
  <si>
    <t>Validate against current production data</t>
  </si>
  <si>
    <t>Final Allocation</t>
  </si>
  <si>
    <t>Verified demand, workload and mentor capacity</t>
  </si>
  <si>
    <t>Insufficient verified data for actual allocation</t>
  </si>
  <si>
    <t>Not Yet Calculable</t>
  </si>
  <si>
    <t>Complete missing data before confirming assignments</t>
  </si>
  <si>
    <t>Course ID</t>
  </si>
  <si>
    <t>Course Name</t>
  </si>
  <si>
    <t>Category</t>
  </si>
  <si>
    <t>Instructor</t>
  </si>
  <si>
    <t>Instructor ID</t>
  </si>
  <si>
    <t>Catalog Enrolled Students</t>
  </si>
  <si>
    <t>Course Level</t>
  </si>
  <si>
    <t>Subcategory</t>
  </si>
  <si>
    <t>Verified Difficulty Rating</t>
  </si>
  <si>
    <t>Project Intensity</t>
  </si>
  <si>
    <t>Notes</t>
  </si>
  <si>
    <t>Complete Java Programming</t>
  </si>
  <si>
    <t>Programming</t>
  </si>
  <si>
    <t>Dr. Rajesh Verma</t>
  </si>
  <si>
    <t>INSTR_001</t>
  </si>
  <si>
    <t>Intermediate</t>
  </si>
  <si>
    <t>Backend</t>
  </si>
  <si>
    <t>Catalog count only; current mentoring demand unverified</t>
  </si>
  <si>
    <t>Python Programming Mastery</t>
  </si>
  <si>
    <t>Prof. Anjali Desai</t>
  </si>
  <si>
    <t>INSTR_002</t>
  </si>
  <si>
    <t>Beginner</t>
  </si>
  <si>
    <t>Data Science</t>
  </si>
  <si>
    <t>Flutter Mobile Development</t>
  </si>
  <si>
    <t>Mobile Development</t>
  </si>
  <si>
    <t>Flutter</t>
  </si>
  <si>
    <t>C/C++ Programming Course</t>
  </si>
  <si>
    <t>System</t>
  </si>
  <si>
    <t>C# .NET Development</t>
  </si>
  <si>
    <t>Desktop</t>
  </si>
  <si>
    <t>Data Structures &amp; Algorithms</t>
  </si>
  <si>
    <t>Computer Science</t>
  </si>
  <si>
    <t>Advanced</t>
  </si>
  <si>
    <t>Algorithms</t>
  </si>
  <si>
    <t>React Web Development</t>
  </si>
  <si>
    <t>Web Development</t>
  </si>
  <si>
    <t>Frontend</t>
  </si>
  <si>
    <t>Mentor ID</t>
  </si>
  <si>
    <t>Mentor Name</t>
  </si>
  <si>
    <t>Expertise / Course</t>
  </si>
  <si>
    <t>Available Hours per Week</t>
  </si>
  <si>
    <t>Existing Mentoring Hours per Week</t>
  </si>
  <si>
    <t>Admin Hours per Week</t>
  </si>
  <si>
    <t>Leave / Unavailable Hours per Week</t>
  </si>
  <si>
    <t>Net Available Hours per Week</t>
  </si>
  <si>
    <t>Target Utilization %</t>
  </si>
  <si>
    <t>Target Mentoring Capacity Hours</t>
  </si>
  <si>
    <t>Open Support Cases</t>
  </si>
  <si>
    <t>Pending Project Reviews</t>
  </si>
  <si>
    <t>Average First Response Time</t>
  </si>
  <si>
    <t>SLA Target</t>
  </si>
  <si>
    <t>Current Workload Status</t>
  </si>
  <si>
    <t>Recommended Action</t>
  </si>
  <si>
    <t>Student ID</t>
  </si>
  <si>
    <t>Student Name</t>
  </si>
  <si>
    <t>Current Mentor ID</t>
  </si>
  <si>
    <t>Course Difficulty Score (0-100)</t>
  </si>
  <si>
    <t>Attendance Risk Score (0-100)</t>
  </si>
  <si>
    <t>Support Demand Score (0-100)</t>
  </si>
  <si>
    <t>Project Workload Score (0-100)</t>
  </si>
  <si>
    <t>Response-Time Risk Score (0-100)</t>
  </si>
  <si>
    <t>Weighted Workload Score</t>
  </si>
  <si>
    <t>Priority Band</t>
  </si>
  <si>
    <t>Estimated Required Mentor Hours</t>
  </si>
  <si>
    <t>Available Mentor Capacity Hours</t>
  </si>
  <si>
    <t>Capacity Check</t>
  </si>
  <si>
    <t>Suggested Mentor ID</t>
  </si>
  <si>
    <t>Assignment Status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</si>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</sst>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quotePrefix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40">
    <dxf>
      <alignment horizontal="left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E0969-DCB1-4020-85DF-120361AAE025}" name="Table1" displayName="Table1" ref="A1:B12" totalsRowShown="0">
  <autoFilter ref="A1:B12" xr:uid="{F47E0969-DCB1-4020-85DF-120361AAE025}"/>
  <tableColumns count="2">
    <tableColumn id="1" xr3:uid="{E503C81F-D720-4A9F-B390-6A10CD14A65F}" name="Field"/>
    <tableColumn id="2" xr3:uid="{813CAA7D-EF72-4599-B29B-5AB07EF55735}" name="Detail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C0468-4EDF-46F6-88BD-1F51B0CC81CF}" name="Table2" displayName="Table2" ref="A1:E11" totalsRowShown="0">
  <autoFilter ref="A1:E11" xr:uid="{894C0468-4EDF-46F6-88BD-1F51B0CC81CF}"/>
  <tableColumns count="5">
    <tableColumn id="1" xr3:uid="{28B851EA-F32A-4D8A-9AF8-8F4C784424D0}" name="Analysis Area"/>
    <tableColumn id="2" xr3:uid="{D898BCB5-10DB-4826-8C1E-9D09198A97C2}" name="Required Data"/>
    <tableColumn id="3" xr3:uid="{59D3417B-92D1-4341-B9A0-E377E4B16904}" name="Available Evidence"/>
    <tableColumn id="4" xr3:uid="{90616104-0344-40BC-AD3D-292123586AA8}" name="Status"/>
    <tableColumn id="5" xr3:uid="{D54A7DE1-BE51-4A4A-9B54-F9774A92D568}" name="Action Required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FC5BCB-C8D9-4C4E-9025-692B81988493}" name="Table3" displayName="Table3" ref="A1:K8" totalsRowShown="0">
  <autoFilter ref="A1:K8" xr:uid="{1DFC5BCB-C8D9-4C4E-9025-692B81988493}"/>
  <tableColumns count="11">
    <tableColumn id="1" xr3:uid="{9B35DA49-B959-48C5-8F94-EDD56051E6CD}" name="Course ID"/>
    <tableColumn id="2" xr3:uid="{7FE0B64B-DFAE-4600-9A24-896DCE654DC1}" name="Course Name"/>
    <tableColumn id="3" xr3:uid="{62932190-3EC2-41AA-A48A-52F730399814}" name="Category"/>
    <tableColumn id="4" xr3:uid="{E88DF2BC-D833-48FC-944E-84D388680F72}" name="Instructor"/>
    <tableColumn id="5" xr3:uid="{A1D259F2-A0C3-4913-B9E5-BAFC46F95164}" name="Instructor ID"/>
    <tableColumn id="6" xr3:uid="{A917C119-8E0F-419D-B554-357D441DFD50}" name="Catalog Enrolled Students"/>
    <tableColumn id="7" xr3:uid="{CB34884B-84F4-4354-B8CB-4D08568494F2}" name="Course Level"/>
    <tableColumn id="8" xr3:uid="{86BE78FC-53C4-4B27-992D-015F6F1C0E57}" name="Subcategory"/>
    <tableColumn id="9" xr3:uid="{CFD504ED-6706-4A97-8768-70F3E9339A36}" name="Verified Difficulty Rating"/>
    <tableColumn id="10" xr3:uid="{5A219366-D18A-46E9-97E2-839D21CAA01F}" name="Project Intensity"/>
    <tableColumn id="11" xr3:uid="{48781122-6F09-4FB0-8935-A9F06670D009}" name="Note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19065-07BD-4B84-8309-A31D76811768}" name="Table4" displayName="Table4" ref="A1:P2" totalsRowShown="0" headerRowDxfId="1" dataDxfId="0">
  <autoFilter ref="A1:P2" xr:uid="{46F19065-07BD-4B84-8309-A31D76811768}"/>
  <tableColumns count="16">
    <tableColumn id="1" xr3:uid="{ED5F6705-8E04-48FE-88B5-6A9937A8DF37}" name="Mentor ID" dataDxfId="17"/>
    <tableColumn id="2" xr3:uid="{A573698D-7A4C-4263-B364-245DA55E7462}" name="Mentor Name" dataDxfId="16"/>
    <tableColumn id="3" xr3:uid="{61762639-616F-4F2F-AEB1-F21CB4B2812E}" name="Expertise / Course" dataDxfId="15"/>
    <tableColumn id="4" xr3:uid="{CB4B290F-93BC-48F1-800A-EB9E9A8B2458}" name="Available Hours per Week" dataDxfId="14"/>
    <tableColumn id="5" xr3:uid="{4D0EE56E-67E6-49DF-88AE-D578B68DD094}" name="Existing Mentoring Hours per Week" dataDxfId="13"/>
    <tableColumn id="6" xr3:uid="{B7503DAF-1187-4BDD-9C1E-632527BDFF4A}" name="Admin Hours per Week" dataDxfId="12"/>
    <tableColumn id="7" xr3:uid="{6F0CFD34-C3CA-49AD-9248-05C359188A71}" name="Leave / Unavailable Hours per Week" dataDxfId="11"/>
    <tableColumn id="8" xr3:uid="{61868A1B-E65F-4C68-AA37-EDD0A8C294A1}" name="Net Available Hours per Week" dataDxfId="10">
      <calculatedColumnFormula>IF(OR(D2="",F2="",G2=""),"",MAX(0,D2-F2-G2))</calculatedColumnFormula>
    </tableColumn>
    <tableColumn id="9" xr3:uid="{8EEA3C29-A907-4FBF-A511-1F79B091B57E}" name="Target Utilization %" dataDxfId="9"/>
    <tableColumn id="10" xr3:uid="{06D3E22A-E896-4F50-A4D9-28A8CC30FCA4}" name="Target Mentoring Capacity Hours" dataDxfId="8">
      <calculatedColumnFormula>IF(OR(H2="",I2=""),"",H2*I2)</calculatedColumnFormula>
    </tableColumn>
    <tableColumn id="11" xr3:uid="{2CFE485B-DDC1-4A20-ACF9-19F94D3C9E8E}" name="Open Support Cases" dataDxfId="7"/>
    <tableColumn id="12" xr3:uid="{CE08A24D-BA8E-4D41-9D12-73CB8D6292E0}" name="Pending Project Reviews" dataDxfId="6"/>
    <tableColumn id="13" xr3:uid="{065D217F-4314-40A3-9D88-1AC87E5F92EE}" name="Average First Response Time" dataDxfId="5"/>
    <tableColumn id="14" xr3:uid="{B2DF37B6-0E00-454F-954C-48E04DE47AF7}" name="SLA Target" dataDxfId="4"/>
    <tableColumn id="15" xr3:uid="{E59E7310-2BC5-42EE-8654-04FEB3708DE6}" name="Current Workload Status" dataDxfId="3">
      <calculatedColumnFormula>IF(OR(E2="",J2=""),"Missing Data",IF(E2&gt;J2,"Overloaded","Within Target"))</calculatedColumnFormula>
    </tableColumn>
    <tableColumn id="16" xr3:uid="{F3E14950-AD72-4BBE-8BAB-4254C1B128E3}" name="Recommended Action" dataDxfId="2">
      <calculatedColumnFormula>IF(O2="Overloaded","Review and redistribute workload",IF(O2="Within Target","Check skills and support quality","Collect missing data"))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8E4CCE-0699-460E-BE24-8C7684063A0B}" name="Table5" displayName="Table5" ref="A1:R2" totalsRowShown="0" headerRowDxfId="18" headerRowBorderDxfId="38" tableBorderDxfId="39" totalsRowBorderDxfId="37">
  <autoFilter ref="A1:R2" xr:uid="{6E8E4CCE-0699-460E-BE24-8C7684063A0B}"/>
  <tableColumns count="18">
    <tableColumn id="1" xr3:uid="{4AA5B41A-2F5D-40B8-B782-EC1FD7B351BE}" name="Student ID" dataDxfId="36"/>
    <tableColumn id="2" xr3:uid="{57A9931B-9DE3-4DF5-AC0B-ED6BC836F8A1}" name="Student Name" dataDxfId="35"/>
    <tableColumn id="3" xr3:uid="{B03A10BE-4CDA-437B-9AA9-432253824DC8}" name="Course ID" dataDxfId="34"/>
    <tableColumn id="4" xr3:uid="{702EBFC5-2266-4653-A97A-1AD4571AD7D9}" name="Course Name" dataDxfId="33"/>
    <tableColumn id="5" xr3:uid="{7411C3FC-D36B-4FDE-8BFE-D4E61C6549FC}" name="Current Mentor ID" dataDxfId="32"/>
    <tableColumn id="6" xr3:uid="{9FDC94B5-A9C8-479C-9C67-B80CCDEB8AAA}" name="Course Difficulty Score (0-100)" dataDxfId="31"/>
    <tableColumn id="7" xr3:uid="{16170211-14F0-4615-84C5-9CA9F44A15B5}" name="Attendance Risk Score (0-100)" dataDxfId="30"/>
    <tableColumn id="8" xr3:uid="{982DB898-A2F1-49AF-B9C3-F6AA2FF725EC}" name="Support Demand Score (0-100)" dataDxfId="29"/>
    <tableColumn id="9" xr3:uid="{946DE1AF-2A2C-41C6-A082-130B7907E18F}" name="Project Workload Score (0-100)" dataDxfId="28"/>
    <tableColumn id="10" xr3:uid="{1FB2DFCD-D66A-4E6C-850C-85C0835FE18A}" name="Response-Time Risk Score (0-100)" dataDxfId="27"/>
    <tableColumn id="11" xr3:uid="{86514275-2513-4D41-9DA4-14FDC22C403C}" name="Weighted Workload Score" dataDxfId="26"/>
    <tableColumn id="12" xr3:uid="{CB444620-33F6-45AB-B55D-90B761A34D59}" name="Priority Band" dataDxfId="25">
      <calculatedColumnFormula>IF(K2="","Not Calculable",IF(K2&gt;=70,"High",IF(K2&gt;=40,"Medium","Standard")))</calculatedColumnFormula>
    </tableColumn>
    <tableColumn id="13" xr3:uid="{06F3EACD-24C7-4C19-8389-F12BEA621815}" name="Estimated Required Mentor Hours" dataDxfId="24"/>
    <tableColumn id="14" xr3:uid="{A76C882A-5DCD-4139-B639-3E55970D38D5}" name="Available Mentor Capacity Hours" dataDxfId="23"/>
    <tableColumn id="15" xr3:uid="{7216642F-EAAE-4EB7-BFDD-927C529B6F27}" name="Capacity Check" dataDxfId="22">
      <calculatedColumnFormula>IF(OR(M2="",N2=""),"Missing Data",IF(M2&gt;N2,"Capacity Exceeded","Within Capacity"))</calculatedColumnFormula>
    </tableColumn>
    <tableColumn id="16" xr3:uid="{F4D3FB03-6425-4775-BB06-1D01F5E2B947}" name="Suggested Mentor ID" dataDxfId="21"/>
    <tableColumn id="17" xr3:uid="{064D253E-D692-41A9-A673-5B981B4D3345}" name="Recommended Action" dataDxfId="20">
      <calculatedColumnFormula>IF(K2="","Collect Missing Data",IF(O2="Capacity Exceeded","Review and rebalance workload",IF(L2="High","Prioritize mentor review",IF(L2="Medium","Review during workload balancing","Continue routine support"))))</calculatedColumnFormula>
    </tableColumn>
    <tableColumn id="18" xr3:uid="{150026E9-E608-494A-92E5-1B2CA2AAA7C6}" name="Assignment Status" dataDxfId="19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CDCF-1E18-48EF-B128-D8C6BF63AE0E}">
  <dimension ref="A1:B12"/>
  <sheetViews>
    <sheetView workbookViewId="0">
      <selection sqref="A1:B12"/>
    </sheetView>
  </sheetViews>
  <sheetFormatPr defaultRowHeight="14.4" x14ac:dyDescent="0.3"/>
  <cols>
    <col min="1" max="1" width="17.21875" bestFit="1" customWidth="1"/>
    <col min="2" max="2" width="9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DF5F-0DA2-48AF-A3D7-4864C0597BEB}">
  <dimension ref="A1:E11"/>
  <sheetViews>
    <sheetView workbookViewId="0">
      <selection sqref="A1:E11"/>
    </sheetView>
  </sheetViews>
  <sheetFormatPr defaultRowHeight="14.4" x14ac:dyDescent="0.3"/>
  <cols>
    <col min="1" max="1" width="19" bestFit="1" customWidth="1"/>
    <col min="2" max="2" width="47" bestFit="1" customWidth="1"/>
    <col min="3" max="3" width="69.77734375" bestFit="1" customWidth="1"/>
    <col min="4" max="4" width="17.21875" bestFit="1" customWidth="1"/>
    <col min="5" max="5" width="44.88671875" bestFit="1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</row>
    <row r="3" spans="1:5" x14ac:dyDescent="0.3">
      <c r="A3" t="s">
        <v>34</v>
      </c>
      <c r="B3" t="s">
        <v>35</v>
      </c>
      <c r="C3" t="s">
        <v>36</v>
      </c>
      <c r="D3" t="s">
        <v>32</v>
      </c>
      <c r="E3" t="s">
        <v>37</v>
      </c>
    </row>
    <row r="4" spans="1:5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</row>
    <row r="5" spans="1:5" x14ac:dyDescent="0.3">
      <c r="A5" t="s">
        <v>43</v>
      </c>
      <c r="B5" t="s">
        <v>44</v>
      </c>
      <c r="C5" t="s">
        <v>45</v>
      </c>
      <c r="D5" t="s">
        <v>41</v>
      </c>
      <c r="E5" t="s">
        <v>46</v>
      </c>
    </row>
    <row r="6" spans="1:5" x14ac:dyDescent="0.3">
      <c r="A6" t="s">
        <v>47</v>
      </c>
      <c r="B6" t="s">
        <v>48</v>
      </c>
      <c r="C6" t="s">
        <v>49</v>
      </c>
      <c r="D6" t="s">
        <v>41</v>
      </c>
      <c r="E6" t="s">
        <v>50</v>
      </c>
    </row>
    <row r="7" spans="1:5" x14ac:dyDescent="0.3">
      <c r="A7" t="s">
        <v>51</v>
      </c>
      <c r="B7" t="s">
        <v>52</v>
      </c>
      <c r="C7" t="s">
        <v>53</v>
      </c>
      <c r="D7" t="s">
        <v>32</v>
      </c>
      <c r="E7" t="s">
        <v>54</v>
      </c>
    </row>
    <row r="8" spans="1:5" x14ac:dyDescent="0.3">
      <c r="A8" t="s">
        <v>55</v>
      </c>
      <c r="B8" t="s">
        <v>56</v>
      </c>
      <c r="C8" t="s">
        <v>57</v>
      </c>
      <c r="D8" t="s">
        <v>41</v>
      </c>
      <c r="E8" t="s">
        <v>58</v>
      </c>
    </row>
    <row r="9" spans="1:5" x14ac:dyDescent="0.3">
      <c r="A9" t="s">
        <v>59</v>
      </c>
      <c r="B9" t="s">
        <v>60</v>
      </c>
      <c r="C9" t="s">
        <v>61</v>
      </c>
      <c r="D9" t="s">
        <v>41</v>
      </c>
      <c r="E9" t="s">
        <v>62</v>
      </c>
    </row>
    <row r="10" spans="1:5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</row>
    <row r="11" spans="1:5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D0A4-4139-4322-8ADC-B78C38E3819B}">
  <dimension ref="A1:K14"/>
  <sheetViews>
    <sheetView tabSelected="1" workbookViewId="0">
      <selection activeCell="G19" sqref="G19"/>
    </sheetView>
  </sheetViews>
  <sheetFormatPr defaultRowHeight="14.4" x14ac:dyDescent="0.3"/>
  <cols>
    <col min="1" max="1" width="11.109375" bestFit="1" customWidth="1"/>
    <col min="2" max="2" width="24.5546875" bestFit="1" customWidth="1"/>
    <col min="3" max="3" width="17.44140625" bestFit="1" customWidth="1"/>
    <col min="4" max="4" width="15" bestFit="1" customWidth="1"/>
    <col min="5" max="5" width="13.44140625" bestFit="1" customWidth="1"/>
    <col min="6" max="6" width="24.88671875" bestFit="1" customWidth="1"/>
    <col min="7" max="7" width="13.6640625" bestFit="1" customWidth="1"/>
    <col min="8" max="8" width="13.5546875" bestFit="1" customWidth="1"/>
    <col min="9" max="9" width="23.5546875" bestFit="1" customWidth="1"/>
    <col min="10" max="10" width="16.88671875" bestFit="1" customWidth="1"/>
    <col min="11" max="11" width="46.88671875" bestFit="1" customWidth="1"/>
  </cols>
  <sheetData>
    <row r="1" spans="1:11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3">
      <c r="A2">
        <v>1</v>
      </c>
      <c r="B2" t="s">
        <v>84</v>
      </c>
      <c r="C2" t="s">
        <v>85</v>
      </c>
      <c r="D2" t="s">
        <v>86</v>
      </c>
      <c r="E2" t="s">
        <v>87</v>
      </c>
      <c r="F2">
        <v>8500</v>
      </c>
      <c r="G2" t="s">
        <v>88</v>
      </c>
      <c r="H2" t="s">
        <v>89</v>
      </c>
      <c r="K2" t="s">
        <v>90</v>
      </c>
    </row>
    <row r="3" spans="1:11" x14ac:dyDescent="0.3">
      <c r="A3">
        <v>2</v>
      </c>
      <c r="B3" t="s">
        <v>91</v>
      </c>
      <c r="C3" t="s">
        <v>85</v>
      </c>
      <c r="D3" t="s">
        <v>92</v>
      </c>
      <c r="E3" t="s">
        <v>93</v>
      </c>
      <c r="F3">
        <v>5200</v>
      </c>
      <c r="G3" t="s">
        <v>94</v>
      </c>
      <c r="H3" t="s">
        <v>95</v>
      </c>
      <c r="K3" t="s">
        <v>90</v>
      </c>
    </row>
    <row r="4" spans="1:11" x14ac:dyDescent="0.3">
      <c r="A4">
        <v>3</v>
      </c>
      <c r="B4" t="s">
        <v>96</v>
      </c>
      <c r="C4" t="s">
        <v>97</v>
      </c>
      <c r="D4" t="s">
        <v>86</v>
      </c>
      <c r="E4" t="s">
        <v>87</v>
      </c>
      <c r="F4">
        <v>7200</v>
      </c>
      <c r="G4" t="s">
        <v>94</v>
      </c>
      <c r="H4" t="s">
        <v>98</v>
      </c>
      <c r="K4" t="s">
        <v>90</v>
      </c>
    </row>
    <row r="5" spans="1:11" x14ac:dyDescent="0.3">
      <c r="A5">
        <v>4</v>
      </c>
      <c r="B5" t="s">
        <v>99</v>
      </c>
      <c r="C5" t="s">
        <v>85</v>
      </c>
      <c r="D5" t="s">
        <v>92</v>
      </c>
      <c r="E5" t="s">
        <v>93</v>
      </c>
      <c r="F5">
        <v>3500</v>
      </c>
      <c r="G5" t="s">
        <v>88</v>
      </c>
      <c r="H5" t="s">
        <v>100</v>
      </c>
      <c r="K5" t="s">
        <v>90</v>
      </c>
    </row>
    <row r="6" spans="1:11" x14ac:dyDescent="0.3">
      <c r="A6">
        <v>5</v>
      </c>
      <c r="B6" t="s">
        <v>101</v>
      </c>
      <c r="C6" t="s">
        <v>85</v>
      </c>
      <c r="D6" t="s">
        <v>86</v>
      </c>
      <c r="E6" t="s">
        <v>87</v>
      </c>
      <c r="F6">
        <v>2800</v>
      </c>
      <c r="G6" t="s">
        <v>88</v>
      </c>
      <c r="H6" t="s">
        <v>102</v>
      </c>
      <c r="K6" t="s">
        <v>90</v>
      </c>
    </row>
    <row r="7" spans="1:11" x14ac:dyDescent="0.3">
      <c r="A7">
        <v>6</v>
      </c>
      <c r="B7" t="s">
        <v>103</v>
      </c>
      <c r="C7" t="s">
        <v>104</v>
      </c>
      <c r="D7" t="s">
        <v>92</v>
      </c>
      <c r="E7" t="s">
        <v>93</v>
      </c>
      <c r="F7">
        <v>4800</v>
      </c>
      <c r="G7" t="s">
        <v>105</v>
      </c>
      <c r="H7" t="s">
        <v>106</v>
      </c>
      <c r="K7" t="s">
        <v>90</v>
      </c>
    </row>
    <row r="8" spans="1:11" x14ac:dyDescent="0.3">
      <c r="A8">
        <v>7</v>
      </c>
      <c r="B8" t="s">
        <v>107</v>
      </c>
      <c r="C8" t="s">
        <v>108</v>
      </c>
      <c r="D8" t="s">
        <v>86</v>
      </c>
      <c r="E8" t="s">
        <v>87</v>
      </c>
      <c r="F8">
        <v>4100</v>
      </c>
      <c r="G8" t="s">
        <v>88</v>
      </c>
      <c r="H8" t="s">
        <v>109</v>
      </c>
      <c r="K8" t="s">
        <v>90</v>
      </c>
    </row>
    <row r="14" spans="1:11" x14ac:dyDescent="0.3">
      <c r="E14" t="s">
        <v>141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8D2A-8156-418B-9CD4-797201717B30}">
  <dimension ref="A1:P2"/>
  <sheetViews>
    <sheetView zoomScale="120" workbookViewId="0">
      <selection activeCell="E10" sqref="E10"/>
    </sheetView>
  </sheetViews>
  <sheetFormatPr defaultRowHeight="14.4" x14ac:dyDescent="0.3"/>
  <cols>
    <col min="1" max="1" width="11.109375" bestFit="1" customWidth="1"/>
    <col min="2" max="2" width="9" bestFit="1" customWidth="1"/>
    <col min="3" max="3" width="12" bestFit="1" customWidth="1"/>
    <col min="4" max="4" width="16.33203125" bestFit="1" customWidth="1"/>
    <col min="5" max="5" width="18.33203125" bestFit="1" customWidth="1"/>
    <col min="6" max="6" width="13" customWidth="1"/>
    <col min="7" max="7" width="18.77734375" customWidth="1"/>
    <col min="8" max="8" width="17.109375" customWidth="1"/>
    <col min="9" max="9" width="13.5546875" customWidth="1"/>
    <col min="10" max="10" width="17" bestFit="1" customWidth="1"/>
    <col min="11" max="11" width="14.6640625" bestFit="1" customWidth="1"/>
    <col min="12" max="12" width="16.33203125" bestFit="1" customWidth="1"/>
    <col min="13" max="13" width="15.77734375" bestFit="1" customWidth="1"/>
    <col min="14" max="14" width="10.88671875" customWidth="1"/>
    <col min="15" max="15" width="17" bestFit="1" customWidth="1"/>
    <col min="16" max="16" width="17.6640625" bestFit="1" customWidth="1"/>
  </cols>
  <sheetData>
    <row r="1" spans="1:16" s="1" customFormat="1" ht="28.8" x14ac:dyDescent="0.3">
      <c r="A1" s="9" t="s">
        <v>110</v>
      </c>
      <c r="B1" s="9" t="s">
        <v>111</v>
      </c>
      <c r="C1" s="9" t="s">
        <v>112</v>
      </c>
      <c r="D1" s="9" t="s">
        <v>113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122</v>
      </c>
      <c r="N1" s="9" t="s">
        <v>123</v>
      </c>
      <c r="O1" s="9" t="s">
        <v>124</v>
      </c>
      <c r="P1" s="9" t="s">
        <v>125</v>
      </c>
    </row>
    <row r="2" spans="1:16" x14ac:dyDescent="0.3">
      <c r="A2" s="10"/>
      <c r="B2" s="10"/>
      <c r="C2" s="10"/>
      <c r="D2" s="10"/>
      <c r="E2" s="10"/>
      <c r="F2" s="10"/>
      <c r="G2" s="10"/>
      <c r="H2" s="10" t="str">
        <f>IF(OR(D2="",F2="",G2=""),"",MAX(0,D2-F2-G2))</f>
        <v/>
      </c>
      <c r="I2" s="10"/>
      <c r="J2" s="10" t="str">
        <f>IF(OR(H2="",I2=""),"",H2*I2)</f>
        <v/>
      </c>
      <c r="K2" s="10"/>
      <c r="L2" s="10"/>
      <c r="M2" s="10"/>
      <c r="N2" s="10"/>
      <c r="O2" s="10" t="str">
        <f>IF(OR(E2="",J2=""),"Missing Data",IF(E2&gt;J2,"Overloaded","Within Target"))</f>
        <v>Missing Data</v>
      </c>
      <c r="P2" s="10" t="str">
        <f>IF(O2="Overloaded","Review and redistribute workload",IF(O2="Within Target","Check skills and support quality","Collect missing data"))</f>
        <v>Collect missing data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F4FC-3FC9-43F5-8D96-253477DFEB30}">
  <dimension ref="A1:R2"/>
  <sheetViews>
    <sheetView workbookViewId="0">
      <selection activeCell="Q2" sqref="Q2"/>
    </sheetView>
  </sheetViews>
  <sheetFormatPr defaultRowHeight="14.4" x14ac:dyDescent="0.3"/>
  <cols>
    <col min="1" max="1" width="7.5546875" customWidth="1"/>
    <col min="2" max="2" width="9.77734375" customWidth="1"/>
    <col min="3" max="3" width="6.88671875" customWidth="1"/>
    <col min="4" max="4" width="8.33203125" customWidth="1"/>
    <col min="5" max="5" width="11.109375" bestFit="1" customWidth="1"/>
    <col min="6" max="6" width="17" bestFit="1" customWidth="1"/>
    <col min="7" max="7" width="16.77734375" bestFit="1" customWidth="1"/>
    <col min="8" max="8" width="17.33203125" bestFit="1" customWidth="1"/>
    <col min="9" max="9" width="14.21875" customWidth="1"/>
    <col min="10" max="10" width="20.109375" bestFit="1" customWidth="1"/>
    <col min="11" max="11" width="21" customWidth="1"/>
    <col min="12" max="12" width="12.77734375" bestFit="1" customWidth="1"/>
    <col min="13" max="13" width="19.88671875" bestFit="1" customWidth="1"/>
    <col min="14" max="14" width="17.21875" bestFit="1" customWidth="1"/>
    <col min="15" max="15" width="10.6640625" bestFit="1" customWidth="1"/>
    <col min="16" max="16" width="11.77734375" bestFit="1" customWidth="1"/>
    <col min="17" max="17" width="17.33203125" bestFit="1" customWidth="1"/>
    <col min="18" max="18" width="11.21875" bestFit="1" customWidth="1"/>
  </cols>
  <sheetData>
    <row r="1" spans="1:18" s="1" customFormat="1" ht="31.2" customHeight="1" x14ac:dyDescent="0.3">
      <c r="A1" s="2" t="s">
        <v>126</v>
      </c>
      <c r="B1" s="3" t="s">
        <v>127</v>
      </c>
      <c r="C1" s="3" t="s">
        <v>73</v>
      </c>
      <c r="D1" s="3" t="s">
        <v>74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136</v>
      </c>
      <c r="N1" s="3" t="s">
        <v>137</v>
      </c>
      <c r="O1" s="3" t="s">
        <v>138</v>
      </c>
      <c r="P1" s="3" t="s">
        <v>139</v>
      </c>
      <c r="Q1" s="3" t="s">
        <v>125</v>
      </c>
      <c r="R1" s="4" t="s">
        <v>140</v>
      </c>
    </row>
    <row r="2" spans="1:18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8"/>
      <c r="L2" s="6" t="str">
        <f>IF(K2="","Not Calculable",IF(K2&gt;=70,"High",IF(K2&gt;=40,"Medium","Standard")))</f>
        <v>Not Calculable</v>
      </c>
      <c r="M2" s="6"/>
      <c r="N2" s="6"/>
      <c r="O2" s="6" t="str">
        <f>IF(OR(M2="",N2=""),"Missing Data",IF(M2&gt;N2,"Capacity Exceeded","Within Capacity"))</f>
        <v>Missing Data</v>
      </c>
      <c r="P2" s="6"/>
      <c r="Q2" s="6" t="str">
        <f>IF(K2="","Collect Missing Data",IF(O2="Capacity Exceeded","Review and rebalance workload",IF(L2="High","Prioritize mentor review",IF(L2="Medium","Review during workload balancing","Continue routine support"))))</f>
        <v>Collect Missing Data</v>
      </c>
      <c r="R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 Audit</vt:lpstr>
      <vt:lpstr>Course Catalog</vt:lpstr>
      <vt:lpstr>Mentor Workload</vt:lpstr>
      <vt:lpstr>Mentor Allocation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2026-10-14T12:38:49Z</dcterms:created>
  <dcterms:modified xsi:type="dcterms:W3CDTF">2026-10-14T13:00:21Z</dcterms:modified>
</cp:coreProperties>
</file>