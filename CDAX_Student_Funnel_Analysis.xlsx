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FF6390AA-5714-4466-974D-C1ECB6613359}" xr6:coauthVersionLast="47" xr6:coauthVersionMax="47" xr10:uidLastSave="{00000000-0000-0000-0000-000000000000}"/>
  <bookViews>
    <workbookView xWindow="-108" yWindow="-108" windowWidth="23256" windowHeight="12456" firstSheet="1" activeTab="3" xr2:uid="{00000000-000D-0000-FFFF-FFFF00000000}"/>
  </bookViews>
  <sheets>
    <sheet name="Funnel Definition" sheetId="1" r:id="rId1"/>
    <sheet name="Funnel Calculation" sheetId="2" r:id="rId2"/>
    <sheet name="Student Stage Data" sheetId="3" r:id="rId3"/>
    <sheet name="Time Between Stages" sheetId="4" r:id="rId4"/>
    <sheet name="Cohort Analysis" sheetId="5" r:id="rId5"/>
    <sheet name="Notes" sheetId="6" r:id="rId6"/>
  </sheets>
  <definedNames>
    <definedName name="_xlnm._FilterDatabase" localSheetId="4" hidden="1">'Cohort Analysis'!$A$1:$I$2</definedName>
    <definedName name="_xlnm._FilterDatabase" localSheetId="1" hidden="1">'Funnel Calculation'!$A$1:$F$10</definedName>
    <definedName name="_xlnm._FilterDatabase" localSheetId="0" hidden="1">'Funnel Definition'!$A$1:$E$10</definedName>
    <definedName name="_xlnm._FilterDatabase" localSheetId="2" hidden="1">'Student Stage Data'!$A$1:$I$4</definedName>
    <definedName name="_xlnm._FilterDatabase" localSheetId="3" hidden="1">'Time Between Stages'!$A$1:$F$8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4" i="4" l="1"/>
  <c r="E15" i="4"/>
  <c r="E16" i="4"/>
  <c r="E2" i="4"/>
  <c r="C10" i="2"/>
  <c r="C9" i="2"/>
  <c r="D9" i="2" s="1"/>
  <c r="E9" i="2" s="1"/>
  <c r="C7" i="2"/>
  <c r="D7" i="2" s="1"/>
  <c r="E7" i="2" s="1"/>
  <c r="C5" i="2"/>
  <c r="D5" i="2" s="1"/>
  <c r="E5" i="2" s="1"/>
  <c r="C3" i="2"/>
  <c r="C4" i="2"/>
  <c r="D4" i="2" s="1"/>
  <c r="E4" i="2" s="1"/>
  <c r="C6" i="2"/>
  <c r="C8" i="2"/>
  <c r="D3" i="2"/>
  <c r="E3" i="2" s="1"/>
  <c r="E8" i="4"/>
  <c r="E7" i="4"/>
  <c r="E6" i="4"/>
  <c r="E5" i="4"/>
  <c r="E4" i="4"/>
  <c r="E3" i="4"/>
  <c r="D10" i="2"/>
  <c r="E10" i="2" s="1"/>
  <c r="D8" i="2"/>
  <c r="E8" i="2" s="1"/>
  <c r="D6" i="2"/>
  <c r="E6" i="2" s="1"/>
  <c r="D2" i="2"/>
  <c r="E2" i="2" s="1"/>
</calcChain>
</file>

<file path=xl/sharedStrings.xml><?xml version="1.0" encoding="utf-8"?>
<sst xmlns="http://schemas.openxmlformats.org/spreadsheetml/2006/main" count="137" uniqueCount="85">
  <si>
    <t>Stage</t>
  </si>
  <si>
    <t>Definition</t>
  </si>
  <si>
    <t>Data Source</t>
  </si>
  <si>
    <t>Required Field</t>
  </si>
  <si>
    <t>Available Data</t>
  </si>
  <si>
    <t>Visitor</t>
  </si>
  <si>
    <t>User visits the CDaX website</t>
  </si>
  <si>
    <t>Visitor ID, Visit Timestamp</t>
  </si>
  <si>
    <t>Registration</t>
  </si>
  <si>
    <t>User creates a CDaX account</t>
  </si>
  <si>
    <t>Users</t>
  </si>
  <si>
    <t>id, created_at</t>
  </si>
  <si>
    <t>Yes</t>
  </si>
  <si>
    <t>Demo</t>
  </si>
  <si>
    <t>User books or attends a demo</t>
  </si>
  <si>
    <t>demo_session_id, student_id, scheduled_at, demo_status</t>
  </si>
  <si>
    <t>Enrollment</t>
  </si>
  <si>
    <t>User enrolls in a course</t>
  </si>
  <si>
    <t>Purchases</t>
  </si>
  <si>
    <t>user_id, course_id, purchased_on</t>
  </si>
  <si>
    <t>First Class</t>
  </si>
  <si>
    <t>User attends a live class for the first time</t>
  </si>
  <si>
    <t>user_id, live_session_id, joined_at, attended</t>
  </si>
  <si>
    <t>Active Student</t>
  </si>
  <si>
    <t>User has recorded learning activity</t>
  </si>
  <si>
    <t>Video_Progress / User_Streaks</t>
  </si>
  <si>
    <t>user_id, watched_seconds, completed, streak_date</t>
  </si>
  <si>
    <t>Project</t>
  </si>
  <si>
    <t>User performs project activity</t>
  </si>
  <si>
    <t>project_id, student_id, activity_timestamp</t>
  </si>
  <si>
    <t>Course Completion</t>
  </si>
  <si>
    <t>User completes a course</t>
  </si>
  <si>
    <t>completion_date, completion_percentage</t>
  </si>
  <si>
    <t>Certificate</t>
  </si>
  <si>
    <t>User receives a certificate</t>
  </si>
  <si>
    <t>user_id, course_id, issued_date</t>
  </si>
  <si>
    <t>Stage Count</t>
  </si>
  <si>
    <t>Previous Stage Count</t>
  </si>
  <si>
    <t>Conversion Rate</t>
  </si>
  <si>
    <t>Drop-off Rate</t>
  </si>
  <si>
    <t>Calculation Rule</t>
  </si>
  <si>
    <t>Stage Count ÷ Previous Stage Count</t>
  </si>
  <si>
    <t>Student ID</t>
  </si>
  <si>
    <t>Registration Timestamp</t>
  </si>
  <si>
    <t>Demo Timestamp</t>
  </si>
  <si>
    <t>Enrollment Timestamp</t>
  </si>
  <si>
    <t>First Class Timestamp</t>
  </si>
  <si>
    <t>Active Student Timestamp</t>
  </si>
  <si>
    <t>Project Timestamp</t>
  </si>
  <si>
    <t>Course Completion Timestamp</t>
  </si>
  <si>
    <t>Certificate Timestamp</t>
  </si>
  <si>
    <t>From Stage</t>
  </si>
  <si>
    <t>To Stage</t>
  </si>
  <si>
    <t>Start Timestamp</t>
  </si>
  <si>
    <t>End Timestamp</t>
  </si>
  <si>
    <t>Time Between Stages (Days)</t>
  </si>
  <si>
    <t>Status</t>
  </si>
  <si>
    <t>Cohort Month</t>
  </si>
  <si>
    <t>Item</t>
  </si>
  <si>
    <t>Detail</t>
  </si>
  <si>
    <t>Source file</t>
  </si>
  <si>
    <t>CDaX PowerBI Data 11.xlsx</t>
  </si>
  <si>
    <t>Registration count</t>
  </si>
  <si>
    <t>3 unique student IDs in Users.</t>
  </si>
  <si>
    <t>Enrollment count</t>
  </si>
  <si>
    <t>3 unique student IDs in Purchases.</t>
  </si>
  <si>
    <t>Active Student count</t>
  </si>
  <si>
    <t>1 unique student with recorded learning activity in Video_Progress/User_Streaks.</t>
  </si>
  <si>
    <t>Blank because visitor/website-visit data is not present in the uploaded workbook.</t>
  </si>
  <si>
    <t>Blank because demo booking/attendance data is not present in the uploaded workbook.</t>
  </si>
  <si>
    <t>Blank because live-session attendance data is not present in the uploaded workbook.</t>
  </si>
  <si>
    <t>Blank because project activity data is not present in the uploaded workbook.</t>
  </si>
  <si>
    <t>Blank because a dedicated course-completion record/field is not present in the uploaded workbook. Video progress is not assumed to equal course completion.</t>
  </si>
  <si>
    <t>Blank because certificate records are not present in the uploaded workbook.</t>
  </si>
  <si>
    <t>Missing-data rule</t>
  </si>
  <si>
    <t>Unavailable values are left blank. No 0, N/A, estimate, or invented value has been added.</t>
  </si>
  <si>
    <t>Cohort rule</t>
  </si>
  <si>
    <t>Cohort is based on Users.created_at month. All 3 registrations are in Jan-2026.</t>
  </si>
  <si>
    <t>Measured from available timestamps; not an adjacent funnel stage because Demo data is missing.</t>
  </si>
  <si>
    <t>Registration → Enrollment</t>
  </si>
  <si>
    <t>Observed interval</t>
  </si>
  <si>
    <t>Data quality issue: enrollment timestamp precedes registration timestamp</t>
  </si>
  <si>
    <t>Registration2</t>
  </si>
  <si>
    <t>Enrolled</t>
  </si>
  <si>
    <t>Time Between Stages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</si>
</sst>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\ hh:mm"/>
    <numFmt numFmtId="165" formatCode="mmm\-yyyy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10" fontId="0" fillId="0" borderId="1" xfId="0" applyNumberFormat="1" applyBorder="1" applyAlignment="1">
      <alignment vertical="top" wrapText="1"/>
    </xf>
    <xf numFmtId="164" fontId="0" fillId="0" borderId="1" xfId="0" applyNumberFormat="1" applyBorder="1" applyAlignment="1">
      <alignment vertical="top" wrapText="1"/>
    </xf>
    <xf numFmtId="0" fontId="0" fillId="0" borderId="0" xfId="0" applyAlignment="1">
      <alignment vertical="top" wrapText="1"/>
    </xf>
    <xf numFmtId="10" fontId="0" fillId="0" borderId="0" xfId="0" applyNumberFormat="1" applyAlignment="1">
      <alignment vertical="top" wrapText="1"/>
    </xf>
    <xf numFmtId="164" fontId="0" fillId="0" borderId="0" xfId="0" applyNumberFormat="1" applyAlignment="1">
      <alignment vertical="top" wrapText="1"/>
    </xf>
    <xf numFmtId="165" fontId="0" fillId="0" borderId="0" xfId="0" applyNumberFormat="1" applyAlignment="1">
      <alignment vertical="top" wrapText="1"/>
    </xf>
    <xf numFmtId="22" fontId="0" fillId="0" borderId="0" xfId="0" applyNumberFormat="1"/>
  </cellXfs>
  <cellStyles count="1">
    <cellStyle name="Normal" xfId="0" builtinId="0"/>
  </cellStyles>
  <dxfs count="63">
    <dxf>
      <numFmt numFmtId="27" formatCode="m/d/yyyy\ h:mm"/>
    </dxf>
    <dxf>
      <numFmt numFmtId="27" formatCode="m/d/yyyy\ h:mm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numFmt numFmtId="165" formatCode="mmm\-yyyy"/>
      <alignment horizontal="general" vertical="top" textRotation="0" wrapText="1" indent="0" justifyLastLine="0" shrinkToFit="0" readingOrder="0"/>
    </dxf>
    <dxf>
      <border outline="0">
        <bottom style="thin">
          <color rgb="FFD9D9D9"/>
        </bottom>
      </border>
    </dxf>
    <dxf>
      <alignment horizontal="general" vertical="top" textRotation="0" wrapText="1" indent="0" justifyLastLine="0" shrinkToFit="0" readingOrder="0"/>
    </dxf>
    <dxf>
      <border outline="0">
        <bottom style="thin">
          <color rgb="FFD9D9D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indexed="64"/>
          <bgColor rgb="FFD9EAF7"/>
        </patternFill>
      </fill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D9D9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D9D9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D9D9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D9D9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D9D9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D9D9"/>
        </bottom>
        <vertical/>
        <horizontal/>
      </border>
    </dxf>
    <dxf>
      <border outline="0">
        <bottom style="thin">
          <color rgb="FFD9D9D9"/>
        </bottom>
      </border>
    </dxf>
    <dxf>
      <alignment horizontal="general" vertical="top" textRotation="0" wrapText="1" indent="0" justifyLastLine="0" shrinkToFit="0" readingOrder="0"/>
    </dxf>
    <dxf>
      <border outline="0">
        <bottom style="thin">
          <color rgb="FFD9D9D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indexed="64"/>
          <bgColor rgb="FFD9EAF7"/>
        </patternFill>
      </fill>
      <alignment horizontal="general" vertical="top" textRotation="0" wrapText="1" indent="0" justifyLastLine="0" shrinkToFit="0" readingOrder="0"/>
    </dxf>
    <dxf>
      <numFmt numFmtId="164" formatCode="dd\-mmm\-yyyy\ hh:mm"/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D9D9"/>
        </bottom>
        <vertical/>
        <horizontal/>
      </border>
    </dxf>
    <dxf>
      <numFmt numFmtId="164" formatCode="dd\-mmm\-yyyy\ hh:mm"/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D9D9"/>
        </bottom>
        <vertical/>
        <horizontal/>
      </border>
    </dxf>
    <dxf>
      <numFmt numFmtId="164" formatCode="dd\-mmm\-yyyy\ hh:mm"/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D9D9"/>
        </bottom>
        <vertical/>
        <horizontal/>
      </border>
    </dxf>
    <dxf>
      <numFmt numFmtId="164" formatCode="dd\-mmm\-yyyy\ hh:mm"/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D9D9"/>
        </bottom>
        <vertical/>
        <horizontal/>
      </border>
    </dxf>
    <dxf>
      <numFmt numFmtId="164" formatCode="dd\-mmm\-yyyy\ hh:mm"/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D9D9"/>
        </bottom>
        <vertical/>
        <horizontal/>
      </border>
    </dxf>
    <dxf>
      <numFmt numFmtId="164" formatCode="dd\-mmm\-yyyy\ hh:mm"/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D9D9"/>
        </bottom>
        <vertical/>
        <horizontal/>
      </border>
    </dxf>
    <dxf>
      <numFmt numFmtId="164" formatCode="dd\-mmm\-yyyy\ hh:mm"/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D9D9"/>
        </bottom>
        <vertical/>
        <horizontal/>
      </border>
    </dxf>
    <dxf>
      <numFmt numFmtId="164" formatCode="dd\-mmm\-yyyy\ hh:mm"/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D9D9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D9D9"/>
        </bottom>
        <vertical/>
        <horizontal/>
      </border>
    </dxf>
    <dxf>
      <border outline="0">
        <bottom style="thin">
          <color rgb="FFD9D9D9"/>
        </bottom>
      </border>
    </dxf>
    <dxf>
      <alignment horizontal="general" vertical="top" textRotation="0" wrapText="1" indent="0" justifyLastLine="0" shrinkToFit="0" readingOrder="0"/>
    </dxf>
    <dxf>
      <border outline="0">
        <bottom style="thin">
          <color rgb="FFD9D9D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indexed="64"/>
          <bgColor rgb="FFD9EAF7"/>
        </patternFill>
      </fill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D9D9"/>
        </bottom>
        <vertical/>
        <horizontal/>
      </border>
    </dxf>
    <dxf>
      <numFmt numFmtId="14" formatCode="0.00%"/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D9D9"/>
        </bottom>
        <vertical/>
        <horizontal/>
      </border>
    </dxf>
    <dxf>
      <numFmt numFmtId="14" formatCode="0.00%"/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D9D9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D9D9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D9D9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D9D9"/>
        </bottom>
        <vertical/>
        <horizontal/>
      </border>
    </dxf>
    <dxf>
      <border outline="0">
        <bottom style="thin">
          <color rgb="FFD9D9D9"/>
        </bottom>
      </border>
    </dxf>
    <dxf>
      <alignment horizontal="general" vertical="top" textRotation="0" wrapText="1" indent="0" justifyLastLine="0" shrinkToFit="0" readingOrder="0"/>
    </dxf>
    <dxf>
      <border outline="0">
        <bottom style="thin">
          <color rgb="FFD9D9D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indexed="64"/>
          <bgColor rgb="FFD9EAF7"/>
        </patternFill>
      </fill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D9D9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D9D9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D9D9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D9D9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D9D9"/>
        </bottom>
        <vertical/>
        <horizontal/>
      </border>
    </dxf>
    <dxf>
      <border outline="0">
        <bottom style="thin">
          <color rgb="FFD9D9D9"/>
        </bottom>
      </border>
    </dxf>
    <dxf>
      <alignment horizontal="general" vertical="top" textRotation="0" wrapText="1" indent="0" justifyLastLine="0" shrinkToFit="0" readingOrder="0"/>
    </dxf>
    <dxf>
      <border outline="0">
        <bottom style="thin">
          <color rgb="FFD9D9D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indexed="64"/>
          <bgColor rgb="FFD9EAF7"/>
        </patternFill>
      </fill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D9D9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D9D9"/>
        </bottom>
        <vertical/>
        <horizontal/>
      </border>
    </dxf>
    <dxf>
      <border outline="0">
        <bottom style="thin">
          <color rgb="FFD9D9D9"/>
        </bottom>
      </border>
    </dxf>
    <dxf>
      <alignment horizontal="general" vertical="top" textRotation="0" wrapText="1" indent="0" justifyLastLine="0" shrinkToFit="0" readingOrder="0"/>
    </dxf>
    <dxf>
      <border outline="0">
        <bottom style="thin">
          <color rgb="FFD9D9D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indexed="64"/>
          <bgColor rgb="FFD9EAF7"/>
        </patternFill>
      </fill>
      <alignment horizontal="general" vertical="top" textRotation="0" wrapText="1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DB38A86-D8F3-4EA9-B084-D0EB00C4F87C}" name="Table1" displayName="Table1" ref="A1:E10" totalsRowShown="0" headerRowDxfId="56" dataDxfId="54" headerRowBorderDxfId="55" tableBorderDxfId="53">
  <autoFilter ref="A1:E10" xr:uid="{7DB38A86-D8F3-4EA9-B084-D0EB00C4F87C}"/>
  <tableColumns count="5">
    <tableColumn id="1" xr3:uid="{3D798B15-95BE-4A7A-91B8-11C3400B3FDD}" name="Stage" dataDxfId="52"/>
    <tableColumn id="2" xr3:uid="{05323C0D-C06D-4357-8ABA-90536AFFDF8E}" name="Definition" dataDxfId="51"/>
    <tableColumn id="3" xr3:uid="{244FEAFE-C3E1-4DB5-91F2-BD5193C92914}" name="Data Source" dataDxfId="50"/>
    <tableColumn id="4" xr3:uid="{685D6C35-3EE4-4EE5-BF0E-906FFA7CFC0F}" name="Required Field" dataDxfId="49"/>
    <tableColumn id="5" xr3:uid="{598FE1C3-7789-4C3F-96E3-CCC6B0023E90}" name="Available Data" dataDxfId="48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D6D3ABE-CD06-47E4-A89C-43F7DA7E5E90}" name="Table2" displayName="Table2" ref="A1:F10" totalsRowShown="0" headerRowDxfId="47" dataDxfId="45" headerRowBorderDxfId="46" tableBorderDxfId="44">
  <autoFilter ref="A1:F10" xr:uid="{00000000-0009-0000-0000-000001000000}"/>
  <tableColumns count="6">
    <tableColumn id="1" xr3:uid="{22A45104-4A2D-426E-AD96-CEE747F65C2B}" name="Stage" dataDxfId="43"/>
    <tableColumn id="2" xr3:uid="{64C38FD5-6659-4DC0-8D6B-E5E51045DE44}" name="Stage Count" dataDxfId="42"/>
    <tableColumn id="3" xr3:uid="{4BCD3E8C-5C5E-4581-8634-E044CCCF4178}" name="Previous Stage Count" dataDxfId="41">
      <calculatedColumnFormula>B1</calculatedColumnFormula>
    </tableColumn>
    <tableColumn id="4" xr3:uid="{5B32D542-4BF9-49E7-BF70-9641A8C7E0F5}" name="Conversion Rate" dataDxfId="40">
      <calculatedColumnFormula>IF(OR(B2="",C2=""),"",B2/C2)</calculatedColumnFormula>
    </tableColumn>
    <tableColumn id="5" xr3:uid="{492EDC17-8BAA-4922-B63D-7FA21EAD4C65}" name="Drop-off Rate" dataDxfId="39">
      <calculatedColumnFormula>IF(D2="","",1-D2)</calculatedColumnFormula>
    </tableColumn>
    <tableColumn id="6" xr3:uid="{7B124396-AF26-4EB3-B9A4-305FD342EED9}" name="Calculation Rule" dataDxfId="38"/>
  </tableColumns>
  <tableStyleInfo name="TableStyleMedium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D982791-D149-4A8B-9945-BB92457C270E}" name="Table3" displayName="Table3" ref="A1:I4" totalsRowShown="0" headerRowDxfId="37" dataDxfId="35" headerRowBorderDxfId="36" tableBorderDxfId="34">
  <autoFilter ref="A1:I4" xr:uid="{ED982791-D149-4A8B-9945-BB92457C270E}"/>
  <tableColumns count="9">
    <tableColumn id="1" xr3:uid="{0330A628-FA96-48F2-8877-2701577A310D}" name="Student ID" dataDxfId="33"/>
    <tableColumn id="2" xr3:uid="{B10C3FE6-2A3D-4786-B75B-C395E01BC340}" name="Registration Timestamp" dataDxfId="32"/>
    <tableColumn id="3" xr3:uid="{096ADC45-F2F1-4298-90FF-A892A3E287CD}" name="Demo Timestamp" dataDxfId="31"/>
    <tableColumn id="4" xr3:uid="{D98F7965-9F88-4F25-8553-5F3BC6C7C273}" name="Enrollment Timestamp" dataDxfId="30"/>
    <tableColumn id="5" xr3:uid="{0F51FA8D-D4BF-4CFC-BD88-EAF8EA7B15C8}" name="First Class Timestamp" dataDxfId="29"/>
    <tableColumn id="6" xr3:uid="{097C7909-FE4A-48DB-88FD-3C6375548E48}" name="Active Student Timestamp" dataDxfId="28"/>
    <tableColumn id="7" xr3:uid="{4616E31B-31F9-469D-833F-DAED47BD5133}" name="Project Timestamp" dataDxfId="27"/>
    <tableColumn id="8" xr3:uid="{06479E1C-4242-4935-9C2D-9D0269F12DBA}" name="Course Completion Timestamp" dataDxfId="26"/>
    <tableColumn id="9" xr3:uid="{82D257BC-8F9A-496A-A369-89623D75020C}" name="Certificate Timestamp" dataDxfId="25"/>
  </tableColumns>
  <tableStyleInfo name="TableStyleMedium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4332CD5-78D3-4D55-BD69-8B02E6F435CF}" name="Table4" displayName="Table4" ref="A1:F8" totalsRowShown="0" headerRowDxfId="24" dataDxfId="22" headerRowBorderDxfId="23" tableBorderDxfId="21">
  <autoFilter ref="A1:F8" xr:uid="{00000000-0009-0000-0000-000003000000}"/>
  <tableColumns count="6">
    <tableColumn id="1" xr3:uid="{3E683E6F-ECCA-4145-8D7A-473B1E7CEB21}" name="From Stage" dataDxfId="20"/>
    <tableColumn id="2" xr3:uid="{548FA689-FFA6-4B2F-8915-D7FE3BFCBCE9}" name="To Stage" dataDxfId="19"/>
    <tableColumn id="3" xr3:uid="{733082C6-1BA1-4D28-9581-3606E3AE5AB9}" name="Start Timestamp" dataDxfId="18"/>
    <tableColumn id="4" xr3:uid="{28C31213-E283-4ABC-B116-4F2C1F28CD0C}" name="End Timestamp" dataDxfId="17"/>
    <tableColumn id="5" xr3:uid="{14ED41F1-9BE8-4317-8B00-2BE95CF98AA7}" name="Time Between Stages (Days)" dataDxfId="16">
      <calculatedColumnFormula>IF(OR(C2="",D2=""),"",D2-C2)</calculatedColumnFormula>
    </tableColumn>
    <tableColumn id="6" xr3:uid="{C0DF4E3A-457F-48E1-BAFA-C72D283E20F4}" name="Status" dataDxfId="15"/>
  </tableColumns>
  <tableStyleInfo name="TableStyleMedium3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731938D-D953-47E2-A5B0-A4ADD282948E}" name="Table7" displayName="Table7" ref="A13:F16" totalsRowShown="0">
  <autoFilter ref="A13:F16" xr:uid="{B731938D-D953-47E2-A5B0-A4ADD282948E}"/>
  <tableColumns count="6">
    <tableColumn id="1" xr3:uid="{21A3347F-E2B4-434B-9C33-D807593B2019}" name="Registration"/>
    <tableColumn id="2" xr3:uid="{2AB1B42B-C46F-41C0-8ACB-56EF19F6006F}" name="Enrollment"/>
    <tableColumn id="3" xr3:uid="{1519AC2C-E307-4E58-9067-8E55319F31E3}" name="Registration2" dataDxfId="1"/>
    <tableColumn id="4" xr3:uid="{A1638839-7116-405C-B5A6-1B6DD67D5CC6}" name="Enrolled" dataDxfId="0"/>
    <tableColumn id="5" xr3:uid="{0387662F-B4B1-41E4-A131-1FD6C2EE018D}" name="Time Between Stages"/>
    <tableColumn id="6" xr3:uid="{0DA083B7-2D43-4D38-97C5-49EA18DA3675}" name="Measured from available timestamps; not an adjacent funnel stage because Demo data is missing.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63B7F34-F89C-49F0-8521-02A2DAD8D491}" name="Table5" displayName="Table5" ref="A1:I2" totalsRowShown="0" headerRowDxfId="14" dataDxfId="12" headerRowBorderDxfId="13" tableBorderDxfId="11">
  <autoFilter ref="A1:I2" xr:uid="{00000000-0009-0000-0000-000004000000}"/>
  <tableColumns count="9">
    <tableColumn id="1" xr3:uid="{7328CC17-FD7B-40E6-877A-4A5E11F34034}" name="Cohort Month" dataDxfId="10"/>
    <tableColumn id="2" xr3:uid="{0A314635-B6CA-4352-90E1-8A614E053DA8}" name="Registration" dataDxfId="9"/>
    <tableColumn id="3" xr3:uid="{AEBF31D1-6069-48C5-A980-6C785288CCB1}" name="Demo" dataDxfId="8"/>
    <tableColumn id="4" xr3:uid="{CEE46DBC-1017-46A2-AFDD-6F32B6CA7AA6}" name="Enrollment" dataDxfId="7"/>
    <tableColumn id="5" xr3:uid="{841CDB9B-992E-4AD7-890C-0355585EC41E}" name="First Class" dataDxfId="6"/>
    <tableColumn id="6" xr3:uid="{EB11A8A6-8DF3-4D94-8573-0661E3DC0244}" name="Active Student" dataDxfId="5"/>
    <tableColumn id="7" xr3:uid="{DCA994E7-696B-42D9-B5C1-AD809E3651D0}" name="Project" dataDxfId="4"/>
    <tableColumn id="8" xr3:uid="{154FA132-7964-4D4E-B73E-C4D264E3CCC5}" name="Course Completion" dataDxfId="3"/>
    <tableColumn id="9" xr3:uid="{F8A424AA-7E3B-41F1-9234-72DB64A39745}" name="Certificate" dataDxfId="2"/>
  </tableColumns>
  <tableStyleInfo name="TableStyleMedium8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9E4D4BC-E61E-4AE3-AEC9-6A97F360680D}" name="Table6" displayName="Table6" ref="A1:B13" totalsRowShown="0" headerRowDxfId="62" dataDxfId="60" headerRowBorderDxfId="61" tableBorderDxfId="59">
  <autoFilter ref="A1:B13" xr:uid="{A9E4D4BC-E61E-4AE3-AEC9-6A97F360680D}"/>
  <tableColumns count="2">
    <tableColumn id="1" xr3:uid="{335883F4-D246-454F-B4E9-F010FD78FA5E}" name="Item" dataDxfId="58"/>
    <tableColumn id="2" xr3:uid="{15392DA1-6D1F-440B-A328-05CBE4ACFC96}" name="Detail" dataDxfId="5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workbookViewId="0">
      <pane ySplit="1" topLeftCell="A2" activePane="bottomLeft" state="frozen"/>
      <selection pane="bottomLeft" activeCell="D17" sqref="D17"/>
    </sheetView>
  </sheetViews>
  <sheetFormatPr defaultRowHeight="14.4" x14ac:dyDescent="0.3"/>
  <cols>
    <col min="1" max="1" width="19" customWidth="1"/>
    <col min="2" max="2" width="42" customWidth="1"/>
    <col min="3" max="3" width="30" customWidth="1"/>
    <col min="4" max="4" width="45" customWidth="1"/>
    <col min="5" max="5" width="16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 t="s">
        <v>5</v>
      </c>
      <c r="B2" s="2" t="s">
        <v>6</v>
      </c>
      <c r="C2" s="2"/>
      <c r="D2" s="2" t="s">
        <v>7</v>
      </c>
      <c r="E2" s="2"/>
    </row>
    <row r="3" spans="1:5" x14ac:dyDescent="0.3">
      <c r="A3" s="2" t="s">
        <v>8</v>
      </c>
      <c r="B3" s="2" t="s">
        <v>9</v>
      </c>
      <c r="C3" s="2" t="s">
        <v>10</v>
      </c>
      <c r="D3" s="2" t="s">
        <v>11</v>
      </c>
      <c r="E3" s="2" t="s">
        <v>12</v>
      </c>
    </row>
    <row r="4" spans="1:5" ht="28.8" x14ac:dyDescent="0.3">
      <c r="A4" s="2" t="s">
        <v>13</v>
      </c>
      <c r="B4" s="2" t="s">
        <v>14</v>
      </c>
      <c r="C4" s="2"/>
      <c r="D4" s="2" t="s">
        <v>15</v>
      </c>
      <c r="E4" s="2"/>
    </row>
    <row r="5" spans="1:5" x14ac:dyDescent="0.3">
      <c r="A5" s="2" t="s">
        <v>16</v>
      </c>
      <c r="B5" s="2" t="s">
        <v>17</v>
      </c>
      <c r="C5" s="2" t="s">
        <v>18</v>
      </c>
      <c r="D5" s="2" t="s">
        <v>19</v>
      </c>
      <c r="E5" s="2" t="s">
        <v>12</v>
      </c>
    </row>
    <row r="6" spans="1:5" x14ac:dyDescent="0.3">
      <c r="A6" s="2" t="s">
        <v>20</v>
      </c>
      <c r="B6" s="2" t="s">
        <v>21</v>
      </c>
      <c r="C6" s="2"/>
      <c r="D6" s="2" t="s">
        <v>22</v>
      </c>
      <c r="E6" s="2"/>
    </row>
    <row r="7" spans="1:5" x14ac:dyDescent="0.3">
      <c r="A7" s="2" t="s">
        <v>23</v>
      </c>
      <c r="B7" s="2" t="s">
        <v>24</v>
      </c>
      <c r="C7" s="2" t="s">
        <v>25</v>
      </c>
      <c r="D7" s="2" t="s">
        <v>26</v>
      </c>
      <c r="E7" s="2" t="s">
        <v>12</v>
      </c>
    </row>
    <row r="8" spans="1:5" x14ac:dyDescent="0.3">
      <c r="A8" s="2" t="s">
        <v>27</v>
      </c>
      <c r="B8" s="2" t="s">
        <v>28</v>
      </c>
      <c r="C8" s="2"/>
      <c r="D8" s="2" t="s">
        <v>29</v>
      </c>
      <c r="E8" s="2"/>
    </row>
    <row r="9" spans="1:5" x14ac:dyDescent="0.3">
      <c r="A9" s="2" t="s">
        <v>30</v>
      </c>
      <c r="B9" s="2" t="s">
        <v>31</v>
      </c>
      <c r="C9" s="2"/>
      <c r="D9" s="2" t="s">
        <v>32</v>
      </c>
      <c r="E9" s="2"/>
    </row>
    <row r="10" spans="1:5" x14ac:dyDescent="0.3">
      <c r="A10" s="5" t="s">
        <v>33</v>
      </c>
      <c r="B10" s="5" t="s">
        <v>34</v>
      </c>
      <c r="C10" s="5"/>
      <c r="D10" s="5" t="s">
        <v>35</v>
      </c>
      <c r="E10" s="5"/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"/>
  <sheetViews>
    <sheetView workbookViewId="0">
      <pane ySplit="1" topLeftCell="A2" activePane="bottomLeft" state="frozen"/>
      <selection pane="bottomLeft" activeCell="D16" sqref="D16"/>
    </sheetView>
  </sheetViews>
  <sheetFormatPr defaultRowHeight="14.4" x14ac:dyDescent="0.3"/>
  <cols>
    <col min="1" max="1" width="24" customWidth="1"/>
    <col min="2" max="2" width="14" customWidth="1"/>
    <col min="3" max="3" width="22" customWidth="1"/>
    <col min="4" max="4" width="35" customWidth="1"/>
    <col min="5" max="5" width="22" customWidth="1"/>
    <col min="6" max="6" width="42" customWidth="1"/>
  </cols>
  <sheetData>
    <row r="1" spans="1:6" x14ac:dyDescent="0.3">
      <c r="A1" s="1" t="s">
        <v>0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</row>
    <row r="2" spans="1:6" x14ac:dyDescent="0.3">
      <c r="A2" s="2" t="s">
        <v>5</v>
      </c>
      <c r="B2" s="2">
        <v>3</v>
      </c>
      <c r="C2" s="2"/>
      <c r="D2" s="3" t="str">
        <f t="shared" ref="D2:D10" si="0">IF(OR(B2="",C2=""),"",B2/C2)</f>
        <v/>
      </c>
      <c r="E2" s="3" t="str">
        <f t="shared" ref="E2:E10" si="1">IF(D2="","",1-D2)</f>
        <v/>
      </c>
      <c r="F2" s="2"/>
    </row>
    <row r="3" spans="1:6" x14ac:dyDescent="0.3">
      <c r="A3" s="2" t="s">
        <v>8</v>
      </c>
      <c r="B3" s="2">
        <v>3</v>
      </c>
      <c r="C3" s="2">
        <f>B2</f>
        <v>3</v>
      </c>
      <c r="D3" s="3">
        <f t="shared" si="0"/>
        <v>1</v>
      </c>
      <c r="E3" s="3">
        <f t="shared" si="1"/>
        <v>0</v>
      </c>
      <c r="F3" s="2" t="s">
        <v>41</v>
      </c>
    </row>
    <row r="4" spans="1:6" x14ac:dyDescent="0.3">
      <c r="A4" s="2" t="s">
        <v>13</v>
      </c>
      <c r="B4" s="2">
        <v>3</v>
      </c>
      <c r="C4" s="2">
        <f t="shared" ref="C4:C8" si="2">B3</f>
        <v>3</v>
      </c>
      <c r="D4" s="3">
        <f t="shared" si="0"/>
        <v>1</v>
      </c>
      <c r="E4" s="3">
        <f t="shared" si="1"/>
        <v>0</v>
      </c>
      <c r="F4" s="2" t="s">
        <v>41</v>
      </c>
    </row>
    <row r="5" spans="1:6" x14ac:dyDescent="0.3">
      <c r="A5" s="2" t="s">
        <v>16</v>
      </c>
      <c r="B5" s="2">
        <v>3</v>
      </c>
      <c r="C5" s="2">
        <f>B4</f>
        <v>3</v>
      </c>
      <c r="D5" s="3">
        <f t="shared" si="0"/>
        <v>1</v>
      </c>
      <c r="E5" s="3">
        <f t="shared" si="1"/>
        <v>0</v>
      </c>
      <c r="F5" s="2" t="s">
        <v>41</v>
      </c>
    </row>
    <row r="6" spans="1:6" x14ac:dyDescent="0.3">
      <c r="A6" s="2" t="s">
        <v>20</v>
      </c>
      <c r="B6" s="2"/>
      <c r="C6" s="2">
        <f t="shared" si="2"/>
        <v>3</v>
      </c>
      <c r="D6" s="3" t="str">
        <f t="shared" si="0"/>
        <v/>
      </c>
      <c r="E6" s="3" t="str">
        <f t="shared" si="1"/>
        <v/>
      </c>
      <c r="F6" s="2" t="s">
        <v>41</v>
      </c>
    </row>
    <row r="7" spans="1:6" x14ac:dyDescent="0.3">
      <c r="A7" s="2" t="s">
        <v>23</v>
      </c>
      <c r="B7" s="2">
        <v>1</v>
      </c>
      <c r="C7" s="2">
        <f>B6</f>
        <v>0</v>
      </c>
      <c r="D7" s="3" t="e">
        <f t="shared" si="0"/>
        <v>#DIV/0!</v>
      </c>
      <c r="E7" s="3" t="e">
        <f t="shared" si="1"/>
        <v>#DIV/0!</v>
      </c>
      <c r="F7" s="2" t="s">
        <v>41</v>
      </c>
    </row>
    <row r="8" spans="1:6" x14ac:dyDescent="0.3">
      <c r="A8" s="2" t="s">
        <v>27</v>
      </c>
      <c r="B8" s="2"/>
      <c r="C8" s="2">
        <f t="shared" si="2"/>
        <v>1</v>
      </c>
      <c r="D8" s="3" t="str">
        <f t="shared" si="0"/>
        <v/>
      </c>
      <c r="E8" s="3" t="str">
        <f t="shared" si="1"/>
        <v/>
      </c>
      <c r="F8" s="2" t="s">
        <v>41</v>
      </c>
    </row>
    <row r="9" spans="1:6" x14ac:dyDescent="0.3">
      <c r="A9" s="2" t="s">
        <v>30</v>
      </c>
      <c r="B9" s="2"/>
      <c r="C9" s="2">
        <f>B8</f>
        <v>0</v>
      </c>
      <c r="D9" s="3" t="str">
        <f t="shared" si="0"/>
        <v/>
      </c>
      <c r="E9" s="3" t="str">
        <f t="shared" si="1"/>
        <v/>
      </c>
      <c r="F9" s="2" t="s">
        <v>41</v>
      </c>
    </row>
    <row r="10" spans="1:6" x14ac:dyDescent="0.3">
      <c r="A10" s="5" t="s">
        <v>33</v>
      </c>
      <c r="B10" s="5"/>
      <c r="C10" s="5">
        <f>B9</f>
        <v>0</v>
      </c>
      <c r="D10" s="6" t="str">
        <f t="shared" si="0"/>
        <v/>
      </c>
      <c r="E10" s="6" t="str">
        <f t="shared" si="1"/>
        <v/>
      </c>
      <c r="F10" s="5" t="s">
        <v>41</v>
      </c>
    </row>
  </sheetData>
  <pageMargins left="0.75" right="0.75" top="1" bottom="1" header="0.5" footer="0.5"/>
  <pageSetup orientation="portrait" r:id="rId1"/>
  <ignoredErrors>
    <ignoredError sqref="D7" evalError="1"/>
  </ignoredErrors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4"/>
  <sheetViews>
    <sheetView workbookViewId="0">
      <pane ySplit="1" topLeftCell="A2" activePane="bottomLeft" state="frozen"/>
      <selection pane="bottomLeft" activeCell="D3" sqref="A2:I4"/>
    </sheetView>
  </sheetViews>
  <sheetFormatPr defaultRowHeight="14.4" x14ac:dyDescent="0.3"/>
  <cols>
    <col min="1" max="1" width="12.109375" bestFit="1" customWidth="1"/>
    <col min="2" max="2" width="23.21875" bestFit="1" customWidth="1"/>
    <col min="3" max="3" width="18.109375" bestFit="1" customWidth="1"/>
    <col min="4" max="4" width="22.44140625" bestFit="1" customWidth="1"/>
    <col min="5" max="5" width="21.21875" bestFit="1" customWidth="1"/>
    <col min="6" max="6" width="25.6640625" bestFit="1" customWidth="1"/>
    <col min="7" max="7" width="19.109375" bestFit="1" customWidth="1"/>
    <col min="8" max="8" width="29.44140625" bestFit="1" customWidth="1"/>
    <col min="9" max="9" width="21.77734375" bestFit="1" customWidth="1"/>
  </cols>
  <sheetData>
    <row r="1" spans="1:9" x14ac:dyDescent="0.3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</row>
    <row r="2" spans="1:9" x14ac:dyDescent="0.3">
      <c r="A2" s="2">
        <v>1</v>
      </c>
      <c r="B2" s="4">
        <v>46023</v>
      </c>
      <c r="C2" s="4"/>
      <c r="D2" s="4">
        <v>46027</v>
      </c>
      <c r="E2" s="4"/>
      <c r="F2" s="4"/>
      <c r="G2" s="4"/>
      <c r="H2" s="4"/>
      <c r="I2" s="4"/>
    </row>
    <row r="3" spans="1:9" x14ac:dyDescent="0.3">
      <c r="A3" s="2">
        <v>2</v>
      </c>
      <c r="B3" s="4">
        <v>46024</v>
      </c>
      <c r="C3" s="4"/>
      <c r="D3" s="4">
        <v>46025</v>
      </c>
      <c r="E3" s="4"/>
      <c r="F3" s="4">
        <v>46027</v>
      </c>
      <c r="G3" s="4"/>
      <c r="H3" s="4"/>
      <c r="I3" s="4"/>
    </row>
    <row r="4" spans="1:9" x14ac:dyDescent="0.3">
      <c r="A4" s="5">
        <v>3</v>
      </c>
      <c r="B4" s="7">
        <v>46025</v>
      </c>
      <c r="C4" s="7"/>
      <c r="D4" s="7">
        <v>46023</v>
      </c>
      <c r="E4" s="7"/>
      <c r="F4" s="7"/>
      <c r="G4" s="7"/>
      <c r="H4" s="7"/>
      <c r="I4" s="7"/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6"/>
  <sheetViews>
    <sheetView tabSelected="1" workbookViewId="0">
      <pane ySplit="1" topLeftCell="A2" activePane="bottomLeft" state="frozen"/>
      <selection pane="bottomLeft" activeCell="E15" sqref="E15"/>
    </sheetView>
  </sheetViews>
  <sheetFormatPr defaultRowHeight="14.4" x14ac:dyDescent="0.3"/>
  <cols>
    <col min="1" max="1" width="24" customWidth="1"/>
    <col min="2" max="2" width="25.21875" customWidth="1"/>
    <col min="3" max="4" width="24" customWidth="1"/>
    <col min="5" max="5" width="30" customWidth="1"/>
    <col min="6" max="6" width="57.109375" customWidth="1"/>
  </cols>
  <sheetData>
    <row r="1" spans="1:6" x14ac:dyDescent="0.3">
      <c r="A1" s="1" t="s">
        <v>51</v>
      </c>
      <c r="B1" s="1" t="s">
        <v>52</v>
      </c>
      <c r="C1" s="1" t="s">
        <v>53</v>
      </c>
      <c r="D1" s="1" t="s">
        <v>54</v>
      </c>
      <c r="E1" s="1" t="s">
        <v>55</v>
      </c>
      <c r="F1" s="1" t="s">
        <v>56</v>
      </c>
    </row>
    <row r="2" spans="1:6" x14ac:dyDescent="0.3">
      <c r="A2" s="2" t="s">
        <v>8</v>
      </c>
      <c r="B2" s="2" t="s">
        <v>13</v>
      </c>
      <c r="C2" s="2"/>
      <c r="D2" s="2"/>
      <c r="E2" s="2" t="str">
        <f t="shared" ref="E2:E8" si="0">IF(OR(C2="",D2=""),"",D2-C2)</f>
        <v/>
      </c>
      <c r="F2" s="2"/>
    </row>
    <row r="3" spans="1:6" x14ac:dyDescent="0.3">
      <c r="A3" s="2" t="s">
        <v>13</v>
      </c>
      <c r="B3" s="2" t="s">
        <v>16</v>
      </c>
      <c r="C3" s="2"/>
      <c r="D3" s="2"/>
      <c r="E3" s="2" t="str">
        <f t="shared" si="0"/>
        <v/>
      </c>
      <c r="F3" s="2"/>
    </row>
    <row r="4" spans="1:6" x14ac:dyDescent="0.3">
      <c r="A4" s="2" t="s">
        <v>16</v>
      </c>
      <c r="B4" s="2" t="s">
        <v>20</v>
      </c>
      <c r="C4" s="2"/>
      <c r="D4" s="2"/>
      <c r="E4" s="2" t="str">
        <f t="shared" si="0"/>
        <v/>
      </c>
      <c r="F4" s="2"/>
    </row>
    <row r="5" spans="1:6" x14ac:dyDescent="0.3">
      <c r="A5" s="2" t="s">
        <v>20</v>
      </c>
      <c r="B5" s="2" t="s">
        <v>23</v>
      </c>
      <c r="C5" s="2"/>
      <c r="D5" s="2"/>
      <c r="E5" s="2" t="str">
        <f t="shared" si="0"/>
        <v/>
      </c>
      <c r="F5" s="2"/>
    </row>
    <row r="6" spans="1:6" x14ac:dyDescent="0.3">
      <c r="A6" s="2" t="s">
        <v>23</v>
      </c>
      <c r="B6" s="2" t="s">
        <v>27</v>
      </c>
      <c r="C6" s="2"/>
      <c r="D6" s="2"/>
      <c r="E6" s="2" t="str">
        <f t="shared" si="0"/>
        <v/>
      </c>
      <c r="F6" s="2"/>
    </row>
    <row r="7" spans="1:6" x14ac:dyDescent="0.3">
      <c r="A7" s="2" t="s">
        <v>27</v>
      </c>
      <c r="B7" s="2" t="s">
        <v>30</v>
      </c>
      <c r="C7" s="2"/>
      <c r="D7" s="2"/>
      <c r="E7" s="2" t="str">
        <f t="shared" si="0"/>
        <v/>
      </c>
      <c r="F7" s="2"/>
    </row>
    <row r="8" spans="1:6" x14ac:dyDescent="0.3">
      <c r="A8" s="5" t="s">
        <v>30</v>
      </c>
      <c r="B8" s="5" t="s">
        <v>33</v>
      </c>
      <c r="C8" s="5"/>
      <c r="D8" s="5"/>
      <c r="E8" s="5" t="str">
        <f t="shared" si="0"/>
        <v/>
      </c>
      <c r="F8" s="5"/>
    </row>
    <row r="13" spans="1:6" x14ac:dyDescent="0.3">
      <c r="A13" t="s">
        <v>8</v>
      </c>
      <c r="B13" t="s">
        <v>16</v>
      </c>
      <c r="C13" t="s">
        <v>82</v>
      </c>
      <c r="D13" t="s">
        <v>83</v>
      </c>
      <c r="E13" t="s">
        <v>84</v>
      </c>
      <c r="F13" t="s">
        <v>78</v>
      </c>
    </row>
    <row r="14" spans="1:6" x14ac:dyDescent="0.3">
      <c r="A14">
        <v>1</v>
      </c>
      <c r="B14" t="s">
        <v>79</v>
      </c>
      <c r="C14" s="9">
        <v>46023</v>
      </c>
      <c r="D14" s="9">
        <v>46027</v>
      </c>
      <c r="E14">
        <f>Table7[[#This Row],[Enrolled]]-Table7[[#This Row],[Registration2]]</f>
        <v>4</v>
      </c>
      <c r="F14" t="s">
        <v>80</v>
      </c>
    </row>
    <row r="15" spans="1:6" x14ac:dyDescent="0.3">
      <c r="A15">
        <v>2</v>
      </c>
      <c r="B15" t="s">
        <v>79</v>
      </c>
      <c r="C15" s="9">
        <v>46024</v>
      </c>
      <c r="D15" s="9">
        <v>46025</v>
      </c>
      <c r="E15">
        <f>Table7[[#This Row],[Enrolled]]-Table7[[#This Row],[Registration2]]</f>
        <v>1</v>
      </c>
      <c r="F15" t="s">
        <v>80</v>
      </c>
    </row>
    <row r="16" spans="1:6" x14ac:dyDescent="0.3">
      <c r="A16">
        <v>3</v>
      </c>
      <c r="B16" t="s">
        <v>79</v>
      </c>
      <c r="C16" s="9">
        <v>46025</v>
      </c>
      <c r="D16" s="9">
        <v>46027</v>
      </c>
      <c r="E16">
        <f>Table7[[#This Row],[Enrolled]]-Table7[[#This Row],[Registration2]]</f>
        <v>2</v>
      </c>
      <c r="F16" t="s">
        <v>81</v>
      </c>
    </row>
  </sheetData>
  <pageMargins left="0.75" right="0.75" top="1" bottom="1" header="0.5" footer="0.5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"/>
  <sheetViews>
    <sheetView workbookViewId="0">
      <pane ySplit="1" topLeftCell="A2" activePane="bottomLeft" state="frozen"/>
      <selection pane="bottomLeft" sqref="A1:I2"/>
    </sheetView>
  </sheetViews>
  <sheetFormatPr defaultRowHeight="14.4" x14ac:dyDescent="0.3"/>
  <cols>
    <col min="1" max="1" width="18" customWidth="1"/>
    <col min="2" max="9" width="20" customWidth="1"/>
  </cols>
  <sheetData>
    <row r="1" spans="1:9" x14ac:dyDescent="0.3">
      <c r="A1" s="1" t="s">
        <v>57</v>
      </c>
      <c r="B1" s="1" t="s">
        <v>8</v>
      </c>
      <c r="C1" s="1" t="s">
        <v>13</v>
      </c>
      <c r="D1" s="1" t="s">
        <v>16</v>
      </c>
      <c r="E1" s="1" t="s">
        <v>20</v>
      </c>
      <c r="F1" s="1" t="s">
        <v>23</v>
      </c>
      <c r="G1" s="1" t="s">
        <v>27</v>
      </c>
      <c r="H1" s="1" t="s">
        <v>30</v>
      </c>
      <c r="I1" s="1" t="s">
        <v>33</v>
      </c>
    </row>
    <row r="2" spans="1:9" x14ac:dyDescent="0.3">
      <c r="A2" s="8">
        <v>46023</v>
      </c>
      <c r="B2" s="5">
        <v>3</v>
      </c>
      <c r="C2" s="5"/>
      <c r="D2" s="5">
        <v>3</v>
      </c>
      <c r="E2" s="5"/>
      <c r="F2" s="5">
        <v>1</v>
      </c>
      <c r="G2" s="5"/>
      <c r="H2" s="5"/>
      <c r="I2" s="5"/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3"/>
  <sheetViews>
    <sheetView workbookViewId="0">
      <pane ySplit="1" topLeftCell="A2" activePane="bottomLeft" state="frozen"/>
      <selection pane="bottomLeft" activeCell="A21" sqref="A21"/>
    </sheetView>
  </sheetViews>
  <sheetFormatPr defaultRowHeight="14.4" x14ac:dyDescent="0.3"/>
  <cols>
    <col min="1" max="1" width="32" customWidth="1"/>
    <col min="2" max="2" width="100" customWidth="1"/>
  </cols>
  <sheetData>
    <row r="1" spans="1:2" x14ac:dyDescent="0.3">
      <c r="A1" s="1" t="s">
        <v>58</v>
      </c>
      <c r="B1" s="1" t="s">
        <v>59</v>
      </c>
    </row>
    <row r="2" spans="1:2" x14ac:dyDescent="0.3">
      <c r="A2" s="2" t="s">
        <v>60</v>
      </c>
      <c r="B2" s="2" t="s">
        <v>61</v>
      </c>
    </row>
    <row r="3" spans="1:2" x14ac:dyDescent="0.3">
      <c r="A3" s="2" t="s">
        <v>62</v>
      </c>
      <c r="B3" s="2" t="s">
        <v>63</v>
      </c>
    </row>
    <row r="4" spans="1:2" x14ac:dyDescent="0.3">
      <c r="A4" s="2" t="s">
        <v>64</v>
      </c>
      <c r="B4" s="2" t="s">
        <v>65</v>
      </c>
    </row>
    <row r="5" spans="1:2" x14ac:dyDescent="0.3">
      <c r="A5" s="2" t="s">
        <v>66</v>
      </c>
      <c r="B5" s="2" t="s">
        <v>67</v>
      </c>
    </row>
    <row r="6" spans="1:2" x14ac:dyDescent="0.3">
      <c r="A6" s="2" t="s">
        <v>5</v>
      </c>
      <c r="B6" s="2" t="s">
        <v>68</v>
      </c>
    </row>
    <row r="7" spans="1:2" x14ac:dyDescent="0.3">
      <c r="A7" s="2" t="s">
        <v>13</v>
      </c>
      <c r="B7" s="2" t="s">
        <v>69</v>
      </c>
    </row>
    <row r="8" spans="1:2" x14ac:dyDescent="0.3">
      <c r="A8" s="2" t="s">
        <v>20</v>
      </c>
      <c r="B8" s="2" t="s">
        <v>70</v>
      </c>
    </row>
    <row r="9" spans="1:2" x14ac:dyDescent="0.3">
      <c r="A9" s="2" t="s">
        <v>27</v>
      </c>
      <c r="B9" s="2" t="s">
        <v>71</v>
      </c>
    </row>
    <row r="10" spans="1:2" ht="28.8" x14ac:dyDescent="0.3">
      <c r="A10" s="2" t="s">
        <v>30</v>
      </c>
      <c r="B10" s="2" t="s">
        <v>72</v>
      </c>
    </row>
    <row r="11" spans="1:2" x14ac:dyDescent="0.3">
      <c r="A11" s="2" t="s">
        <v>33</v>
      </c>
      <c r="B11" s="2" t="s">
        <v>73</v>
      </c>
    </row>
    <row r="12" spans="1:2" x14ac:dyDescent="0.3">
      <c r="A12" s="2" t="s">
        <v>74</v>
      </c>
      <c r="B12" s="2" t="s">
        <v>75</v>
      </c>
    </row>
    <row r="13" spans="1:2" x14ac:dyDescent="0.3">
      <c r="A13" s="5" t="s">
        <v>76</v>
      </c>
      <c r="B13" s="5" t="s">
        <v>77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Funnel Definition</vt:lpstr>
      <vt:lpstr>Funnel Calculation</vt:lpstr>
      <vt:lpstr>Student Stage Data</vt:lpstr>
      <vt:lpstr>Time Between Stages</vt:lpstr>
      <vt:lpstr>Cohort Analysis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PRANIT VARAT</cp:lastModifiedBy>
  <dcterms:created xsi:type="dcterms:W3CDTF">2026-09-21T10:50:33Z</dcterms:created>
  <dcterms:modified xsi:type="dcterms:W3CDTF">2026-09-21T12:30:16Z</dcterms:modified>
</cp:coreProperties>
</file>