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art 2\"/>
    </mc:Choice>
  </mc:AlternateContent>
  <xr:revisionPtr revIDLastSave="0" documentId="8_{0BA3A899-8951-40E8-B86E-0AFF9AB07F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 Me" sheetId="1" r:id="rId1"/>
    <sheet name="Reconciliation Summary" sheetId="2" r:id="rId2"/>
    <sheet name="Source Inventory" sheetId="3" r:id="rId3"/>
    <sheet name="Validation Rules" sheetId="4" r:id="rId4"/>
    <sheet name="Raw Courses" sheetId="6" r:id="rId5"/>
    <sheet name="Raw Purchases" sheetId="7" r:id="rId6"/>
    <sheet name="Raw Enrollments" sheetId="8" r:id="rId7"/>
    <sheet name="Raw Payments" sheetId="9" r:id="rId8"/>
    <sheet name="Raw Refunds" sheetId="10" r:id="rId9"/>
    <sheet name="Student Validation" sheetId="11" r:id="rId10"/>
    <sheet name="Enrollment Validation" sheetId="12" r:id="rId11"/>
    <sheet name="Payment Reconciliation" sheetId="13" r:id="rId12"/>
    <sheet name="Financial Reconciliation" sheetId="14" r:id="rId13"/>
    <sheet name="Exception Register" sheetId="15" r:id="rId14"/>
    <sheet name="Corrective Action Plan" sheetId="16" r:id="rId15"/>
  </sheets>
  <definedNames>
    <definedName name="_xlnm._FilterDatabase" localSheetId="14" hidden="1">'Corrective Action Plan'!$A$4:$H$11</definedName>
    <definedName name="_xlnm._FilterDatabase" localSheetId="13" hidden="1">'Exception Register'!$A$4:$P$9</definedName>
    <definedName name="_xlnm._FilterDatabase" localSheetId="0" hidden="1">'Read Me'!$A$4:$B$14</definedName>
    <definedName name="_xlnm._FilterDatabase" localSheetId="1" hidden="1">'Reconciliation Summary'!$A$4:$D$15</definedName>
    <definedName name="_xlnm._FilterDatabase" localSheetId="2" hidden="1">'Source Inventory'!$A$4:$E$13</definedName>
    <definedName name="_xlnm._FilterDatabase" localSheetId="3" hidden="1">'Validation Rules'!$A$4:$F$24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4" i="14" l="1"/>
  <c r="I204" i="14"/>
  <c r="G204" i="14"/>
  <c r="J203" i="14"/>
  <c r="I203" i="14"/>
  <c r="G203" i="14"/>
  <c r="J202" i="14"/>
  <c r="I202" i="14"/>
  <c r="G202" i="14"/>
  <c r="J201" i="14"/>
  <c r="I201" i="14"/>
  <c r="G201" i="14"/>
  <c r="J200" i="14"/>
  <c r="I200" i="14"/>
  <c r="G200" i="14"/>
  <c r="J199" i="14"/>
  <c r="I199" i="14"/>
  <c r="G199" i="14"/>
  <c r="J198" i="14"/>
  <c r="I198" i="14"/>
  <c r="G198" i="14"/>
  <c r="J197" i="14"/>
  <c r="I197" i="14"/>
  <c r="G197" i="14"/>
  <c r="J196" i="14"/>
  <c r="I196" i="14"/>
  <c r="G196" i="14"/>
  <c r="J195" i="14"/>
  <c r="I195" i="14"/>
  <c r="G195" i="14"/>
  <c r="J194" i="14"/>
  <c r="I194" i="14"/>
  <c r="G194" i="14"/>
  <c r="J193" i="14"/>
  <c r="I193" i="14"/>
  <c r="G193" i="14"/>
  <c r="J192" i="14"/>
  <c r="I192" i="14"/>
  <c r="G192" i="14"/>
  <c r="J191" i="14"/>
  <c r="I191" i="14"/>
  <c r="G191" i="14"/>
  <c r="J190" i="14"/>
  <c r="I190" i="14"/>
  <c r="G190" i="14"/>
  <c r="J189" i="14"/>
  <c r="I189" i="14"/>
  <c r="G189" i="14"/>
  <c r="J188" i="14"/>
  <c r="I188" i="14"/>
  <c r="G188" i="14"/>
  <c r="J187" i="14"/>
  <c r="I187" i="14"/>
  <c r="G187" i="14"/>
  <c r="J186" i="14"/>
  <c r="I186" i="14"/>
  <c r="G186" i="14"/>
  <c r="J185" i="14"/>
  <c r="I185" i="14"/>
  <c r="G185" i="14"/>
  <c r="J184" i="14"/>
  <c r="I184" i="14"/>
  <c r="G184" i="14"/>
  <c r="J183" i="14"/>
  <c r="I183" i="14"/>
  <c r="G183" i="14"/>
  <c r="J182" i="14"/>
  <c r="I182" i="14"/>
  <c r="G182" i="14"/>
  <c r="J181" i="14"/>
  <c r="I181" i="14"/>
  <c r="G181" i="14"/>
  <c r="J180" i="14"/>
  <c r="I180" i="14"/>
  <c r="G180" i="14"/>
  <c r="J179" i="14"/>
  <c r="I179" i="14"/>
  <c r="G179" i="14"/>
  <c r="J178" i="14"/>
  <c r="I178" i="14"/>
  <c r="G178" i="14"/>
  <c r="J177" i="14"/>
  <c r="I177" i="14"/>
  <c r="G177" i="14"/>
  <c r="J176" i="14"/>
  <c r="I176" i="14"/>
  <c r="G176" i="14"/>
  <c r="J175" i="14"/>
  <c r="I175" i="14"/>
  <c r="G175" i="14"/>
  <c r="J174" i="14"/>
  <c r="I174" i="14"/>
  <c r="G174" i="14"/>
  <c r="J173" i="14"/>
  <c r="I173" i="14"/>
  <c r="G173" i="14"/>
  <c r="J172" i="14"/>
  <c r="I172" i="14"/>
  <c r="G172" i="14"/>
  <c r="J171" i="14"/>
  <c r="I171" i="14"/>
  <c r="G171" i="14"/>
  <c r="J170" i="14"/>
  <c r="I170" i="14"/>
  <c r="G170" i="14"/>
  <c r="J169" i="14"/>
  <c r="I169" i="14"/>
  <c r="G169" i="14"/>
  <c r="J168" i="14"/>
  <c r="I168" i="14"/>
  <c r="G168" i="14"/>
  <c r="J167" i="14"/>
  <c r="I167" i="14"/>
  <c r="G167" i="14"/>
  <c r="J166" i="14"/>
  <c r="I166" i="14"/>
  <c r="G166" i="14"/>
  <c r="J165" i="14"/>
  <c r="I165" i="14"/>
  <c r="G165" i="14"/>
  <c r="J164" i="14"/>
  <c r="I164" i="14"/>
  <c r="G164" i="14"/>
  <c r="J163" i="14"/>
  <c r="I163" i="14"/>
  <c r="G163" i="14"/>
  <c r="J162" i="14"/>
  <c r="I162" i="14"/>
  <c r="G162" i="14"/>
  <c r="J161" i="14"/>
  <c r="I161" i="14"/>
  <c r="G161" i="14"/>
  <c r="J160" i="14"/>
  <c r="I160" i="14"/>
  <c r="G160" i="14"/>
  <c r="J159" i="14"/>
  <c r="I159" i="14"/>
  <c r="G159" i="14"/>
  <c r="J158" i="14"/>
  <c r="I158" i="14"/>
  <c r="G158" i="14"/>
  <c r="J157" i="14"/>
  <c r="I157" i="14"/>
  <c r="G157" i="14"/>
  <c r="J156" i="14"/>
  <c r="I156" i="14"/>
  <c r="G156" i="14"/>
  <c r="J155" i="14"/>
  <c r="I155" i="14"/>
  <c r="G155" i="14"/>
  <c r="J154" i="14"/>
  <c r="I154" i="14"/>
  <c r="G154" i="14"/>
  <c r="J153" i="14"/>
  <c r="I153" i="14"/>
  <c r="G153" i="14"/>
  <c r="J152" i="14"/>
  <c r="I152" i="14"/>
  <c r="G152" i="14"/>
  <c r="J151" i="14"/>
  <c r="I151" i="14"/>
  <c r="G151" i="14"/>
  <c r="J150" i="14"/>
  <c r="I150" i="14"/>
  <c r="G150" i="14"/>
  <c r="J149" i="14"/>
  <c r="I149" i="14"/>
  <c r="G149" i="14"/>
  <c r="J148" i="14"/>
  <c r="I148" i="14"/>
  <c r="G148" i="14"/>
  <c r="J147" i="14"/>
  <c r="I147" i="14"/>
  <c r="G147" i="14"/>
  <c r="J146" i="14"/>
  <c r="I146" i="14"/>
  <c r="G146" i="14"/>
  <c r="J145" i="14"/>
  <c r="I145" i="14"/>
  <c r="G145" i="14"/>
  <c r="J144" i="14"/>
  <c r="I144" i="14"/>
  <c r="G144" i="14"/>
  <c r="J143" i="14"/>
  <c r="I143" i="14"/>
  <c r="G143" i="14"/>
  <c r="J142" i="14"/>
  <c r="I142" i="14"/>
  <c r="G142" i="14"/>
  <c r="J141" i="14"/>
  <c r="I141" i="14"/>
  <c r="G141" i="14"/>
  <c r="J140" i="14"/>
  <c r="I140" i="14"/>
  <c r="G140" i="14"/>
  <c r="J139" i="14"/>
  <c r="I139" i="14"/>
  <c r="G139" i="14"/>
  <c r="J138" i="14"/>
  <c r="I138" i="14"/>
  <c r="G138" i="14"/>
  <c r="J137" i="14"/>
  <c r="I137" i="14"/>
  <c r="G137" i="14"/>
  <c r="J136" i="14"/>
  <c r="I136" i="14"/>
  <c r="G136" i="14"/>
  <c r="J135" i="14"/>
  <c r="I135" i="14"/>
  <c r="G135" i="14"/>
  <c r="J134" i="14"/>
  <c r="I134" i="14"/>
  <c r="G134" i="14"/>
  <c r="J133" i="14"/>
  <c r="I133" i="14"/>
  <c r="G133" i="14"/>
  <c r="J132" i="14"/>
  <c r="I132" i="14"/>
  <c r="G132" i="14"/>
  <c r="J131" i="14"/>
  <c r="I131" i="14"/>
  <c r="G131" i="14"/>
  <c r="J130" i="14"/>
  <c r="I130" i="14"/>
  <c r="G130" i="14"/>
  <c r="J129" i="14"/>
  <c r="I129" i="14"/>
  <c r="G129" i="14"/>
  <c r="J128" i="14"/>
  <c r="I128" i="14"/>
  <c r="G128" i="14"/>
  <c r="J127" i="14"/>
  <c r="I127" i="14"/>
  <c r="G127" i="14"/>
  <c r="J126" i="14"/>
  <c r="I126" i="14"/>
  <c r="G126" i="14"/>
  <c r="J125" i="14"/>
  <c r="I125" i="14"/>
  <c r="G125" i="14"/>
  <c r="J124" i="14"/>
  <c r="I124" i="14"/>
  <c r="G124" i="14"/>
  <c r="J123" i="14"/>
  <c r="I123" i="14"/>
  <c r="G123" i="14"/>
  <c r="J122" i="14"/>
  <c r="I122" i="14"/>
  <c r="G122" i="14"/>
  <c r="J121" i="14"/>
  <c r="I121" i="14"/>
  <c r="G121" i="14"/>
  <c r="J120" i="14"/>
  <c r="I120" i="14"/>
  <c r="G120" i="14"/>
  <c r="J119" i="14"/>
  <c r="I119" i="14"/>
  <c r="G119" i="14"/>
  <c r="J118" i="14"/>
  <c r="I118" i="14"/>
  <c r="G118" i="14"/>
  <c r="J117" i="14"/>
  <c r="I117" i="14"/>
  <c r="G117" i="14"/>
  <c r="J116" i="14"/>
  <c r="I116" i="14"/>
  <c r="G116" i="14"/>
  <c r="J115" i="14"/>
  <c r="I115" i="14"/>
  <c r="G115" i="14"/>
  <c r="J114" i="14"/>
  <c r="I114" i="14"/>
  <c r="G114" i="14"/>
  <c r="J113" i="14"/>
  <c r="I113" i="14"/>
  <c r="G113" i="14"/>
  <c r="J112" i="14"/>
  <c r="I112" i="14"/>
  <c r="G112" i="14"/>
  <c r="J111" i="14"/>
  <c r="I111" i="14"/>
  <c r="G111" i="14"/>
  <c r="J110" i="14"/>
  <c r="I110" i="14"/>
  <c r="G110" i="14"/>
  <c r="J109" i="14"/>
  <c r="I109" i="14"/>
  <c r="G109" i="14"/>
  <c r="J108" i="14"/>
  <c r="I108" i="14"/>
  <c r="G108" i="14"/>
  <c r="J107" i="14"/>
  <c r="I107" i="14"/>
  <c r="G107" i="14"/>
  <c r="J106" i="14"/>
  <c r="I106" i="14"/>
  <c r="G106" i="14"/>
  <c r="J105" i="14"/>
  <c r="I105" i="14"/>
  <c r="G105" i="14"/>
  <c r="J104" i="14"/>
  <c r="I104" i="14"/>
  <c r="G104" i="14"/>
  <c r="J103" i="14"/>
  <c r="I103" i="14"/>
  <c r="G103" i="14"/>
  <c r="J102" i="14"/>
  <c r="I102" i="14"/>
  <c r="G102" i="14"/>
  <c r="J101" i="14"/>
  <c r="I101" i="14"/>
  <c r="G101" i="14"/>
  <c r="J100" i="14"/>
  <c r="I100" i="14"/>
  <c r="G100" i="14"/>
  <c r="J99" i="14"/>
  <c r="I99" i="14"/>
  <c r="G99" i="14"/>
  <c r="J98" i="14"/>
  <c r="I98" i="14"/>
  <c r="G98" i="14"/>
  <c r="J97" i="14"/>
  <c r="I97" i="14"/>
  <c r="G97" i="14"/>
  <c r="J96" i="14"/>
  <c r="I96" i="14"/>
  <c r="G96" i="14"/>
  <c r="J95" i="14"/>
  <c r="I95" i="14"/>
  <c r="G95" i="14"/>
  <c r="J94" i="14"/>
  <c r="I94" i="14"/>
  <c r="G94" i="14"/>
  <c r="J93" i="14"/>
  <c r="I93" i="14"/>
  <c r="G93" i="14"/>
  <c r="J92" i="14"/>
  <c r="I92" i="14"/>
  <c r="G92" i="14"/>
  <c r="J91" i="14"/>
  <c r="I91" i="14"/>
  <c r="G91" i="14"/>
  <c r="J90" i="14"/>
  <c r="I90" i="14"/>
  <c r="G90" i="14"/>
  <c r="J89" i="14"/>
  <c r="I89" i="14"/>
  <c r="G89" i="14"/>
  <c r="J88" i="14"/>
  <c r="I88" i="14"/>
  <c r="G88" i="14"/>
  <c r="J87" i="14"/>
  <c r="I87" i="14"/>
  <c r="G87" i="14"/>
  <c r="J86" i="14"/>
  <c r="I86" i="14"/>
  <c r="G86" i="14"/>
  <c r="J85" i="14"/>
  <c r="I85" i="14"/>
  <c r="G85" i="14"/>
  <c r="J84" i="14"/>
  <c r="I84" i="14"/>
  <c r="G84" i="14"/>
  <c r="J83" i="14"/>
  <c r="I83" i="14"/>
  <c r="G83" i="14"/>
  <c r="J82" i="14"/>
  <c r="I82" i="14"/>
  <c r="G82" i="14"/>
  <c r="J81" i="14"/>
  <c r="I81" i="14"/>
  <c r="G81" i="14"/>
  <c r="J80" i="14"/>
  <c r="I80" i="14"/>
  <c r="G80" i="14"/>
  <c r="J79" i="14"/>
  <c r="I79" i="14"/>
  <c r="G79" i="14"/>
  <c r="J78" i="14"/>
  <c r="I78" i="14"/>
  <c r="G78" i="14"/>
  <c r="J77" i="14"/>
  <c r="I77" i="14"/>
  <c r="G77" i="14"/>
  <c r="J76" i="14"/>
  <c r="I76" i="14"/>
  <c r="G76" i="14"/>
  <c r="J75" i="14"/>
  <c r="I75" i="14"/>
  <c r="G75" i="14"/>
  <c r="J74" i="14"/>
  <c r="I74" i="14"/>
  <c r="G74" i="14"/>
  <c r="J73" i="14"/>
  <c r="I73" i="14"/>
  <c r="G73" i="14"/>
  <c r="J72" i="14"/>
  <c r="I72" i="14"/>
  <c r="G72" i="14"/>
  <c r="J71" i="14"/>
  <c r="I71" i="14"/>
  <c r="G71" i="14"/>
  <c r="J70" i="14"/>
  <c r="I70" i="14"/>
  <c r="G70" i="14"/>
  <c r="J69" i="14"/>
  <c r="I69" i="14"/>
  <c r="G69" i="14"/>
  <c r="J68" i="14"/>
  <c r="I68" i="14"/>
  <c r="G68" i="14"/>
  <c r="J67" i="14"/>
  <c r="I67" i="14"/>
  <c r="G67" i="14"/>
  <c r="J66" i="14"/>
  <c r="I66" i="14"/>
  <c r="G66" i="14"/>
  <c r="J65" i="14"/>
  <c r="I65" i="14"/>
  <c r="G65" i="14"/>
  <c r="J64" i="14"/>
  <c r="I64" i="14"/>
  <c r="G64" i="14"/>
  <c r="J63" i="14"/>
  <c r="I63" i="14"/>
  <c r="G63" i="14"/>
  <c r="J62" i="14"/>
  <c r="I62" i="14"/>
  <c r="G62" i="14"/>
  <c r="J61" i="14"/>
  <c r="I61" i="14"/>
  <c r="G61" i="14"/>
  <c r="J60" i="14"/>
  <c r="I60" i="14"/>
  <c r="G60" i="14"/>
  <c r="J59" i="14"/>
  <c r="I59" i="14"/>
  <c r="G59" i="14"/>
  <c r="J58" i="14"/>
  <c r="I58" i="14"/>
  <c r="G58" i="14"/>
  <c r="J57" i="14"/>
  <c r="I57" i="14"/>
  <c r="G57" i="14"/>
  <c r="J56" i="14"/>
  <c r="I56" i="14"/>
  <c r="G56" i="14"/>
  <c r="J55" i="14"/>
  <c r="I55" i="14"/>
  <c r="G55" i="14"/>
  <c r="J54" i="14"/>
  <c r="I54" i="14"/>
  <c r="G54" i="14"/>
  <c r="J53" i="14"/>
  <c r="I53" i="14"/>
  <c r="G53" i="14"/>
  <c r="J52" i="14"/>
  <c r="I52" i="14"/>
  <c r="G52" i="14"/>
  <c r="J51" i="14"/>
  <c r="I51" i="14"/>
  <c r="G51" i="14"/>
  <c r="J50" i="14"/>
  <c r="I50" i="14"/>
  <c r="G50" i="14"/>
  <c r="J49" i="14"/>
  <c r="I49" i="14"/>
  <c r="G49" i="14"/>
  <c r="J48" i="14"/>
  <c r="I48" i="14"/>
  <c r="G48" i="14"/>
  <c r="J47" i="14"/>
  <c r="I47" i="14"/>
  <c r="G47" i="14"/>
  <c r="J46" i="14"/>
  <c r="I46" i="14"/>
  <c r="G46" i="14"/>
  <c r="J45" i="14"/>
  <c r="I45" i="14"/>
  <c r="G45" i="14"/>
  <c r="J44" i="14"/>
  <c r="I44" i="14"/>
  <c r="G44" i="14"/>
  <c r="J43" i="14"/>
  <c r="I43" i="14"/>
  <c r="G43" i="14"/>
  <c r="J42" i="14"/>
  <c r="I42" i="14"/>
  <c r="G42" i="14"/>
  <c r="J41" i="14"/>
  <c r="I41" i="14"/>
  <c r="G41" i="14"/>
  <c r="J40" i="14"/>
  <c r="I40" i="14"/>
  <c r="G40" i="14"/>
  <c r="J39" i="14"/>
  <c r="I39" i="14"/>
  <c r="G39" i="14"/>
  <c r="J38" i="14"/>
  <c r="I38" i="14"/>
  <c r="G38" i="14"/>
  <c r="J37" i="14"/>
  <c r="I37" i="14"/>
  <c r="G37" i="14"/>
  <c r="J36" i="14"/>
  <c r="I36" i="14"/>
  <c r="G36" i="14"/>
  <c r="J35" i="14"/>
  <c r="I35" i="14"/>
  <c r="G35" i="14"/>
  <c r="J34" i="14"/>
  <c r="I34" i="14"/>
  <c r="G34" i="14"/>
  <c r="J33" i="14"/>
  <c r="I33" i="14"/>
  <c r="G33" i="14"/>
  <c r="J32" i="14"/>
  <c r="I32" i="14"/>
  <c r="G32" i="14"/>
  <c r="J31" i="14"/>
  <c r="I31" i="14"/>
  <c r="G31" i="14"/>
  <c r="J30" i="14"/>
  <c r="I30" i="14"/>
  <c r="G30" i="14"/>
  <c r="J29" i="14"/>
  <c r="I29" i="14"/>
  <c r="G29" i="14"/>
  <c r="J28" i="14"/>
  <c r="I28" i="14"/>
  <c r="G28" i="14"/>
  <c r="J27" i="14"/>
  <c r="I27" i="14"/>
  <c r="G27" i="14"/>
  <c r="J26" i="14"/>
  <c r="I26" i="14"/>
  <c r="G26" i="14"/>
  <c r="J25" i="14"/>
  <c r="I25" i="14"/>
  <c r="G25" i="14"/>
  <c r="J24" i="14"/>
  <c r="I24" i="14"/>
  <c r="G24" i="14"/>
  <c r="J23" i="14"/>
  <c r="I23" i="14"/>
  <c r="G23" i="14"/>
  <c r="J22" i="14"/>
  <c r="I22" i="14"/>
  <c r="G22" i="14"/>
  <c r="J21" i="14"/>
  <c r="I21" i="14"/>
  <c r="G21" i="14"/>
  <c r="J20" i="14"/>
  <c r="I20" i="14"/>
  <c r="G20" i="14"/>
  <c r="J19" i="14"/>
  <c r="I19" i="14"/>
  <c r="G19" i="14"/>
  <c r="J18" i="14"/>
  <c r="I18" i="14"/>
  <c r="G18" i="14"/>
  <c r="J17" i="14"/>
  <c r="I17" i="14"/>
  <c r="G17" i="14"/>
  <c r="J16" i="14"/>
  <c r="I16" i="14"/>
  <c r="G16" i="14"/>
  <c r="J15" i="14"/>
  <c r="I15" i="14"/>
  <c r="G15" i="14"/>
  <c r="J14" i="14"/>
  <c r="I14" i="14"/>
  <c r="G14" i="14"/>
  <c r="J13" i="14"/>
  <c r="I13" i="14"/>
  <c r="G13" i="14"/>
  <c r="J12" i="14"/>
  <c r="I12" i="14"/>
  <c r="G12" i="14"/>
  <c r="J11" i="14"/>
  <c r="I11" i="14"/>
  <c r="G11" i="14"/>
  <c r="J10" i="14"/>
  <c r="I10" i="14"/>
  <c r="G10" i="14"/>
  <c r="J9" i="14"/>
  <c r="I9" i="14"/>
  <c r="G9" i="14"/>
  <c r="J8" i="14"/>
  <c r="I8" i="14"/>
  <c r="G8" i="14"/>
  <c r="J7" i="14"/>
  <c r="I7" i="14"/>
  <c r="G7" i="14"/>
  <c r="J6" i="14"/>
  <c r="I6" i="14"/>
  <c r="G6" i="14"/>
  <c r="J5" i="14"/>
  <c r="I5" i="14"/>
  <c r="G5" i="14"/>
  <c r="L504" i="13"/>
  <c r="K504" i="13"/>
  <c r="J504" i="13"/>
  <c r="I504" i="13"/>
  <c r="H504" i="13"/>
  <c r="G504" i="13"/>
  <c r="F504" i="13"/>
  <c r="E504" i="13"/>
  <c r="D504" i="13"/>
  <c r="C504" i="13"/>
  <c r="B504" i="13"/>
  <c r="A504" i="13"/>
  <c r="L503" i="13"/>
  <c r="K503" i="13"/>
  <c r="J503" i="13"/>
  <c r="I503" i="13"/>
  <c r="H503" i="13"/>
  <c r="G503" i="13"/>
  <c r="F503" i="13"/>
  <c r="E503" i="13"/>
  <c r="D503" i="13"/>
  <c r="C503" i="13"/>
  <c r="B503" i="13"/>
  <c r="A503" i="13"/>
  <c r="L502" i="13"/>
  <c r="K502" i="13"/>
  <c r="J502" i="13"/>
  <c r="I502" i="13"/>
  <c r="H502" i="13"/>
  <c r="G502" i="13"/>
  <c r="F502" i="13"/>
  <c r="E502" i="13"/>
  <c r="D502" i="13"/>
  <c r="C502" i="13"/>
  <c r="B502" i="13"/>
  <c r="A502" i="13"/>
  <c r="L501" i="13"/>
  <c r="K501" i="13"/>
  <c r="J501" i="13"/>
  <c r="I501" i="13"/>
  <c r="H501" i="13"/>
  <c r="G501" i="13"/>
  <c r="F501" i="13"/>
  <c r="E501" i="13"/>
  <c r="D501" i="13"/>
  <c r="C501" i="13"/>
  <c r="B501" i="13"/>
  <c r="A501" i="13"/>
  <c r="L500" i="13"/>
  <c r="K500" i="13"/>
  <c r="J500" i="13"/>
  <c r="I500" i="13"/>
  <c r="H500" i="13"/>
  <c r="G500" i="13"/>
  <c r="F500" i="13"/>
  <c r="E500" i="13"/>
  <c r="D500" i="13"/>
  <c r="C500" i="13"/>
  <c r="B500" i="13"/>
  <c r="A500" i="13"/>
  <c r="L499" i="13"/>
  <c r="K499" i="13"/>
  <c r="J499" i="13"/>
  <c r="I499" i="13"/>
  <c r="H499" i="13"/>
  <c r="G499" i="13"/>
  <c r="F499" i="13"/>
  <c r="E499" i="13"/>
  <c r="D499" i="13"/>
  <c r="C499" i="13"/>
  <c r="B499" i="13"/>
  <c r="A499" i="13"/>
  <c r="L498" i="13"/>
  <c r="K498" i="13"/>
  <c r="J498" i="13"/>
  <c r="I498" i="13"/>
  <c r="H498" i="13"/>
  <c r="G498" i="13"/>
  <c r="F498" i="13"/>
  <c r="E498" i="13"/>
  <c r="D498" i="13"/>
  <c r="C498" i="13"/>
  <c r="B498" i="13"/>
  <c r="A498" i="13"/>
  <c r="L497" i="13"/>
  <c r="K497" i="13"/>
  <c r="J497" i="13"/>
  <c r="I497" i="13"/>
  <c r="H497" i="13"/>
  <c r="G497" i="13"/>
  <c r="F497" i="13"/>
  <c r="E497" i="13"/>
  <c r="D497" i="13"/>
  <c r="C497" i="13"/>
  <c r="B497" i="13"/>
  <c r="A497" i="13"/>
  <c r="L496" i="13"/>
  <c r="K496" i="13"/>
  <c r="J496" i="13"/>
  <c r="I496" i="13"/>
  <c r="H496" i="13"/>
  <c r="G496" i="13"/>
  <c r="F496" i="13"/>
  <c r="E496" i="13"/>
  <c r="D496" i="13"/>
  <c r="C496" i="13"/>
  <c r="B496" i="13"/>
  <c r="A496" i="13"/>
  <c r="L495" i="13"/>
  <c r="K495" i="13"/>
  <c r="J495" i="13"/>
  <c r="I495" i="13"/>
  <c r="H495" i="13"/>
  <c r="G495" i="13"/>
  <c r="F495" i="13"/>
  <c r="E495" i="13"/>
  <c r="D495" i="13"/>
  <c r="C495" i="13"/>
  <c r="B495" i="13"/>
  <c r="A495" i="13"/>
  <c r="L494" i="13"/>
  <c r="K494" i="13"/>
  <c r="J494" i="13"/>
  <c r="I494" i="13"/>
  <c r="H494" i="13"/>
  <c r="G494" i="13"/>
  <c r="F494" i="13"/>
  <c r="E494" i="13"/>
  <c r="D494" i="13"/>
  <c r="C494" i="13"/>
  <c r="B494" i="13"/>
  <c r="A494" i="13"/>
  <c r="L493" i="13"/>
  <c r="K493" i="13"/>
  <c r="J493" i="13"/>
  <c r="I493" i="13"/>
  <c r="H493" i="13"/>
  <c r="G493" i="13"/>
  <c r="F493" i="13"/>
  <c r="E493" i="13"/>
  <c r="D493" i="13"/>
  <c r="C493" i="13"/>
  <c r="B493" i="13"/>
  <c r="A493" i="13"/>
  <c r="L492" i="13"/>
  <c r="K492" i="13"/>
  <c r="J492" i="13"/>
  <c r="I492" i="13"/>
  <c r="H492" i="13"/>
  <c r="G492" i="13"/>
  <c r="F492" i="13"/>
  <c r="E492" i="13"/>
  <c r="D492" i="13"/>
  <c r="C492" i="13"/>
  <c r="B492" i="13"/>
  <c r="A492" i="13"/>
  <c r="L491" i="13"/>
  <c r="K491" i="13"/>
  <c r="J491" i="13"/>
  <c r="I491" i="13"/>
  <c r="H491" i="13"/>
  <c r="G491" i="13"/>
  <c r="F491" i="13"/>
  <c r="E491" i="13"/>
  <c r="D491" i="13"/>
  <c r="C491" i="13"/>
  <c r="B491" i="13"/>
  <c r="A491" i="13"/>
  <c r="L490" i="13"/>
  <c r="K490" i="13"/>
  <c r="J490" i="13"/>
  <c r="I490" i="13"/>
  <c r="H490" i="13"/>
  <c r="G490" i="13"/>
  <c r="F490" i="13"/>
  <c r="E490" i="13"/>
  <c r="D490" i="13"/>
  <c r="C490" i="13"/>
  <c r="B490" i="13"/>
  <c r="A490" i="13"/>
  <c r="L489" i="13"/>
  <c r="K489" i="13"/>
  <c r="J489" i="13"/>
  <c r="I489" i="13"/>
  <c r="H489" i="13"/>
  <c r="G489" i="13"/>
  <c r="F489" i="13"/>
  <c r="E489" i="13"/>
  <c r="D489" i="13"/>
  <c r="C489" i="13"/>
  <c r="B489" i="13"/>
  <c r="A489" i="13"/>
  <c r="L488" i="13"/>
  <c r="K488" i="13"/>
  <c r="J488" i="13"/>
  <c r="I488" i="13"/>
  <c r="H488" i="13"/>
  <c r="G488" i="13"/>
  <c r="F488" i="13"/>
  <c r="E488" i="13"/>
  <c r="D488" i="13"/>
  <c r="C488" i="13"/>
  <c r="B488" i="13"/>
  <c r="A488" i="13"/>
  <c r="L487" i="13"/>
  <c r="K487" i="13"/>
  <c r="J487" i="13"/>
  <c r="I487" i="13"/>
  <c r="H487" i="13"/>
  <c r="G487" i="13"/>
  <c r="F487" i="13"/>
  <c r="E487" i="13"/>
  <c r="D487" i="13"/>
  <c r="C487" i="13"/>
  <c r="B487" i="13"/>
  <c r="A487" i="13"/>
  <c r="L486" i="13"/>
  <c r="K486" i="13"/>
  <c r="J486" i="13"/>
  <c r="I486" i="13"/>
  <c r="H486" i="13"/>
  <c r="G486" i="13"/>
  <c r="F486" i="13"/>
  <c r="E486" i="13"/>
  <c r="D486" i="13"/>
  <c r="C486" i="13"/>
  <c r="B486" i="13"/>
  <c r="A486" i="13"/>
  <c r="L485" i="13"/>
  <c r="K485" i="13"/>
  <c r="J485" i="13"/>
  <c r="I485" i="13"/>
  <c r="H485" i="13"/>
  <c r="G485" i="13"/>
  <c r="F485" i="13"/>
  <c r="E485" i="13"/>
  <c r="D485" i="13"/>
  <c r="C485" i="13"/>
  <c r="B485" i="13"/>
  <c r="A485" i="13"/>
  <c r="L484" i="13"/>
  <c r="K484" i="13"/>
  <c r="J484" i="13"/>
  <c r="I484" i="13"/>
  <c r="H484" i="13"/>
  <c r="G484" i="13"/>
  <c r="F484" i="13"/>
  <c r="E484" i="13"/>
  <c r="D484" i="13"/>
  <c r="C484" i="13"/>
  <c r="B484" i="13"/>
  <c r="A484" i="13"/>
  <c r="L483" i="13"/>
  <c r="K483" i="13"/>
  <c r="J483" i="13"/>
  <c r="I483" i="13"/>
  <c r="H483" i="13"/>
  <c r="G483" i="13"/>
  <c r="F483" i="13"/>
  <c r="E483" i="13"/>
  <c r="D483" i="13"/>
  <c r="C483" i="13"/>
  <c r="B483" i="13"/>
  <c r="A483" i="13"/>
  <c r="L482" i="13"/>
  <c r="K482" i="13"/>
  <c r="J482" i="13"/>
  <c r="I482" i="13"/>
  <c r="H482" i="13"/>
  <c r="G482" i="13"/>
  <c r="F482" i="13"/>
  <c r="E482" i="13"/>
  <c r="D482" i="13"/>
  <c r="C482" i="13"/>
  <c r="B482" i="13"/>
  <c r="A482" i="13"/>
  <c r="L481" i="13"/>
  <c r="K481" i="13"/>
  <c r="J481" i="13"/>
  <c r="I481" i="13"/>
  <c r="H481" i="13"/>
  <c r="G481" i="13"/>
  <c r="F481" i="13"/>
  <c r="E481" i="13"/>
  <c r="D481" i="13"/>
  <c r="C481" i="13"/>
  <c r="B481" i="13"/>
  <c r="A481" i="13"/>
  <c r="L480" i="13"/>
  <c r="K480" i="13"/>
  <c r="J480" i="13"/>
  <c r="I480" i="13"/>
  <c r="H480" i="13"/>
  <c r="G480" i="13"/>
  <c r="F480" i="13"/>
  <c r="E480" i="13"/>
  <c r="D480" i="13"/>
  <c r="C480" i="13"/>
  <c r="B480" i="13"/>
  <c r="A480" i="13"/>
  <c r="L479" i="13"/>
  <c r="K479" i="13"/>
  <c r="J479" i="13"/>
  <c r="I479" i="13"/>
  <c r="H479" i="13"/>
  <c r="G479" i="13"/>
  <c r="F479" i="13"/>
  <c r="E479" i="13"/>
  <c r="D479" i="13"/>
  <c r="C479" i="13"/>
  <c r="B479" i="13"/>
  <c r="A479" i="13"/>
  <c r="L478" i="13"/>
  <c r="K478" i="13"/>
  <c r="J478" i="13"/>
  <c r="I478" i="13"/>
  <c r="H478" i="13"/>
  <c r="G478" i="13"/>
  <c r="F478" i="13"/>
  <c r="E478" i="13"/>
  <c r="D478" i="13"/>
  <c r="C478" i="13"/>
  <c r="B478" i="13"/>
  <c r="A478" i="13"/>
  <c r="L477" i="13"/>
  <c r="K477" i="13"/>
  <c r="J477" i="13"/>
  <c r="I477" i="13"/>
  <c r="H477" i="13"/>
  <c r="G477" i="13"/>
  <c r="F477" i="13"/>
  <c r="E477" i="13"/>
  <c r="D477" i="13"/>
  <c r="C477" i="13"/>
  <c r="B477" i="13"/>
  <c r="A477" i="13"/>
  <c r="L476" i="13"/>
  <c r="K476" i="13"/>
  <c r="J476" i="13"/>
  <c r="I476" i="13"/>
  <c r="H476" i="13"/>
  <c r="G476" i="13"/>
  <c r="F476" i="13"/>
  <c r="E476" i="13"/>
  <c r="D476" i="13"/>
  <c r="C476" i="13"/>
  <c r="B476" i="13"/>
  <c r="A476" i="13"/>
  <c r="L475" i="13"/>
  <c r="K475" i="13"/>
  <c r="J475" i="13"/>
  <c r="I475" i="13"/>
  <c r="H475" i="13"/>
  <c r="G475" i="13"/>
  <c r="F475" i="13"/>
  <c r="E475" i="13"/>
  <c r="D475" i="13"/>
  <c r="C475" i="13"/>
  <c r="B475" i="13"/>
  <c r="A475" i="13"/>
  <c r="L474" i="13"/>
  <c r="K474" i="13"/>
  <c r="J474" i="13"/>
  <c r="I474" i="13"/>
  <c r="H474" i="13"/>
  <c r="G474" i="13"/>
  <c r="F474" i="13"/>
  <c r="E474" i="13"/>
  <c r="D474" i="13"/>
  <c r="C474" i="13"/>
  <c r="B474" i="13"/>
  <c r="A474" i="13"/>
  <c r="L473" i="13"/>
  <c r="K473" i="13"/>
  <c r="J473" i="13"/>
  <c r="I473" i="13"/>
  <c r="H473" i="13"/>
  <c r="G473" i="13"/>
  <c r="F473" i="13"/>
  <c r="E473" i="13"/>
  <c r="D473" i="13"/>
  <c r="C473" i="13"/>
  <c r="B473" i="13"/>
  <c r="A473" i="13"/>
  <c r="L472" i="13"/>
  <c r="K472" i="13"/>
  <c r="J472" i="13"/>
  <c r="I472" i="13"/>
  <c r="H472" i="13"/>
  <c r="G472" i="13"/>
  <c r="F472" i="13"/>
  <c r="E472" i="13"/>
  <c r="D472" i="13"/>
  <c r="C472" i="13"/>
  <c r="B472" i="13"/>
  <c r="A472" i="13"/>
  <c r="L471" i="13"/>
  <c r="K471" i="13"/>
  <c r="J471" i="13"/>
  <c r="I471" i="13"/>
  <c r="H471" i="13"/>
  <c r="G471" i="13"/>
  <c r="F471" i="13"/>
  <c r="E471" i="13"/>
  <c r="D471" i="13"/>
  <c r="C471" i="13"/>
  <c r="B471" i="13"/>
  <c r="A471" i="13"/>
  <c r="L470" i="13"/>
  <c r="K470" i="13"/>
  <c r="J470" i="13"/>
  <c r="I470" i="13"/>
  <c r="H470" i="13"/>
  <c r="G470" i="13"/>
  <c r="F470" i="13"/>
  <c r="E470" i="13"/>
  <c r="D470" i="13"/>
  <c r="C470" i="13"/>
  <c r="B470" i="13"/>
  <c r="A470" i="13"/>
  <c r="L469" i="13"/>
  <c r="K469" i="13"/>
  <c r="J469" i="13"/>
  <c r="I469" i="13"/>
  <c r="H469" i="13"/>
  <c r="G469" i="13"/>
  <c r="F469" i="13"/>
  <c r="E469" i="13"/>
  <c r="D469" i="13"/>
  <c r="C469" i="13"/>
  <c r="B469" i="13"/>
  <c r="A469" i="13"/>
  <c r="L468" i="13"/>
  <c r="K468" i="13"/>
  <c r="J468" i="13"/>
  <c r="I468" i="13"/>
  <c r="H468" i="13"/>
  <c r="G468" i="13"/>
  <c r="F468" i="13"/>
  <c r="E468" i="13"/>
  <c r="D468" i="13"/>
  <c r="C468" i="13"/>
  <c r="B468" i="13"/>
  <c r="A468" i="13"/>
  <c r="L467" i="13"/>
  <c r="K467" i="13"/>
  <c r="J467" i="13"/>
  <c r="I467" i="13"/>
  <c r="H467" i="13"/>
  <c r="G467" i="13"/>
  <c r="F467" i="13"/>
  <c r="E467" i="13"/>
  <c r="D467" i="13"/>
  <c r="C467" i="13"/>
  <c r="B467" i="13"/>
  <c r="A467" i="13"/>
  <c r="L466" i="13"/>
  <c r="K466" i="13"/>
  <c r="J466" i="13"/>
  <c r="I466" i="13"/>
  <c r="H466" i="13"/>
  <c r="G466" i="13"/>
  <c r="F466" i="13"/>
  <c r="E466" i="13"/>
  <c r="D466" i="13"/>
  <c r="C466" i="13"/>
  <c r="B466" i="13"/>
  <c r="A466" i="13"/>
  <c r="L465" i="13"/>
  <c r="K465" i="13"/>
  <c r="J465" i="13"/>
  <c r="I465" i="13"/>
  <c r="H465" i="13"/>
  <c r="G465" i="13"/>
  <c r="F465" i="13"/>
  <c r="E465" i="13"/>
  <c r="D465" i="13"/>
  <c r="C465" i="13"/>
  <c r="B465" i="13"/>
  <c r="A465" i="13"/>
  <c r="L464" i="13"/>
  <c r="K464" i="13"/>
  <c r="J464" i="13"/>
  <c r="I464" i="13"/>
  <c r="H464" i="13"/>
  <c r="G464" i="13"/>
  <c r="F464" i="13"/>
  <c r="E464" i="13"/>
  <c r="D464" i="13"/>
  <c r="C464" i="13"/>
  <c r="B464" i="13"/>
  <c r="A464" i="13"/>
  <c r="L463" i="13"/>
  <c r="K463" i="13"/>
  <c r="J463" i="13"/>
  <c r="I463" i="13"/>
  <c r="H463" i="13"/>
  <c r="G463" i="13"/>
  <c r="F463" i="13"/>
  <c r="E463" i="13"/>
  <c r="D463" i="13"/>
  <c r="C463" i="13"/>
  <c r="B463" i="13"/>
  <c r="A463" i="13"/>
  <c r="L462" i="13"/>
  <c r="K462" i="13"/>
  <c r="J462" i="13"/>
  <c r="I462" i="13"/>
  <c r="H462" i="13"/>
  <c r="G462" i="13"/>
  <c r="F462" i="13"/>
  <c r="E462" i="13"/>
  <c r="D462" i="13"/>
  <c r="C462" i="13"/>
  <c r="B462" i="13"/>
  <c r="A462" i="13"/>
  <c r="L461" i="13"/>
  <c r="K461" i="13"/>
  <c r="J461" i="13"/>
  <c r="I461" i="13"/>
  <c r="H461" i="13"/>
  <c r="G461" i="13"/>
  <c r="F461" i="13"/>
  <c r="E461" i="13"/>
  <c r="D461" i="13"/>
  <c r="C461" i="13"/>
  <c r="B461" i="13"/>
  <c r="A461" i="13"/>
  <c r="L460" i="13"/>
  <c r="K460" i="13"/>
  <c r="J460" i="13"/>
  <c r="I460" i="13"/>
  <c r="H460" i="13"/>
  <c r="G460" i="13"/>
  <c r="F460" i="13"/>
  <c r="E460" i="13"/>
  <c r="D460" i="13"/>
  <c r="C460" i="13"/>
  <c r="B460" i="13"/>
  <c r="A460" i="13"/>
  <c r="L459" i="13"/>
  <c r="K459" i="13"/>
  <c r="J459" i="13"/>
  <c r="I459" i="13"/>
  <c r="H459" i="13"/>
  <c r="G459" i="13"/>
  <c r="F459" i="13"/>
  <c r="E459" i="13"/>
  <c r="D459" i="13"/>
  <c r="C459" i="13"/>
  <c r="B459" i="13"/>
  <c r="A459" i="13"/>
  <c r="L458" i="13"/>
  <c r="K458" i="13"/>
  <c r="J458" i="13"/>
  <c r="I458" i="13"/>
  <c r="H458" i="13"/>
  <c r="G458" i="13"/>
  <c r="F458" i="13"/>
  <c r="E458" i="13"/>
  <c r="D458" i="13"/>
  <c r="C458" i="13"/>
  <c r="B458" i="13"/>
  <c r="A458" i="13"/>
  <c r="L457" i="13"/>
  <c r="K457" i="13"/>
  <c r="J457" i="13"/>
  <c r="I457" i="13"/>
  <c r="H457" i="13"/>
  <c r="G457" i="13"/>
  <c r="F457" i="13"/>
  <c r="E457" i="13"/>
  <c r="D457" i="13"/>
  <c r="C457" i="13"/>
  <c r="B457" i="13"/>
  <c r="A457" i="13"/>
  <c r="L456" i="13"/>
  <c r="K456" i="13"/>
  <c r="J456" i="13"/>
  <c r="I456" i="13"/>
  <c r="H456" i="13"/>
  <c r="G456" i="13"/>
  <c r="F456" i="13"/>
  <c r="E456" i="13"/>
  <c r="D456" i="13"/>
  <c r="C456" i="13"/>
  <c r="B456" i="13"/>
  <c r="A456" i="13"/>
  <c r="L455" i="13"/>
  <c r="K455" i="13"/>
  <c r="J455" i="13"/>
  <c r="I455" i="13"/>
  <c r="H455" i="13"/>
  <c r="G455" i="13"/>
  <c r="F455" i="13"/>
  <c r="E455" i="13"/>
  <c r="D455" i="13"/>
  <c r="C455" i="13"/>
  <c r="B455" i="13"/>
  <c r="A455" i="13"/>
  <c r="L454" i="13"/>
  <c r="K454" i="13"/>
  <c r="J454" i="13"/>
  <c r="I454" i="13"/>
  <c r="H454" i="13"/>
  <c r="G454" i="13"/>
  <c r="F454" i="13"/>
  <c r="E454" i="13"/>
  <c r="D454" i="13"/>
  <c r="C454" i="13"/>
  <c r="B454" i="13"/>
  <c r="A454" i="13"/>
  <c r="L453" i="13"/>
  <c r="K453" i="13"/>
  <c r="J453" i="13"/>
  <c r="I453" i="13"/>
  <c r="H453" i="13"/>
  <c r="G453" i="13"/>
  <c r="F453" i="13"/>
  <c r="E453" i="13"/>
  <c r="D453" i="13"/>
  <c r="C453" i="13"/>
  <c r="B453" i="13"/>
  <c r="A453" i="13"/>
  <c r="L452" i="13"/>
  <c r="K452" i="13"/>
  <c r="J452" i="13"/>
  <c r="I452" i="13"/>
  <c r="H452" i="13"/>
  <c r="G452" i="13"/>
  <c r="F452" i="13"/>
  <c r="E452" i="13"/>
  <c r="D452" i="13"/>
  <c r="C452" i="13"/>
  <c r="B452" i="13"/>
  <c r="A452" i="13"/>
  <c r="L451" i="13"/>
  <c r="K451" i="13"/>
  <c r="J451" i="13"/>
  <c r="I451" i="13"/>
  <c r="H451" i="13"/>
  <c r="G451" i="13"/>
  <c r="F451" i="13"/>
  <c r="E451" i="13"/>
  <c r="D451" i="13"/>
  <c r="C451" i="13"/>
  <c r="B451" i="13"/>
  <c r="A451" i="13"/>
  <c r="L450" i="13"/>
  <c r="K450" i="13"/>
  <c r="J450" i="13"/>
  <c r="I450" i="13"/>
  <c r="H450" i="13"/>
  <c r="G450" i="13"/>
  <c r="F450" i="13"/>
  <c r="E450" i="13"/>
  <c r="D450" i="13"/>
  <c r="C450" i="13"/>
  <c r="B450" i="13"/>
  <c r="A450" i="13"/>
  <c r="L449" i="13"/>
  <c r="K449" i="13"/>
  <c r="J449" i="13"/>
  <c r="I449" i="13"/>
  <c r="H449" i="13"/>
  <c r="G449" i="13"/>
  <c r="F449" i="13"/>
  <c r="E449" i="13"/>
  <c r="D449" i="13"/>
  <c r="C449" i="13"/>
  <c r="B449" i="13"/>
  <c r="A449" i="13"/>
  <c r="L448" i="13"/>
  <c r="J448" i="13"/>
  <c r="I448" i="13"/>
  <c r="H448" i="13"/>
  <c r="G448" i="13"/>
  <c r="F448" i="13"/>
  <c r="K448" i="13" s="1"/>
  <c r="E448" i="13"/>
  <c r="D448" i="13"/>
  <c r="C448" i="13"/>
  <c r="B448" i="13"/>
  <c r="A448" i="13"/>
  <c r="L447" i="13"/>
  <c r="K447" i="13"/>
  <c r="J447" i="13"/>
  <c r="I447" i="13"/>
  <c r="H447" i="13"/>
  <c r="G447" i="13"/>
  <c r="F447" i="13"/>
  <c r="E447" i="13"/>
  <c r="D447" i="13"/>
  <c r="C447" i="13"/>
  <c r="B447" i="13"/>
  <c r="A447" i="13"/>
  <c r="L446" i="13"/>
  <c r="J446" i="13"/>
  <c r="I446" i="13"/>
  <c r="H446" i="13"/>
  <c r="G446" i="13"/>
  <c r="F446" i="13"/>
  <c r="K446" i="13" s="1"/>
  <c r="E446" i="13"/>
  <c r="D446" i="13"/>
  <c r="C446" i="13"/>
  <c r="B446" i="13"/>
  <c r="A446" i="13"/>
  <c r="L445" i="13"/>
  <c r="K445" i="13"/>
  <c r="J445" i="13"/>
  <c r="I445" i="13"/>
  <c r="H445" i="13"/>
  <c r="G445" i="13"/>
  <c r="F445" i="13"/>
  <c r="E445" i="13"/>
  <c r="D445" i="13"/>
  <c r="C445" i="13"/>
  <c r="B445" i="13"/>
  <c r="A445" i="13"/>
  <c r="L444" i="13"/>
  <c r="J444" i="13"/>
  <c r="I444" i="13"/>
  <c r="H444" i="13"/>
  <c r="G444" i="13"/>
  <c r="F444" i="13"/>
  <c r="K444" i="13" s="1"/>
  <c r="E444" i="13"/>
  <c r="D444" i="13"/>
  <c r="C444" i="13"/>
  <c r="B444" i="13"/>
  <c r="A444" i="13"/>
  <c r="L443" i="13"/>
  <c r="K443" i="13"/>
  <c r="J443" i="13"/>
  <c r="I443" i="13"/>
  <c r="H443" i="13"/>
  <c r="G443" i="13"/>
  <c r="F443" i="13"/>
  <c r="E443" i="13"/>
  <c r="D443" i="13"/>
  <c r="C443" i="13"/>
  <c r="B443" i="13"/>
  <c r="A443" i="13"/>
  <c r="L442" i="13"/>
  <c r="J442" i="13"/>
  <c r="I442" i="13"/>
  <c r="H442" i="13"/>
  <c r="G442" i="13"/>
  <c r="F442" i="13"/>
  <c r="K442" i="13" s="1"/>
  <c r="E442" i="13"/>
  <c r="D442" i="13"/>
  <c r="C442" i="13"/>
  <c r="B442" i="13"/>
  <c r="A442" i="13"/>
  <c r="L441" i="13"/>
  <c r="K441" i="13"/>
  <c r="J441" i="13"/>
  <c r="I441" i="13"/>
  <c r="H441" i="13"/>
  <c r="G441" i="13"/>
  <c r="F441" i="13"/>
  <c r="E441" i="13"/>
  <c r="D441" i="13"/>
  <c r="C441" i="13"/>
  <c r="B441" i="13"/>
  <c r="A441" i="13"/>
  <c r="L440" i="13"/>
  <c r="J440" i="13"/>
  <c r="I440" i="13"/>
  <c r="H440" i="13"/>
  <c r="G440" i="13"/>
  <c r="F440" i="13"/>
  <c r="K440" i="13" s="1"/>
  <c r="E440" i="13"/>
  <c r="D440" i="13"/>
  <c r="C440" i="13"/>
  <c r="B440" i="13"/>
  <c r="A440" i="13"/>
  <c r="L439" i="13"/>
  <c r="K439" i="13"/>
  <c r="J439" i="13"/>
  <c r="I439" i="13"/>
  <c r="H439" i="13"/>
  <c r="G439" i="13"/>
  <c r="F439" i="13"/>
  <c r="E439" i="13"/>
  <c r="D439" i="13"/>
  <c r="C439" i="13"/>
  <c r="B439" i="13"/>
  <c r="A439" i="13"/>
  <c r="L438" i="13"/>
  <c r="J438" i="13"/>
  <c r="I438" i="13"/>
  <c r="H438" i="13"/>
  <c r="G438" i="13"/>
  <c r="F438" i="13"/>
  <c r="K438" i="13" s="1"/>
  <c r="E438" i="13"/>
  <c r="D438" i="13"/>
  <c r="C438" i="13"/>
  <c r="B438" i="13"/>
  <c r="A438" i="13"/>
  <c r="L437" i="13"/>
  <c r="K437" i="13"/>
  <c r="J437" i="13"/>
  <c r="I437" i="13"/>
  <c r="H437" i="13"/>
  <c r="G437" i="13"/>
  <c r="F437" i="13"/>
  <c r="E437" i="13"/>
  <c r="D437" i="13"/>
  <c r="C437" i="13"/>
  <c r="B437" i="13"/>
  <c r="A437" i="13"/>
  <c r="L436" i="13"/>
  <c r="J436" i="13"/>
  <c r="I436" i="13"/>
  <c r="H436" i="13"/>
  <c r="G436" i="13"/>
  <c r="F436" i="13"/>
  <c r="K436" i="13" s="1"/>
  <c r="E436" i="13"/>
  <c r="D436" i="13"/>
  <c r="C436" i="13"/>
  <c r="B436" i="13"/>
  <c r="A436" i="13"/>
  <c r="L435" i="13"/>
  <c r="K435" i="13"/>
  <c r="J435" i="13"/>
  <c r="I435" i="13"/>
  <c r="H435" i="13"/>
  <c r="G435" i="13"/>
  <c r="F435" i="13"/>
  <c r="E435" i="13"/>
  <c r="D435" i="13"/>
  <c r="C435" i="13"/>
  <c r="B435" i="13"/>
  <c r="A435" i="13"/>
  <c r="L434" i="13"/>
  <c r="J434" i="13"/>
  <c r="I434" i="13"/>
  <c r="H434" i="13"/>
  <c r="G434" i="13"/>
  <c r="F434" i="13"/>
  <c r="K434" i="13" s="1"/>
  <c r="E434" i="13"/>
  <c r="D434" i="13"/>
  <c r="C434" i="13"/>
  <c r="B434" i="13"/>
  <c r="A434" i="13"/>
  <c r="L433" i="13"/>
  <c r="K433" i="13"/>
  <c r="J433" i="13"/>
  <c r="I433" i="13"/>
  <c r="H433" i="13"/>
  <c r="G433" i="13"/>
  <c r="F433" i="13"/>
  <c r="E433" i="13"/>
  <c r="D433" i="13"/>
  <c r="C433" i="13"/>
  <c r="B433" i="13"/>
  <c r="A433" i="13"/>
  <c r="L432" i="13"/>
  <c r="J432" i="13"/>
  <c r="I432" i="13"/>
  <c r="H432" i="13"/>
  <c r="G432" i="13"/>
  <c r="F432" i="13"/>
  <c r="K432" i="13" s="1"/>
  <c r="E432" i="13"/>
  <c r="D432" i="13"/>
  <c r="C432" i="13"/>
  <c r="B432" i="13"/>
  <c r="A432" i="13"/>
  <c r="L431" i="13"/>
  <c r="K431" i="13"/>
  <c r="J431" i="13"/>
  <c r="I431" i="13"/>
  <c r="H431" i="13"/>
  <c r="G431" i="13"/>
  <c r="F431" i="13"/>
  <c r="E431" i="13"/>
  <c r="D431" i="13"/>
  <c r="C431" i="13"/>
  <c r="B431" i="13"/>
  <c r="A431" i="13"/>
  <c r="L430" i="13"/>
  <c r="J430" i="13"/>
  <c r="I430" i="13"/>
  <c r="H430" i="13"/>
  <c r="G430" i="13"/>
  <c r="F430" i="13"/>
  <c r="K430" i="13" s="1"/>
  <c r="E430" i="13"/>
  <c r="D430" i="13"/>
  <c r="C430" i="13"/>
  <c r="B430" i="13"/>
  <c r="A430" i="13"/>
  <c r="L429" i="13"/>
  <c r="K429" i="13"/>
  <c r="J429" i="13"/>
  <c r="I429" i="13"/>
  <c r="H429" i="13"/>
  <c r="G429" i="13"/>
  <c r="F429" i="13"/>
  <c r="E429" i="13"/>
  <c r="D429" i="13"/>
  <c r="C429" i="13"/>
  <c r="B429" i="13"/>
  <c r="A429" i="13"/>
  <c r="L428" i="13"/>
  <c r="J428" i="13"/>
  <c r="I428" i="13"/>
  <c r="H428" i="13"/>
  <c r="G428" i="13"/>
  <c r="F428" i="13"/>
  <c r="K428" i="13" s="1"/>
  <c r="E428" i="13"/>
  <c r="D428" i="13"/>
  <c r="C428" i="13"/>
  <c r="B428" i="13"/>
  <c r="A428" i="13"/>
  <c r="L427" i="13"/>
  <c r="K427" i="13"/>
  <c r="J427" i="13"/>
  <c r="I427" i="13"/>
  <c r="H427" i="13"/>
  <c r="G427" i="13"/>
  <c r="F427" i="13"/>
  <c r="E427" i="13"/>
  <c r="D427" i="13"/>
  <c r="C427" i="13"/>
  <c r="B427" i="13"/>
  <c r="A427" i="13"/>
  <c r="L426" i="13"/>
  <c r="J426" i="13"/>
  <c r="I426" i="13"/>
  <c r="H426" i="13"/>
  <c r="G426" i="13"/>
  <c r="F426" i="13"/>
  <c r="K426" i="13" s="1"/>
  <c r="E426" i="13"/>
  <c r="D426" i="13"/>
  <c r="C426" i="13"/>
  <c r="B426" i="13"/>
  <c r="A426" i="13"/>
  <c r="L425" i="13"/>
  <c r="K425" i="13"/>
  <c r="J425" i="13"/>
  <c r="I425" i="13"/>
  <c r="H425" i="13"/>
  <c r="G425" i="13"/>
  <c r="F425" i="13"/>
  <c r="E425" i="13"/>
  <c r="D425" i="13"/>
  <c r="C425" i="13"/>
  <c r="B425" i="13"/>
  <c r="A425" i="13"/>
  <c r="L424" i="13"/>
  <c r="J424" i="13"/>
  <c r="I424" i="13"/>
  <c r="H424" i="13"/>
  <c r="G424" i="13"/>
  <c r="F424" i="13"/>
  <c r="K424" i="13" s="1"/>
  <c r="E424" i="13"/>
  <c r="D424" i="13"/>
  <c r="C424" i="13"/>
  <c r="B424" i="13"/>
  <c r="A424" i="13"/>
  <c r="L423" i="13"/>
  <c r="K423" i="13"/>
  <c r="J423" i="13"/>
  <c r="I423" i="13"/>
  <c r="H423" i="13"/>
  <c r="G423" i="13"/>
  <c r="F423" i="13"/>
  <c r="E423" i="13"/>
  <c r="D423" i="13"/>
  <c r="C423" i="13"/>
  <c r="B423" i="13"/>
  <c r="A423" i="13"/>
  <c r="L422" i="13"/>
  <c r="J422" i="13"/>
  <c r="I422" i="13"/>
  <c r="H422" i="13"/>
  <c r="G422" i="13"/>
  <c r="F422" i="13"/>
  <c r="K422" i="13" s="1"/>
  <c r="E422" i="13"/>
  <c r="D422" i="13"/>
  <c r="C422" i="13"/>
  <c r="B422" i="13"/>
  <c r="A422" i="13"/>
  <c r="L421" i="13"/>
  <c r="K421" i="13"/>
  <c r="J421" i="13"/>
  <c r="I421" i="13"/>
  <c r="H421" i="13"/>
  <c r="G421" i="13"/>
  <c r="F421" i="13"/>
  <c r="E421" i="13"/>
  <c r="D421" i="13"/>
  <c r="C421" i="13"/>
  <c r="B421" i="13"/>
  <c r="A421" i="13"/>
  <c r="L420" i="13"/>
  <c r="J420" i="13"/>
  <c r="I420" i="13"/>
  <c r="H420" i="13"/>
  <c r="G420" i="13"/>
  <c r="F420" i="13"/>
  <c r="K420" i="13" s="1"/>
  <c r="E420" i="13"/>
  <c r="D420" i="13"/>
  <c r="C420" i="13"/>
  <c r="B420" i="13"/>
  <c r="A420" i="13"/>
  <c r="L419" i="13"/>
  <c r="K419" i="13"/>
  <c r="J419" i="13"/>
  <c r="I419" i="13"/>
  <c r="H419" i="13"/>
  <c r="G419" i="13"/>
  <c r="F419" i="13"/>
  <c r="E419" i="13"/>
  <c r="D419" i="13"/>
  <c r="C419" i="13"/>
  <c r="B419" i="13"/>
  <c r="A419" i="13"/>
  <c r="L418" i="13"/>
  <c r="J418" i="13"/>
  <c r="I418" i="13"/>
  <c r="H418" i="13"/>
  <c r="G418" i="13"/>
  <c r="F418" i="13"/>
  <c r="K418" i="13" s="1"/>
  <c r="E418" i="13"/>
  <c r="D418" i="13"/>
  <c r="C418" i="13"/>
  <c r="B418" i="13"/>
  <c r="A418" i="13"/>
  <c r="L417" i="13"/>
  <c r="K417" i="13"/>
  <c r="J417" i="13"/>
  <c r="I417" i="13"/>
  <c r="H417" i="13"/>
  <c r="G417" i="13"/>
  <c r="F417" i="13"/>
  <c r="E417" i="13"/>
  <c r="D417" i="13"/>
  <c r="C417" i="13"/>
  <c r="B417" i="13"/>
  <c r="A417" i="13"/>
  <c r="L416" i="13"/>
  <c r="J416" i="13"/>
  <c r="I416" i="13"/>
  <c r="H416" i="13"/>
  <c r="G416" i="13"/>
  <c r="F416" i="13"/>
  <c r="K416" i="13" s="1"/>
  <c r="E416" i="13"/>
  <c r="D416" i="13"/>
  <c r="C416" i="13"/>
  <c r="B416" i="13"/>
  <c r="A416" i="13"/>
  <c r="L415" i="13"/>
  <c r="K415" i="13"/>
  <c r="J415" i="13"/>
  <c r="I415" i="13"/>
  <c r="H415" i="13"/>
  <c r="G415" i="13"/>
  <c r="F415" i="13"/>
  <c r="E415" i="13"/>
  <c r="D415" i="13"/>
  <c r="C415" i="13"/>
  <c r="B415" i="13"/>
  <c r="A415" i="13"/>
  <c r="L414" i="13"/>
  <c r="J414" i="13"/>
  <c r="I414" i="13"/>
  <c r="H414" i="13"/>
  <c r="G414" i="13"/>
  <c r="F414" i="13"/>
  <c r="K414" i="13" s="1"/>
  <c r="E414" i="13"/>
  <c r="D414" i="13"/>
  <c r="C414" i="13"/>
  <c r="B414" i="13"/>
  <c r="A414" i="13"/>
  <c r="L413" i="13"/>
  <c r="K413" i="13"/>
  <c r="J413" i="13"/>
  <c r="H413" i="13"/>
  <c r="G413" i="13"/>
  <c r="F413" i="13"/>
  <c r="E413" i="13"/>
  <c r="I413" i="13" s="1"/>
  <c r="D413" i="13"/>
  <c r="C413" i="13"/>
  <c r="B413" i="13"/>
  <c r="A413" i="13"/>
  <c r="L412" i="13"/>
  <c r="I412" i="13"/>
  <c r="H412" i="13"/>
  <c r="G412" i="13"/>
  <c r="F412" i="13"/>
  <c r="K412" i="13" s="1"/>
  <c r="E412" i="13"/>
  <c r="D412" i="13"/>
  <c r="C412" i="13"/>
  <c r="B412" i="13"/>
  <c r="A412" i="13"/>
  <c r="J412" i="13" s="1"/>
  <c r="L411" i="13"/>
  <c r="K411" i="13"/>
  <c r="J411" i="13"/>
  <c r="H411" i="13"/>
  <c r="G411" i="13"/>
  <c r="F411" i="13"/>
  <c r="E411" i="13"/>
  <c r="I411" i="13" s="1"/>
  <c r="D411" i="13"/>
  <c r="C411" i="13"/>
  <c r="B411" i="13"/>
  <c r="A411" i="13"/>
  <c r="L410" i="13"/>
  <c r="I410" i="13"/>
  <c r="H410" i="13"/>
  <c r="G410" i="13"/>
  <c r="F410" i="13"/>
  <c r="K410" i="13" s="1"/>
  <c r="E410" i="13"/>
  <c r="D410" i="13"/>
  <c r="C410" i="13"/>
  <c r="A410" i="13"/>
  <c r="J410" i="13" s="1"/>
  <c r="L409" i="13"/>
  <c r="K409" i="13"/>
  <c r="J409" i="13"/>
  <c r="H409" i="13"/>
  <c r="G409" i="13"/>
  <c r="E409" i="13"/>
  <c r="F409" i="13" s="1"/>
  <c r="D409" i="13"/>
  <c r="C409" i="13"/>
  <c r="B409" i="13"/>
  <c r="A409" i="13"/>
  <c r="L408" i="13"/>
  <c r="I408" i="13"/>
  <c r="H408" i="13"/>
  <c r="G408" i="13"/>
  <c r="F408" i="13"/>
  <c r="K408" i="13" s="1"/>
  <c r="E408" i="13"/>
  <c r="D408" i="13"/>
  <c r="C408" i="13"/>
  <c r="A408" i="13"/>
  <c r="J408" i="13" s="1"/>
  <c r="L407" i="13"/>
  <c r="J407" i="13"/>
  <c r="H407" i="13"/>
  <c r="G407" i="13"/>
  <c r="E407" i="13"/>
  <c r="F407" i="13" s="1"/>
  <c r="K407" i="13" s="1"/>
  <c r="D407" i="13"/>
  <c r="C407" i="13"/>
  <c r="B407" i="13"/>
  <c r="A407" i="13"/>
  <c r="L406" i="13"/>
  <c r="I406" i="13"/>
  <c r="H406" i="13"/>
  <c r="G406" i="13"/>
  <c r="F406" i="13"/>
  <c r="K406" i="13" s="1"/>
  <c r="E406" i="13"/>
  <c r="D406" i="13"/>
  <c r="C406" i="13"/>
  <c r="A406" i="13"/>
  <c r="J406" i="13" s="1"/>
  <c r="L405" i="13"/>
  <c r="K405" i="13"/>
  <c r="J405" i="13"/>
  <c r="H405" i="13"/>
  <c r="G405" i="13"/>
  <c r="E405" i="13"/>
  <c r="F405" i="13" s="1"/>
  <c r="D405" i="13"/>
  <c r="C405" i="13"/>
  <c r="B405" i="13"/>
  <c r="A405" i="13"/>
  <c r="L404" i="13"/>
  <c r="I404" i="13"/>
  <c r="H404" i="13"/>
  <c r="G404" i="13"/>
  <c r="F404" i="13"/>
  <c r="K404" i="13" s="1"/>
  <c r="E404" i="13"/>
  <c r="D404" i="13"/>
  <c r="C404" i="13"/>
  <c r="A404" i="13"/>
  <c r="J404" i="13" s="1"/>
  <c r="L403" i="13"/>
  <c r="J403" i="13"/>
  <c r="H403" i="13"/>
  <c r="G403" i="13"/>
  <c r="E403" i="13"/>
  <c r="F403" i="13" s="1"/>
  <c r="K403" i="13" s="1"/>
  <c r="D403" i="13"/>
  <c r="C403" i="13"/>
  <c r="B403" i="13"/>
  <c r="A403" i="13"/>
  <c r="L402" i="13"/>
  <c r="I402" i="13"/>
  <c r="H402" i="13"/>
  <c r="G402" i="13"/>
  <c r="F402" i="13"/>
  <c r="K402" i="13" s="1"/>
  <c r="E402" i="13"/>
  <c r="D402" i="13"/>
  <c r="C402" i="13"/>
  <c r="A402" i="13"/>
  <c r="J402" i="13" s="1"/>
  <c r="L401" i="13"/>
  <c r="J401" i="13"/>
  <c r="H401" i="13"/>
  <c r="G401" i="13"/>
  <c r="E401" i="13"/>
  <c r="F401" i="13" s="1"/>
  <c r="K401" i="13" s="1"/>
  <c r="D401" i="13"/>
  <c r="C401" i="13"/>
  <c r="B401" i="13"/>
  <c r="A401" i="13"/>
  <c r="L400" i="13"/>
  <c r="I400" i="13"/>
  <c r="H400" i="13"/>
  <c r="G400" i="13"/>
  <c r="F400" i="13"/>
  <c r="K400" i="13" s="1"/>
  <c r="E400" i="13"/>
  <c r="D400" i="13"/>
  <c r="C400" i="13"/>
  <c r="A400" i="13"/>
  <c r="J400" i="13" s="1"/>
  <c r="L399" i="13"/>
  <c r="J399" i="13"/>
  <c r="H399" i="13"/>
  <c r="G399" i="13"/>
  <c r="E399" i="13"/>
  <c r="F399" i="13" s="1"/>
  <c r="K399" i="13" s="1"/>
  <c r="D399" i="13"/>
  <c r="C399" i="13"/>
  <c r="B399" i="13"/>
  <c r="A399" i="13"/>
  <c r="L398" i="13"/>
  <c r="I398" i="13"/>
  <c r="H398" i="13"/>
  <c r="G398" i="13"/>
  <c r="F398" i="13"/>
  <c r="K398" i="13" s="1"/>
  <c r="E398" i="13"/>
  <c r="D398" i="13"/>
  <c r="C398" i="13"/>
  <c r="A398" i="13"/>
  <c r="J398" i="13" s="1"/>
  <c r="L397" i="13"/>
  <c r="J397" i="13"/>
  <c r="H397" i="13"/>
  <c r="G397" i="13"/>
  <c r="E397" i="13"/>
  <c r="F397" i="13" s="1"/>
  <c r="K397" i="13" s="1"/>
  <c r="D397" i="13"/>
  <c r="C397" i="13"/>
  <c r="B397" i="13"/>
  <c r="A397" i="13"/>
  <c r="L396" i="13"/>
  <c r="I396" i="13"/>
  <c r="H396" i="13"/>
  <c r="G396" i="13"/>
  <c r="F396" i="13"/>
  <c r="K396" i="13" s="1"/>
  <c r="E396" i="13"/>
  <c r="D396" i="13"/>
  <c r="C396" i="13"/>
  <c r="A396" i="13"/>
  <c r="J396" i="13" s="1"/>
  <c r="L395" i="13"/>
  <c r="K395" i="13"/>
  <c r="J395" i="13"/>
  <c r="H395" i="13"/>
  <c r="G395" i="13"/>
  <c r="E395" i="13"/>
  <c r="F395" i="13" s="1"/>
  <c r="D395" i="13"/>
  <c r="C395" i="13"/>
  <c r="B395" i="13"/>
  <c r="A395" i="13"/>
  <c r="L394" i="13"/>
  <c r="I394" i="13"/>
  <c r="H394" i="13"/>
  <c r="G394" i="13"/>
  <c r="F394" i="13"/>
  <c r="K394" i="13" s="1"/>
  <c r="E394" i="13"/>
  <c r="D394" i="13"/>
  <c r="C394" i="13"/>
  <c r="A394" i="13"/>
  <c r="J394" i="13" s="1"/>
  <c r="L393" i="13"/>
  <c r="J393" i="13"/>
  <c r="H393" i="13"/>
  <c r="G393" i="13"/>
  <c r="E393" i="13"/>
  <c r="F393" i="13" s="1"/>
  <c r="K393" i="13" s="1"/>
  <c r="D393" i="13"/>
  <c r="C393" i="13"/>
  <c r="B393" i="13"/>
  <c r="A393" i="13"/>
  <c r="L392" i="13"/>
  <c r="I392" i="13"/>
  <c r="H392" i="13"/>
  <c r="G392" i="13"/>
  <c r="F392" i="13"/>
  <c r="K392" i="13" s="1"/>
  <c r="E392" i="13"/>
  <c r="D392" i="13"/>
  <c r="C392" i="13"/>
  <c r="A392" i="13"/>
  <c r="J392" i="13" s="1"/>
  <c r="L391" i="13"/>
  <c r="J391" i="13"/>
  <c r="H391" i="13"/>
  <c r="G391" i="13"/>
  <c r="E391" i="13"/>
  <c r="F391" i="13" s="1"/>
  <c r="K391" i="13" s="1"/>
  <c r="D391" i="13"/>
  <c r="C391" i="13"/>
  <c r="B391" i="13"/>
  <c r="A391" i="13"/>
  <c r="L390" i="13"/>
  <c r="I390" i="13"/>
  <c r="H390" i="13"/>
  <c r="G390" i="13"/>
  <c r="F390" i="13"/>
  <c r="K390" i="13" s="1"/>
  <c r="E390" i="13"/>
  <c r="D390" i="13"/>
  <c r="C390" i="13"/>
  <c r="A390" i="13"/>
  <c r="J390" i="13" s="1"/>
  <c r="L389" i="13"/>
  <c r="K389" i="13"/>
  <c r="J389" i="13"/>
  <c r="H389" i="13"/>
  <c r="G389" i="13"/>
  <c r="E389" i="13"/>
  <c r="F389" i="13" s="1"/>
  <c r="D389" i="13"/>
  <c r="C389" i="13"/>
  <c r="B389" i="13"/>
  <c r="A389" i="13"/>
  <c r="L388" i="13"/>
  <c r="I388" i="13"/>
  <c r="H388" i="13"/>
  <c r="G388" i="13"/>
  <c r="F388" i="13"/>
  <c r="K388" i="13" s="1"/>
  <c r="E388" i="13"/>
  <c r="D388" i="13"/>
  <c r="C388" i="13"/>
  <c r="A388" i="13"/>
  <c r="J388" i="13" s="1"/>
  <c r="L387" i="13"/>
  <c r="J387" i="13"/>
  <c r="H387" i="13"/>
  <c r="G387" i="13"/>
  <c r="E387" i="13"/>
  <c r="F387" i="13" s="1"/>
  <c r="K387" i="13" s="1"/>
  <c r="D387" i="13"/>
  <c r="C387" i="13"/>
  <c r="B387" i="13"/>
  <c r="A387" i="13"/>
  <c r="L386" i="13"/>
  <c r="I386" i="13"/>
  <c r="H386" i="13"/>
  <c r="G386" i="13"/>
  <c r="F386" i="13"/>
  <c r="K386" i="13" s="1"/>
  <c r="E386" i="13"/>
  <c r="D386" i="13"/>
  <c r="C386" i="13"/>
  <c r="A386" i="13"/>
  <c r="J386" i="13" s="1"/>
  <c r="L385" i="13"/>
  <c r="K385" i="13"/>
  <c r="J385" i="13"/>
  <c r="H385" i="13"/>
  <c r="G385" i="13"/>
  <c r="E385" i="13"/>
  <c r="F385" i="13" s="1"/>
  <c r="D385" i="13"/>
  <c r="C385" i="13"/>
  <c r="B385" i="13"/>
  <c r="A385" i="13"/>
  <c r="L384" i="13"/>
  <c r="I384" i="13"/>
  <c r="H384" i="13"/>
  <c r="G384" i="13"/>
  <c r="F384" i="13"/>
  <c r="K384" i="13" s="1"/>
  <c r="E384" i="13"/>
  <c r="D384" i="13"/>
  <c r="C384" i="13"/>
  <c r="A384" i="13"/>
  <c r="J384" i="13" s="1"/>
  <c r="L383" i="13"/>
  <c r="J383" i="13"/>
  <c r="H383" i="13"/>
  <c r="G383" i="13"/>
  <c r="E383" i="13"/>
  <c r="F383" i="13" s="1"/>
  <c r="K383" i="13" s="1"/>
  <c r="D383" i="13"/>
  <c r="C383" i="13"/>
  <c r="B383" i="13"/>
  <c r="A383" i="13"/>
  <c r="L382" i="13"/>
  <c r="I382" i="13"/>
  <c r="H382" i="13"/>
  <c r="G382" i="13"/>
  <c r="F382" i="13"/>
  <c r="K382" i="13" s="1"/>
  <c r="E382" i="13"/>
  <c r="D382" i="13"/>
  <c r="A382" i="13"/>
  <c r="C382" i="13" s="1"/>
  <c r="L381" i="13"/>
  <c r="J381" i="13"/>
  <c r="H381" i="13"/>
  <c r="E381" i="13"/>
  <c r="G381" i="13" s="1"/>
  <c r="D381" i="13"/>
  <c r="C381" i="13"/>
  <c r="B381" i="13"/>
  <c r="A381" i="13"/>
  <c r="I380" i="13"/>
  <c r="H380" i="13"/>
  <c r="G380" i="13"/>
  <c r="F380" i="13"/>
  <c r="K380" i="13" s="1"/>
  <c r="E380" i="13"/>
  <c r="A380" i="13"/>
  <c r="L380" i="13" s="1"/>
  <c r="L379" i="13"/>
  <c r="J379" i="13"/>
  <c r="E379" i="13"/>
  <c r="D379" i="13"/>
  <c r="C379" i="13"/>
  <c r="B379" i="13"/>
  <c r="A379" i="13"/>
  <c r="I378" i="13"/>
  <c r="H378" i="13"/>
  <c r="G378" i="13"/>
  <c r="F378" i="13"/>
  <c r="K378" i="13" s="1"/>
  <c r="E378" i="13"/>
  <c r="D378" i="13"/>
  <c r="A378" i="13"/>
  <c r="L378" i="13" s="1"/>
  <c r="L377" i="13"/>
  <c r="J377" i="13"/>
  <c r="H377" i="13"/>
  <c r="E377" i="13"/>
  <c r="D377" i="13"/>
  <c r="C377" i="13"/>
  <c r="B377" i="13"/>
  <c r="A377" i="13"/>
  <c r="L376" i="13"/>
  <c r="I376" i="13"/>
  <c r="H376" i="13"/>
  <c r="G376" i="13"/>
  <c r="F376" i="13"/>
  <c r="K376" i="13" s="1"/>
  <c r="E376" i="13"/>
  <c r="D376" i="13"/>
  <c r="A376" i="13"/>
  <c r="L375" i="13"/>
  <c r="J375" i="13"/>
  <c r="H375" i="13"/>
  <c r="E375" i="13"/>
  <c r="D375" i="13"/>
  <c r="C375" i="13"/>
  <c r="B375" i="13"/>
  <c r="A375" i="13"/>
  <c r="L374" i="13"/>
  <c r="I374" i="13"/>
  <c r="H374" i="13"/>
  <c r="G374" i="13"/>
  <c r="F374" i="13"/>
  <c r="K374" i="13" s="1"/>
  <c r="E374" i="13"/>
  <c r="A374" i="13"/>
  <c r="L373" i="13"/>
  <c r="J373" i="13"/>
  <c r="E373" i="13"/>
  <c r="D373" i="13"/>
  <c r="C373" i="13"/>
  <c r="B373" i="13"/>
  <c r="A373" i="13"/>
  <c r="L372" i="13"/>
  <c r="I372" i="13"/>
  <c r="H372" i="13"/>
  <c r="G372" i="13"/>
  <c r="F372" i="13"/>
  <c r="K372" i="13" s="1"/>
  <c r="E372" i="13"/>
  <c r="A372" i="13"/>
  <c r="D372" i="13" s="1"/>
  <c r="L371" i="13"/>
  <c r="J371" i="13"/>
  <c r="H371" i="13"/>
  <c r="E371" i="13"/>
  <c r="D371" i="13"/>
  <c r="C371" i="13"/>
  <c r="B371" i="13"/>
  <c r="A371" i="13"/>
  <c r="I370" i="13"/>
  <c r="H370" i="13"/>
  <c r="G370" i="13"/>
  <c r="F370" i="13"/>
  <c r="K370" i="13" s="1"/>
  <c r="E370" i="13"/>
  <c r="A370" i="13"/>
  <c r="L369" i="13"/>
  <c r="J369" i="13"/>
  <c r="H369" i="13"/>
  <c r="E369" i="13"/>
  <c r="D369" i="13"/>
  <c r="C369" i="13"/>
  <c r="B369" i="13"/>
  <c r="A369" i="13"/>
  <c r="I368" i="13"/>
  <c r="H368" i="13"/>
  <c r="G368" i="13"/>
  <c r="F368" i="13"/>
  <c r="K368" i="13" s="1"/>
  <c r="E368" i="13"/>
  <c r="D368" i="13"/>
  <c r="A368" i="13"/>
  <c r="L368" i="13" s="1"/>
  <c r="L367" i="13"/>
  <c r="J367" i="13"/>
  <c r="E367" i="13"/>
  <c r="D367" i="13"/>
  <c r="C367" i="13"/>
  <c r="B367" i="13"/>
  <c r="A367" i="13"/>
  <c r="L366" i="13"/>
  <c r="I366" i="13"/>
  <c r="H366" i="13"/>
  <c r="G366" i="13"/>
  <c r="F366" i="13"/>
  <c r="K366" i="13" s="1"/>
  <c r="E366" i="13"/>
  <c r="D366" i="13"/>
  <c r="A366" i="13"/>
  <c r="L365" i="13"/>
  <c r="J365" i="13"/>
  <c r="E365" i="13"/>
  <c r="H365" i="13" s="1"/>
  <c r="D365" i="13"/>
  <c r="C365" i="13"/>
  <c r="B365" i="13"/>
  <c r="A365" i="13"/>
  <c r="L364" i="13"/>
  <c r="I364" i="13"/>
  <c r="H364" i="13"/>
  <c r="G364" i="13"/>
  <c r="F364" i="13"/>
  <c r="K364" i="13" s="1"/>
  <c r="E364" i="13"/>
  <c r="D364" i="13"/>
  <c r="C364" i="13"/>
  <c r="A364" i="13"/>
  <c r="L363" i="13"/>
  <c r="J363" i="13"/>
  <c r="E363" i="13"/>
  <c r="D363" i="13"/>
  <c r="C363" i="13"/>
  <c r="B363" i="13"/>
  <c r="A363" i="13"/>
  <c r="L362" i="13"/>
  <c r="K362" i="13"/>
  <c r="I362" i="13"/>
  <c r="H362" i="13"/>
  <c r="G362" i="13"/>
  <c r="F362" i="13"/>
  <c r="E362" i="13"/>
  <c r="D362" i="13"/>
  <c r="C362" i="13"/>
  <c r="A362" i="13"/>
  <c r="L361" i="13"/>
  <c r="J361" i="13"/>
  <c r="E361" i="13"/>
  <c r="H361" i="13" s="1"/>
  <c r="D361" i="13"/>
  <c r="C361" i="13"/>
  <c r="B361" i="13"/>
  <c r="A361" i="13"/>
  <c r="L360" i="13"/>
  <c r="I360" i="13"/>
  <c r="H360" i="13"/>
  <c r="G360" i="13"/>
  <c r="F360" i="13"/>
  <c r="K360" i="13" s="1"/>
  <c r="E360" i="13"/>
  <c r="D360" i="13"/>
  <c r="C360" i="13"/>
  <c r="A360" i="13"/>
  <c r="L359" i="13"/>
  <c r="J359" i="13"/>
  <c r="E359" i="13"/>
  <c r="D359" i="13"/>
  <c r="C359" i="13"/>
  <c r="B359" i="13"/>
  <c r="A359" i="13"/>
  <c r="L358" i="13"/>
  <c r="K358" i="13"/>
  <c r="I358" i="13"/>
  <c r="H358" i="13"/>
  <c r="G358" i="13"/>
  <c r="F358" i="13"/>
  <c r="E358" i="13"/>
  <c r="D358" i="13"/>
  <c r="C358" i="13"/>
  <c r="A358" i="13"/>
  <c r="L357" i="13"/>
  <c r="J357" i="13"/>
  <c r="E357" i="13"/>
  <c r="H357" i="13" s="1"/>
  <c r="D357" i="13"/>
  <c r="C357" i="13"/>
  <c r="B357" i="13"/>
  <c r="A357" i="13"/>
  <c r="L356" i="13"/>
  <c r="I356" i="13"/>
  <c r="H356" i="13"/>
  <c r="G356" i="13"/>
  <c r="F356" i="13"/>
  <c r="K356" i="13" s="1"/>
  <c r="E356" i="13"/>
  <c r="D356" i="13"/>
  <c r="C356" i="13"/>
  <c r="A356" i="13"/>
  <c r="L355" i="13"/>
  <c r="J355" i="13"/>
  <c r="E355" i="13"/>
  <c r="D355" i="13"/>
  <c r="C355" i="13"/>
  <c r="B355" i="13"/>
  <c r="A355" i="13"/>
  <c r="L354" i="13"/>
  <c r="K354" i="13"/>
  <c r="I354" i="13"/>
  <c r="H354" i="13"/>
  <c r="G354" i="13"/>
  <c r="F354" i="13"/>
  <c r="E354" i="13"/>
  <c r="D354" i="13"/>
  <c r="C354" i="13"/>
  <c r="A354" i="13"/>
  <c r="L353" i="13"/>
  <c r="J353" i="13"/>
  <c r="E353" i="13"/>
  <c r="H353" i="13" s="1"/>
  <c r="D353" i="13"/>
  <c r="C353" i="13"/>
  <c r="B353" i="13"/>
  <c r="A353" i="13"/>
  <c r="L352" i="13"/>
  <c r="I352" i="13"/>
  <c r="H352" i="13"/>
  <c r="G352" i="13"/>
  <c r="F352" i="13"/>
  <c r="K352" i="13" s="1"/>
  <c r="E352" i="13"/>
  <c r="D352" i="13"/>
  <c r="C352" i="13"/>
  <c r="A352" i="13"/>
  <c r="L351" i="13"/>
  <c r="J351" i="13"/>
  <c r="E351" i="13"/>
  <c r="D351" i="13"/>
  <c r="C351" i="13"/>
  <c r="B351" i="13"/>
  <c r="A351" i="13"/>
  <c r="L350" i="13"/>
  <c r="K350" i="13"/>
  <c r="I350" i="13"/>
  <c r="H350" i="13"/>
  <c r="G350" i="13"/>
  <c r="F350" i="13"/>
  <c r="E350" i="13"/>
  <c r="D350" i="13"/>
  <c r="C350" i="13"/>
  <c r="A350" i="13"/>
  <c r="L349" i="13"/>
  <c r="J349" i="13"/>
  <c r="E349" i="13"/>
  <c r="H349" i="13" s="1"/>
  <c r="D349" i="13"/>
  <c r="C349" i="13"/>
  <c r="B349" i="13"/>
  <c r="A349" i="13"/>
  <c r="L348" i="13"/>
  <c r="I348" i="13"/>
  <c r="H348" i="13"/>
  <c r="G348" i="13"/>
  <c r="F348" i="13"/>
  <c r="K348" i="13" s="1"/>
  <c r="E348" i="13"/>
  <c r="D348" i="13"/>
  <c r="C348" i="13"/>
  <c r="A348" i="13"/>
  <c r="L347" i="13"/>
  <c r="J347" i="13"/>
  <c r="E347" i="13"/>
  <c r="D347" i="13"/>
  <c r="C347" i="13"/>
  <c r="B347" i="13"/>
  <c r="A347" i="13"/>
  <c r="L346" i="13"/>
  <c r="K346" i="13"/>
  <c r="I346" i="13"/>
  <c r="H346" i="13"/>
  <c r="G346" i="13"/>
  <c r="F346" i="13"/>
  <c r="E346" i="13"/>
  <c r="D346" i="13"/>
  <c r="C346" i="13"/>
  <c r="A346" i="13"/>
  <c r="L345" i="13"/>
  <c r="J345" i="13"/>
  <c r="E345" i="13"/>
  <c r="H345" i="13" s="1"/>
  <c r="D345" i="13"/>
  <c r="C345" i="13"/>
  <c r="B345" i="13"/>
  <c r="A345" i="13"/>
  <c r="L344" i="13"/>
  <c r="I344" i="13"/>
  <c r="H344" i="13"/>
  <c r="G344" i="13"/>
  <c r="F344" i="13"/>
  <c r="K344" i="13" s="1"/>
  <c r="E344" i="13"/>
  <c r="D344" i="13"/>
  <c r="C344" i="13"/>
  <c r="A344" i="13"/>
  <c r="L343" i="13"/>
  <c r="J343" i="13"/>
  <c r="E343" i="13"/>
  <c r="D343" i="13"/>
  <c r="C343" i="13"/>
  <c r="B343" i="13"/>
  <c r="A343" i="13"/>
  <c r="L342" i="13"/>
  <c r="K342" i="13"/>
  <c r="I342" i="13"/>
  <c r="H342" i="13"/>
  <c r="G342" i="13"/>
  <c r="F342" i="13"/>
  <c r="E342" i="13"/>
  <c r="D342" i="13"/>
  <c r="C342" i="13"/>
  <c r="A342" i="13"/>
  <c r="L341" i="13"/>
  <c r="J341" i="13"/>
  <c r="E341" i="13"/>
  <c r="H341" i="13" s="1"/>
  <c r="D341" i="13"/>
  <c r="C341" i="13"/>
  <c r="B341" i="13"/>
  <c r="A341" i="13"/>
  <c r="L340" i="13"/>
  <c r="I340" i="13"/>
  <c r="H340" i="13"/>
  <c r="G340" i="13"/>
  <c r="F340" i="13"/>
  <c r="K340" i="13" s="1"/>
  <c r="E340" i="13"/>
  <c r="D340" i="13"/>
  <c r="C340" i="13"/>
  <c r="A340" i="13"/>
  <c r="L339" i="13"/>
  <c r="J339" i="13"/>
  <c r="E339" i="13"/>
  <c r="D339" i="13"/>
  <c r="C339" i="13"/>
  <c r="B339" i="13"/>
  <c r="A339" i="13"/>
  <c r="L338" i="13"/>
  <c r="K338" i="13"/>
  <c r="I338" i="13"/>
  <c r="H338" i="13"/>
  <c r="G338" i="13"/>
  <c r="F338" i="13"/>
  <c r="E338" i="13"/>
  <c r="D338" i="13"/>
  <c r="C338" i="13"/>
  <c r="A338" i="13"/>
  <c r="L337" i="13"/>
  <c r="J337" i="13"/>
  <c r="E337" i="13"/>
  <c r="H337" i="13" s="1"/>
  <c r="D337" i="13"/>
  <c r="C337" i="13"/>
  <c r="B337" i="13"/>
  <c r="A337" i="13"/>
  <c r="L336" i="13"/>
  <c r="I336" i="13"/>
  <c r="H336" i="13"/>
  <c r="G336" i="13"/>
  <c r="F336" i="13"/>
  <c r="K336" i="13" s="1"/>
  <c r="E336" i="13"/>
  <c r="D336" i="13"/>
  <c r="C336" i="13"/>
  <c r="A336" i="13"/>
  <c r="L335" i="13"/>
  <c r="J335" i="13"/>
  <c r="E335" i="13"/>
  <c r="D335" i="13"/>
  <c r="C335" i="13"/>
  <c r="B335" i="13"/>
  <c r="A335" i="13"/>
  <c r="L334" i="13"/>
  <c r="K334" i="13"/>
  <c r="I334" i="13"/>
  <c r="H334" i="13"/>
  <c r="G334" i="13"/>
  <c r="F334" i="13"/>
  <c r="E334" i="13"/>
  <c r="A334" i="13"/>
  <c r="L333" i="13"/>
  <c r="J333" i="13"/>
  <c r="E333" i="13"/>
  <c r="H333" i="13" s="1"/>
  <c r="D333" i="13"/>
  <c r="C333" i="13"/>
  <c r="B333" i="13"/>
  <c r="A333" i="13"/>
  <c r="L332" i="13"/>
  <c r="I332" i="13"/>
  <c r="H332" i="13"/>
  <c r="G332" i="13"/>
  <c r="F332" i="13"/>
  <c r="K332" i="13" s="1"/>
  <c r="E332" i="13"/>
  <c r="D332" i="13"/>
  <c r="C332" i="13"/>
  <c r="A332" i="13"/>
  <c r="L331" i="13"/>
  <c r="J331" i="13"/>
  <c r="H331" i="13"/>
  <c r="E331" i="13"/>
  <c r="D331" i="13"/>
  <c r="C331" i="13"/>
  <c r="B331" i="13"/>
  <c r="A331" i="13"/>
  <c r="K330" i="13"/>
  <c r="I330" i="13"/>
  <c r="H330" i="13"/>
  <c r="G330" i="13"/>
  <c r="F330" i="13"/>
  <c r="E330" i="13"/>
  <c r="C330" i="13"/>
  <c r="A330" i="13"/>
  <c r="L329" i="13"/>
  <c r="J329" i="13"/>
  <c r="E329" i="13"/>
  <c r="H329" i="13" s="1"/>
  <c r="D329" i="13"/>
  <c r="C329" i="13"/>
  <c r="B329" i="13"/>
  <c r="A329" i="13"/>
  <c r="L328" i="13"/>
  <c r="I328" i="13"/>
  <c r="H328" i="13"/>
  <c r="G328" i="13"/>
  <c r="F328" i="13"/>
  <c r="K328" i="13" s="1"/>
  <c r="E328" i="13"/>
  <c r="D328" i="13"/>
  <c r="C328" i="13"/>
  <c r="A328" i="13"/>
  <c r="L327" i="13"/>
  <c r="J327" i="13"/>
  <c r="H327" i="13"/>
  <c r="E327" i="13"/>
  <c r="D327" i="13"/>
  <c r="C327" i="13"/>
  <c r="B327" i="13"/>
  <c r="A327" i="13"/>
  <c r="K326" i="13"/>
  <c r="I326" i="13"/>
  <c r="H326" i="13"/>
  <c r="G326" i="13"/>
  <c r="F326" i="13"/>
  <c r="E326" i="13"/>
  <c r="A326" i="13"/>
  <c r="L325" i="13"/>
  <c r="J325" i="13"/>
  <c r="E325" i="13"/>
  <c r="H325" i="13" s="1"/>
  <c r="D325" i="13"/>
  <c r="C325" i="13"/>
  <c r="B325" i="13"/>
  <c r="A325" i="13"/>
  <c r="L324" i="13"/>
  <c r="I324" i="13"/>
  <c r="H324" i="13"/>
  <c r="G324" i="13"/>
  <c r="F324" i="13"/>
  <c r="K324" i="13" s="1"/>
  <c r="E324" i="13"/>
  <c r="D324" i="13"/>
  <c r="C324" i="13"/>
  <c r="A324" i="13"/>
  <c r="L323" i="13"/>
  <c r="J323" i="13"/>
  <c r="H323" i="13"/>
  <c r="E323" i="13"/>
  <c r="D323" i="13"/>
  <c r="C323" i="13"/>
  <c r="B323" i="13"/>
  <c r="A323" i="13"/>
  <c r="K322" i="13"/>
  <c r="I322" i="13"/>
  <c r="H322" i="13"/>
  <c r="G322" i="13"/>
  <c r="F322" i="13"/>
  <c r="E322" i="13"/>
  <c r="C322" i="13"/>
  <c r="A322" i="13"/>
  <c r="L321" i="13"/>
  <c r="J321" i="13"/>
  <c r="E321" i="13"/>
  <c r="H321" i="13" s="1"/>
  <c r="D321" i="13"/>
  <c r="C321" i="13"/>
  <c r="B321" i="13"/>
  <c r="A321" i="13"/>
  <c r="L320" i="13"/>
  <c r="I320" i="13"/>
  <c r="H320" i="13"/>
  <c r="G320" i="13"/>
  <c r="F320" i="13"/>
  <c r="K320" i="13" s="1"/>
  <c r="E320" i="13"/>
  <c r="D320" i="13"/>
  <c r="C320" i="13"/>
  <c r="A320" i="13"/>
  <c r="K319" i="13"/>
  <c r="J319" i="13"/>
  <c r="I319" i="13"/>
  <c r="G319" i="13"/>
  <c r="E319" i="13"/>
  <c r="F319" i="13" s="1"/>
  <c r="A319" i="13"/>
  <c r="L318" i="13"/>
  <c r="I318" i="13"/>
  <c r="E318" i="13"/>
  <c r="H318" i="13" s="1"/>
  <c r="D318" i="13"/>
  <c r="C318" i="13"/>
  <c r="A318" i="13"/>
  <c r="L317" i="13"/>
  <c r="E317" i="13"/>
  <c r="C317" i="13"/>
  <c r="B317" i="13"/>
  <c r="A317" i="13"/>
  <c r="D317" i="13" s="1"/>
  <c r="I316" i="13"/>
  <c r="H316" i="13"/>
  <c r="F316" i="13"/>
  <c r="K316" i="13" s="1"/>
  <c r="E316" i="13"/>
  <c r="G316" i="13" s="1"/>
  <c r="A316" i="13"/>
  <c r="D316" i="13" s="1"/>
  <c r="L315" i="13"/>
  <c r="K315" i="13"/>
  <c r="I315" i="13"/>
  <c r="E315" i="13"/>
  <c r="F315" i="13" s="1"/>
  <c r="D315" i="13"/>
  <c r="C315" i="13"/>
  <c r="B315" i="13"/>
  <c r="A315" i="13"/>
  <c r="J315" i="13" s="1"/>
  <c r="L314" i="13"/>
  <c r="E314" i="13"/>
  <c r="C314" i="13"/>
  <c r="A314" i="13"/>
  <c r="I313" i="13"/>
  <c r="H313" i="13"/>
  <c r="E313" i="13"/>
  <c r="F313" i="13" s="1"/>
  <c r="K313" i="13" s="1"/>
  <c r="A313" i="13"/>
  <c r="J313" i="13" s="1"/>
  <c r="H312" i="13"/>
  <c r="E312" i="13"/>
  <c r="I312" i="13" s="1"/>
  <c r="C312" i="13"/>
  <c r="A312" i="13"/>
  <c r="L312" i="13" s="1"/>
  <c r="E311" i="13"/>
  <c r="D311" i="13"/>
  <c r="B311" i="13"/>
  <c r="A311" i="13"/>
  <c r="L311" i="13" s="1"/>
  <c r="H310" i="13"/>
  <c r="G310" i="13"/>
  <c r="E310" i="13"/>
  <c r="I310" i="13" s="1"/>
  <c r="A310" i="13"/>
  <c r="K309" i="13"/>
  <c r="H309" i="13"/>
  <c r="G309" i="13"/>
  <c r="E309" i="13"/>
  <c r="F309" i="13" s="1"/>
  <c r="A309" i="13"/>
  <c r="E308" i="13"/>
  <c r="D308" i="13"/>
  <c r="A308" i="13"/>
  <c r="K307" i="13"/>
  <c r="I307" i="13"/>
  <c r="H307" i="13"/>
  <c r="G307" i="13"/>
  <c r="E307" i="13"/>
  <c r="F307" i="13" s="1"/>
  <c r="D307" i="13"/>
  <c r="A307" i="13"/>
  <c r="L307" i="13" s="1"/>
  <c r="K306" i="13"/>
  <c r="I306" i="13"/>
  <c r="G306" i="13"/>
  <c r="F306" i="13"/>
  <c r="E306" i="13"/>
  <c r="H306" i="13" s="1"/>
  <c r="A306" i="13"/>
  <c r="L305" i="13"/>
  <c r="E305" i="13"/>
  <c r="F305" i="13" s="1"/>
  <c r="K305" i="13" s="1"/>
  <c r="D305" i="13"/>
  <c r="C305" i="13"/>
  <c r="A305" i="13"/>
  <c r="B305" i="13" s="1"/>
  <c r="L304" i="13"/>
  <c r="I304" i="13"/>
  <c r="H304" i="13"/>
  <c r="G304" i="13"/>
  <c r="F304" i="13"/>
  <c r="K304" i="13" s="1"/>
  <c r="E304" i="13"/>
  <c r="D304" i="13"/>
  <c r="C304" i="13"/>
  <c r="A304" i="13"/>
  <c r="K303" i="13"/>
  <c r="J303" i="13"/>
  <c r="I303" i="13"/>
  <c r="G303" i="13"/>
  <c r="E303" i="13"/>
  <c r="F303" i="13" s="1"/>
  <c r="A303" i="13"/>
  <c r="L302" i="13"/>
  <c r="I302" i="13"/>
  <c r="E302" i="13"/>
  <c r="H302" i="13" s="1"/>
  <c r="D302" i="13"/>
  <c r="C302" i="13"/>
  <c r="A302" i="13"/>
  <c r="L301" i="13"/>
  <c r="E301" i="13"/>
  <c r="C301" i="13"/>
  <c r="B301" i="13"/>
  <c r="A301" i="13"/>
  <c r="D301" i="13" s="1"/>
  <c r="I300" i="13"/>
  <c r="H300" i="13"/>
  <c r="F300" i="13"/>
  <c r="K300" i="13" s="1"/>
  <c r="E300" i="13"/>
  <c r="G300" i="13" s="1"/>
  <c r="A300" i="13"/>
  <c r="D300" i="13" s="1"/>
  <c r="L299" i="13"/>
  <c r="K299" i="13"/>
  <c r="I299" i="13"/>
  <c r="E299" i="13"/>
  <c r="F299" i="13" s="1"/>
  <c r="D299" i="13"/>
  <c r="C299" i="13"/>
  <c r="B299" i="13"/>
  <c r="A299" i="13"/>
  <c r="J299" i="13" s="1"/>
  <c r="L298" i="13"/>
  <c r="E298" i="13"/>
  <c r="C298" i="13"/>
  <c r="B298" i="13"/>
  <c r="A298" i="13"/>
  <c r="J298" i="13" s="1"/>
  <c r="K297" i="13"/>
  <c r="J297" i="13"/>
  <c r="I297" i="13"/>
  <c r="G297" i="13"/>
  <c r="F297" i="13"/>
  <c r="E297" i="13"/>
  <c r="H297" i="13" s="1"/>
  <c r="B297" i="13"/>
  <c r="A297" i="13"/>
  <c r="J296" i="13"/>
  <c r="F296" i="13"/>
  <c r="K296" i="13" s="1"/>
  <c r="E296" i="13"/>
  <c r="C296" i="13"/>
  <c r="B296" i="13"/>
  <c r="A296" i="13"/>
  <c r="L296" i="13" s="1"/>
  <c r="K295" i="13"/>
  <c r="J295" i="13"/>
  <c r="I295" i="13"/>
  <c r="G295" i="13"/>
  <c r="F295" i="13"/>
  <c r="E295" i="13"/>
  <c r="H295" i="13" s="1"/>
  <c r="B295" i="13"/>
  <c r="A295" i="13"/>
  <c r="J294" i="13"/>
  <c r="F294" i="13"/>
  <c r="K294" i="13" s="1"/>
  <c r="E294" i="13"/>
  <c r="C294" i="13"/>
  <c r="B294" i="13"/>
  <c r="A294" i="13"/>
  <c r="L294" i="13" s="1"/>
  <c r="K293" i="13"/>
  <c r="I293" i="13"/>
  <c r="G293" i="13"/>
  <c r="F293" i="13"/>
  <c r="E293" i="13"/>
  <c r="H293" i="13" s="1"/>
  <c r="A293" i="13"/>
  <c r="J292" i="13"/>
  <c r="E292" i="13"/>
  <c r="C292" i="13"/>
  <c r="B292" i="13"/>
  <c r="A292" i="13"/>
  <c r="L292" i="13" s="1"/>
  <c r="K291" i="13"/>
  <c r="I291" i="13"/>
  <c r="G291" i="13"/>
  <c r="F291" i="13"/>
  <c r="E291" i="13"/>
  <c r="H291" i="13" s="1"/>
  <c r="A291" i="13"/>
  <c r="J290" i="13"/>
  <c r="E290" i="13"/>
  <c r="C290" i="13"/>
  <c r="B290" i="13"/>
  <c r="A290" i="13"/>
  <c r="L290" i="13" s="1"/>
  <c r="K289" i="13"/>
  <c r="J289" i="13"/>
  <c r="I289" i="13"/>
  <c r="G289" i="13"/>
  <c r="F289" i="13"/>
  <c r="E289" i="13"/>
  <c r="H289" i="13" s="1"/>
  <c r="B289" i="13"/>
  <c r="A289" i="13"/>
  <c r="J288" i="13"/>
  <c r="F288" i="13"/>
  <c r="K288" i="13" s="1"/>
  <c r="E288" i="13"/>
  <c r="C288" i="13"/>
  <c r="B288" i="13"/>
  <c r="A288" i="13"/>
  <c r="L288" i="13" s="1"/>
  <c r="I287" i="13"/>
  <c r="G287" i="13"/>
  <c r="F287" i="13"/>
  <c r="K287" i="13" s="1"/>
  <c r="E287" i="13"/>
  <c r="H287" i="13" s="1"/>
  <c r="A287" i="13"/>
  <c r="J286" i="13"/>
  <c r="F286" i="13"/>
  <c r="K286" i="13" s="1"/>
  <c r="E286" i="13"/>
  <c r="C286" i="13"/>
  <c r="B286" i="13"/>
  <c r="A286" i="13"/>
  <c r="L286" i="13" s="1"/>
  <c r="I285" i="13"/>
  <c r="G285" i="13"/>
  <c r="F285" i="13"/>
  <c r="K285" i="13" s="1"/>
  <c r="E285" i="13"/>
  <c r="H285" i="13" s="1"/>
  <c r="A285" i="13"/>
  <c r="J284" i="13"/>
  <c r="E284" i="13"/>
  <c r="C284" i="13"/>
  <c r="B284" i="13"/>
  <c r="A284" i="13"/>
  <c r="L284" i="13" s="1"/>
  <c r="I283" i="13"/>
  <c r="G283" i="13"/>
  <c r="F283" i="13"/>
  <c r="K283" i="13" s="1"/>
  <c r="E283" i="13"/>
  <c r="H283" i="13" s="1"/>
  <c r="A283" i="13"/>
  <c r="J283" i="13" s="1"/>
  <c r="J282" i="13"/>
  <c r="E282" i="13"/>
  <c r="C282" i="13"/>
  <c r="B282" i="13"/>
  <c r="A282" i="13"/>
  <c r="L282" i="13" s="1"/>
  <c r="I281" i="13"/>
  <c r="G281" i="13"/>
  <c r="F281" i="13"/>
  <c r="K281" i="13" s="1"/>
  <c r="E281" i="13"/>
  <c r="H281" i="13" s="1"/>
  <c r="A281" i="13"/>
  <c r="K280" i="13"/>
  <c r="J280" i="13"/>
  <c r="F280" i="13"/>
  <c r="E280" i="13"/>
  <c r="C280" i="13"/>
  <c r="B280" i="13"/>
  <c r="A280" i="13"/>
  <c r="L280" i="13" s="1"/>
  <c r="I279" i="13"/>
  <c r="G279" i="13"/>
  <c r="F279" i="13"/>
  <c r="K279" i="13" s="1"/>
  <c r="E279" i="13"/>
  <c r="H279" i="13" s="1"/>
  <c r="A279" i="13"/>
  <c r="J278" i="13"/>
  <c r="F278" i="13"/>
  <c r="K278" i="13" s="1"/>
  <c r="E278" i="13"/>
  <c r="C278" i="13"/>
  <c r="B278" i="13"/>
  <c r="A278" i="13"/>
  <c r="L278" i="13" s="1"/>
  <c r="J277" i="13"/>
  <c r="I277" i="13"/>
  <c r="G277" i="13"/>
  <c r="F277" i="13"/>
  <c r="K277" i="13" s="1"/>
  <c r="E277" i="13"/>
  <c r="H277" i="13" s="1"/>
  <c r="B277" i="13"/>
  <c r="A277" i="13"/>
  <c r="J276" i="13"/>
  <c r="E276" i="13"/>
  <c r="C276" i="13"/>
  <c r="B276" i="13"/>
  <c r="A276" i="13"/>
  <c r="L276" i="13" s="1"/>
  <c r="I275" i="13"/>
  <c r="H275" i="13"/>
  <c r="G275" i="13"/>
  <c r="F275" i="13"/>
  <c r="K275" i="13" s="1"/>
  <c r="E275" i="13"/>
  <c r="A275" i="13"/>
  <c r="J275" i="13" s="1"/>
  <c r="L274" i="13"/>
  <c r="J274" i="13"/>
  <c r="E274" i="13"/>
  <c r="D274" i="13"/>
  <c r="C274" i="13"/>
  <c r="B274" i="13"/>
  <c r="A274" i="13"/>
  <c r="I273" i="13"/>
  <c r="H273" i="13"/>
  <c r="G273" i="13"/>
  <c r="F273" i="13"/>
  <c r="K273" i="13" s="1"/>
  <c r="E273" i="13"/>
  <c r="B273" i="13"/>
  <c r="A273" i="13"/>
  <c r="J273" i="13" s="1"/>
  <c r="L272" i="13"/>
  <c r="J272" i="13"/>
  <c r="E272" i="13"/>
  <c r="D272" i="13"/>
  <c r="C272" i="13"/>
  <c r="B272" i="13"/>
  <c r="A272" i="13"/>
  <c r="J271" i="13"/>
  <c r="I271" i="13"/>
  <c r="H271" i="13"/>
  <c r="G271" i="13"/>
  <c r="F271" i="13"/>
  <c r="K271" i="13" s="1"/>
  <c r="E271" i="13"/>
  <c r="B271" i="13"/>
  <c r="A271" i="13"/>
  <c r="L270" i="13"/>
  <c r="J270" i="13"/>
  <c r="F270" i="13"/>
  <c r="K270" i="13" s="1"/>
  <c r="E270" i="13"/>
  <c r="D270" i="13"/>
  <c r="C270" i="13"/>
  <c r="B270" i="13"/>
  <c r="A270" i="13"/>
  <c r="I269" i="13"/>
  <c r="H269" i="13"/>
  <c r="G269" i="13"/>
  <c r="F269" i="13"/>
  <c r="K269" i="13" s="1"/>
  <c r="E269" i="13"/>
  <c r="A269" i="13"/>
  <c r="L268" i="13"/>
  <c r="J268" i="13"/>
  <c r="E268" i="13"/>
  <c r="D268" i="13"/>
  <c r="C268" i="13"/>
  <c r="B268" i="13"/>
  <c r="A268" i="13"/>
  <c r="J267" i="13"/>
  <c r="I267" i="13"/>
  <c r="H267" i="13"/>
  <c r="G267" i="13"/>
  <c r="F267" i="13"/>
  <c r="K267" i="13" s="1"/>
  <c r="E267" i="13"/>
  <c r="B267" i="13"/>
  <c r="A267" i="13"/>
  <c r="L266" i="13"/>
  <c r="K266" i="13"/>
  <c r="J266" i="13"/>
  <c r="H266" i="13"/>
  <c r="F266" i="13"/>
  <c r="E266" i="13"/>
  <c r="D266" i="13"/>
  <c r="C266" i="13"/>
  <c r="B266" i="13"/>
  <c r="A266" i="13"/>
  <c r="I265" i="13"/>
  <c r="H265" i="13"/>
  <c r="G265" i="13"/>
  <c r="F265" i="13"/>
  <c r="K265" i="13" s="1"/>
  <c r="E265" i="13"/>
  <c r="D265" i="13"/>
  <c r="A265" i="13"/>
  <c r="C265" i="13" s="1"/>
  <c r="L264" i="13"/>
  <c r="J264" i="13"/>
  <c r="E264" i="13"/>
  <c r="D264" i="13"/>
  <c r="C264" i="13"/>
  <c r="B264" i="13"/>
  <c r="A264" i="13"/>
  <c r="L263" i="13"/>
  <c r="I263" i="13"/>
  <c r="H263" i="13"/>
  <c r="G263" i="13"/>
  <c r="F263" i="13"/>
  <c r="K263" i="13" s="1"/>
  <c r="E263" i="13"/>
  <c r="B263" i="13"/>
  <c r="A263" i="13"/>
  <c r="C263" i="13" s="1"/>
  <c r="L262" i="13"/>
  <c r="K262" i="13"/>
  <c r="J262" i="13"/>
  <c r="H262" i="13"/>
  <c r="F262" i="13"/>
  <c r="E262" i="13"/>
  <c r="D262" i="13"/>
  <c r="C262" i="13"/>
  <c r="B262" i="13"/>
  <c r="A262" i="13"/>
  <c r="I261" i="13"/>
  <c r="H261" i="13"/>
  <c r="G261" i="13"/>
  <c r="F261" i="13"/>
  <c r="K261" i="13" s="1"/>
  <c r="E261" i="13"/>
  <c r="D261" i="13"/>
  <c r="A261" i="13"/>
  <c r="C261" i="13" s="1"/>
  <c r="L260" i="13"/>
  <c r="J260" i="13"/>
  <c r="E260" i="13"/>
  <c r="D260" i="13"/>
  <c r="C260" i="13"/>
  <c r="B260" i="13"/>
  <c r="A260" i="13"/>
  <c r="L259" i="13"/>
  <c r="I259" i="13"/>
  <c r="H259" i="13"/>
  <c r="G259" i="13"/>
  <c r="F259" i="13"/>
  <c r="K259" i="13" s="1"/>
  <c r="E259" i="13"/>
  <c r="B259" i="13"/>
  <c r="A259" i="13"/>
  <c r="C259" i="13" s="1"/>
  <c r="L258" i="13"/>
  <c r="K258" i="13"/>
  <c r="J258" i="13"/>
  <c r="H258" i="13"/>
  <c r="F258" i="13"/>
  <c r="E258" i="13"/>
  <c r="D258" i="13"/>
  <c r="C258" i="13"/>
  <c r="B258" i="13"/>
  <c r="A258" i="13"/>
  <c r="I257" i="13"/>
  <c r="H257" i="13"/>
  <c r="G257" i="13"/>
  <c r="F257" i="13"/>
  <c r="K257" i="13" s="1"/>
  <c r="E257" i="13"/>
  <c r="D257" i="13"/>
  <c r="A257" i="13"/>
  <c r="C257" i="13" s="1"/>
  <c r="L256" i="13"/>
  <c r="J256" i="13"/>
  <c r="E256" i="13"/>
  <c r="D256" i="13"/>
  <c r="C256" i="13"/>
  <c r="B256" i="13"/>
  <c r="A256" i="13"/>
  <c r="L255" i="13"/>
  <c r="I255" i="13"/>
  <c r="H255" i="13"/>
  <c r="G255" i="13"/>
  <c r="F255" i="13"/>
  <c r="K255" i="13" s="1"/>
  <c r="E255" i="13"/>
  <c r="B255" i="13"/>
  <c r="A255" i="13"/>
  <c r="C255" i="13" s="1"/>
  <c r="L254" i="13"/>
  <c r="K254" i="13"/>
  <c r="J254" i="13"/>
  <c r="H254" i="13"/>
  <c r="F254" i="13"/>
  <c r="E254" i="13"/>
  <c r="D254" i="13"/>
  <c r="C254" i="13"/>
  <c r="B254" i="13"/>
  <c r="A254" i="13"/>
  <c r="I253" i="13"/>
  <c r="H253" i="13"/>
  <c r="G253" i="13"/>
  <c r="F253" i="13"/>
  <c r="K253" i="13" s="1"/>
  <c r="E253" i="13"/>
  <c r="D253" i="13"/>
  <c r="A253" i="13"/>
  <c r="C253" i="13" s="1"/>
  <c r="L252" i="13"/>
  <c r="J252" i="13"/>
  <c r="E252" i="13"/>
  <c r="D252" i="13"/>
  <c r="C252" i="13"/>
  <c r="B252" i="13"/>
  <c r="A252" i="13"/>
  <c r="L251" i="13"/>
  <c r="I251" i="13"/>
  <c r="H251" i="13"/>
  <c r="G251" i="13"/>
  <c r="F251" i="13"/>
  <c r="K251" i="13" s="1"/>
  <c r="E251" i="13"/>
  <c r="B251" i="13"/>
  <c r="A251" i="13"/>
  <c r="C251" i="13" s="1"/>
  <c r="L250" i="13"/>
  <c r="K250" i="13"/>
  <c r="J250" i="13"/>
  <c r="H250" i="13"/>
  <c r="F250" i="13"/>
  <c r="E250" i="13"/>
  <c r="D250" i="13"/>
  <c r="C250" i="13"/>
  <c r="B250" i="13"/>
  <c r="A250" i="13"/>
  <c r="I249" i="13"/>
  <c r="H249" i="13"/>
  <c r="G249" i="13"/>
  <c r="F249" i="13"/>
  <c r="K249" i="13" s="1"/>
  <c r="E249" i="13"/>
  <c r="D249" i="13"/>
  <c r="A249" i="13"/>
  <c r="C249" i="13" s="1"/>
  <c r="L248" i="13"/>
  <c r="J248" i="13"/>
  <c r="E248" i="13"/>
  <c r="D248" i="13"/>
  <c r="C248" i="13"/>
  <c r="B248" i="13"/>
  <c r="A248" i="13"/>
  <c r="L247" i="13"/>
  <c r="I247" i="13"/>
  <c r="H247" i="13"/>
  <c r="G247" i="13"/>
  <c r="F247" i="13"/>
  <c r="K247" i="13" s="1"/>
  <c r="E247" i="13"/>
  <c r="B247" i="13"/>
  <c r="A247" i="13"/>
  <c r="C247" i="13" s="1"/>
  <c r="L246" i="13"/>
  <c r="K246" i="13"/>
  <c r="J246" i="13"/>
  <c r="H246" i="13"/>
  <c r="F246" i="13"/>
  <c r="E246" i="13"/>
  <c r="D246" i="13"/>
  <c r="C246" i="13"/>
  <c r="B246" i="13"/>
  <c r="A246" i="13"/>
  <c r="I245" i="13"/>
  <c r="H245" i="13"/>
  <c r="G245" i="13"/>
  <c r="F245" i="13"/>
  <c r="K245" i="13" s="1"/>
  <c r="E245" i="13"/>
  <c r="D245" i="13"/>
  <c r="A245" i="13"/>
  <c r="C245" i="13" s="1"/>
  <c r="L244" i="13"/>
  <c r="J244" i="13"/>
  <c r="E244" i="13"/>
  <c r="D244" i="13"/>
  <c r="C244" i="13"/>
  <c r="B244" i="13"/>
  <c r="A244" i="13"/>
  <c r="L243" i="13"/>
  <c r="I243" i="13"/>
  <c r="H243" i="13"/>
  <c r="G243" i="13"/>
  <c r="F243" i="13"/>
  <c r="K243" i="13" s="1"/>
  <c r="E243" i="13"/>
  <c r="B243" i="13"/>
  <c r="A243" i="13"/>
  <c r="C243" i="13" s="1"/>
  <c r="L242" i="13"/>
  <c r="K242" i="13"/>
  <c r="J242" i="13"/>
  <c r="H242" i="13"/>
  <c r="F242" i="13"/>
  <c r="E242" i="13"/>
  <c r="D242" i="13"/>
  <c r="C242" i="13"/>
  <c r="B242" i="13"/>
  <c r="A242" i="13"/>
  <c r="J241" i="13"/>
  <c r="I241" i="13"/>
  <c r="H241" i="13"/>
  <c r="G241" i="13"/>
  <c r="F241" i="13"/>
  <c r="K241" i="13" s="1"/>
  <c r="E241" i="13"/>
  <c r="A241" i="13"/>
  <c r="L240" i="13"/>
  <c r="J240" i="13"/>
  <c r="E240" i="13"/>
  <c r="D240" i="13"/>
  <c r="C240" i="13"/>
  <c r="B240" i="13"/>
  <c r="A240" i="13"/>
  <c r="L239" i="13"/>
  <c r="I239" i="13"/>
  <c r="H239" i="13"/>
  <c r="G239" i="13"/>
  <c r="F239" i="13"/>
  <c r="K239" i="13" s="1"/>
  <c r="E239" i="13"/>
  <c r="B239" i="13"/>
  <c r="A239" i="13"/>
  <c r="C239" i="13" s="1"/>
  <c r="L238" i="13"/>
  <c r="K238" i="13"/>
  <c r="J238" i="13"/>
  <c r="H238" i="13"/>
  <c r="F238" i="13"/>
  <c r="E238" i="13"/>
  <c r="D238" i="13"/>
  <c r="C238" i="13"/>
  <c r="B238" i="13"/>
  <c r="A238" i="13"/>
  <c r="I237" i="13"/>
  <c r="H237" i="13"/>
  <c r="G237" i="13"/>
  <c r="F237" i="13"/>
  <c r="K237" i="13" s="1"/>
  <c r="E237" i="13"/>
  <c r="A237" i="13"/>
  <c r="J237" i="13" s="1"/>
  <c r="L236" i="13"/>
  <c r="J236" i="13"/>
  <c r="E236" i="13"/>
  <c r="D236" i="13"/>
  <c r="C236" i="13"/>
  <c r="B236" i="13"/>
  <c r="A236" i="13"/>
  <c r="L235" i="13"/>
  <c r="I235" i="13"/>
  <c r="H235" i="13"/>
  <c r="G235" i="13"/>
  <c r="F235" i="13"/>
  <c r="K235" i="13" s="1"/>
  <c r="E235" i="13"/>
  <c r="B235" i="13"/>
  <c r="A235" i="13"/>
  <c r="C235" i="13" s="1"/>
  <c r="L234" i="13"/>
  <c r="K234" i="13"/>
  <c r="J234" i="13"/>
  <c r="H234" i="13"/>
  <c r="F234" i="13"/>
  <c r="E234" i="13"/>
  <c r="D234" i="13"/>
  <c r="C234" i="13"/>
  <c r="B234" i="13"/>
  <c r="A234" i="13"/>
  <c r="I233" i="13"/>
  <c r="H233" i="13"/>
  <c r="G233" i="13"/>
  <c r="F233" i="13"/>
  <c r="K233" i="13" s="1"/>
  <c r="E233" i="13"/>
  <c r="D233" i="13"/>
  <c r="A233" i="13"/>
  <c r="L232" i="13"/>
  <c r="J232" i="13"/>
  <c r="E232" i="13"/>
  <c r="D232" i="13"/>
  <c r="C232" i="13"/>
  <c r="B232" i="13"/>
  <c r="A232" i="13"/>
  <c r="L231" i="13"/>
  <c r="I231" i="13"/>
  <c r="H231" i="13"/>
  <c r="G231" i="13"/>
  <c r="F231" i="13"/>
  <c r="K231" i="13" s="1"/>
  <c r="E231" i="13"/>
  <c r="B231" i="13"/>
  <c r="A231" i="13"/>
  <c r="C231" i="13" s="1"/>
  <c r="L230" i="13"/>
  <c r="K230" i="13"/>
  <c r="J230" i="13"/>
  <c r="H230" i="13"/>
  <c r="F230" i="13"/>
  <c r="E230" i="13"/>
  <c r="D230" i="13"/>
  <c r="C230" i="13"/>
  <c r="B230" i="13"/>
  <c r="A230" i="13"/>
  <c r="J229" i="13"/>
  <c r="I229" i="13"/>
  <c r="H229" i="13"/>
  <c r="G229" i="13"/>
  <c r="F229" i="13"/>
  <c r="K229" i="13" s="1"/>
  <c r="E229" i="13"/>
  <c r="D229" i="13"/>
  <c r="A229" i="13"/>
  <c r="L228" i="13"/>
  <c r="J228" i="13"/>
  <c r="H228" i="13"/>
  <c r="E228" i="13"/>
  <c r="D228" i="13"/>
  <c r="C228" i="13"/>
  <c r="B228" i="13"/>
  <c r="A228" i="13"/>
  <c r="I227" i="13"/>
  <c r="H227" i="13"/>
  <c r="G227" i="13"/>
  <c r="F227" i="13"/>
  <c r="K227" i="13" s="1"/>
  <c r="E227" i="13"/>
  <c r="A227" i="13"/>
  <c r="L227" i="13" s="1"/>
  <c r="L226" i="13"/>
  <c r="K226" i="13"/>
  <c r="J226" i="13"/>
  <c r="H226" i="13"/>
  <c r="F226" i="13"/>
  <c r="E226" i="13"/>
  <c r="D226" i="13"/>
  <c r="C226" i="13"/>
  <c r="B226" i="13"/>
  <c r="A226" i="13"/>
  <c r="I225" i="13"/>
  <c r="H225" i="13"/>
  <c r="G225" i="13"/>
  <c r="F225" i="13"/>
  <c r="K225" i="13" s="1"/>
  <c r="E225" i="13"/>
  <c r="D225" i="13"/>
  <c r="A225" i="13"/>
  <c r="J225" i="13" s="1"/>
  <c r="L224" i="13"/>
  <c r="J224" i="13"/>
  <c r="E224" i="13"/>
  <c r="D224" i="13"/>
  <c r="C224" i="13"/>
  <c r="B224" i="13"/>
  <c r="A224" i="13"/>
  <c r="I223" i="13"/>
  <c r="H223" i="13"/>
  <c r="G223" i="13"/>
  <c r="F223" i="13"/>
  <c r="K223" i="13" s="1"/>
  <c r="E223" i="13"/>
  <c r="B223" i="13"/>
  <c r="A223" i="13"/>
  <c r="J223" i="13" s="1"/>
  <c r="L222" i="13"/>
  <c r="K222" i="13"/>
  <c r="J222" i="13"/>
  <c r="H222" i="13"/>
  <c r="F222" i="13"/>
  <c r="E222" i="13"/>
  <c r="D222" i="13"/>
  <c r="C222" i="13"/>
  <c r="B222" i="13"/>
  <c r="A222" i="13"/>
  <c r="I221" i="13"/>
  <c r="H221" i="13"/>
  <c r="G221" i="13"/>
  <c r="F221" i="13"/>
  <c r="K221" i="13" s="1"/>
  <c r="E221" i="13"/>
  <c r="A221" i="13"/>
  <c r="J221" i="13" s="1"/>
  <c r="L220" i="13"/>
  <c r="J220" i="13"/>
  <c r="E220" i="13"/>
  <c r="D220" i="13"/>
  <c r="C220" i="13"/>
  <c r="B220" i="13"/>
  <c r="A220" i="13"/>
  <c r="L219" i="13"/>
  <c r="I219" i="13"/>
  <c r="H219" i="13"/>
  <c r="G219" i="13"/>
  <c r="F219" i="13"/>
  <c r="K219" i="13" s="1"/>
  <c r="E219" i="13"/>
  <c r="B219" i="13"/>
  <c r="A219" i="13"/>
  <c r="L218" i="13"/>
  <c r="K218" i="13"/>
  <c r="J218" i="13"/>
  <c r="H218" i="13"/>
  <c r="F218" i="13"/>
  <c r="E218" i="13"/>
  <c r="D218" i="13"/>
  <c r="C218" i="13"/>
  <c r="B218" i="13"/>
  <c r="A218" i="13"/>
  <c r="I217" i="13"/>
  <c r="H217" i="13"/>
  <c r="G217" i="13"/>
  <c r="F217" i="13"/>
  <c r="K217" i="13" s="1"/>
  <c r="E217" i="13"/>
  <c r="A217" i="13"/>
  <c r="J217" i="13" s="1"/>
  <c r="L216" i="13"/>
  <c r="J216" i="13"/>
  <c r="H216" i="13"/>
  <c r="E216" i="13"/>
  <c r="D216" i="13"/>
  <c r="C216" i="13"/>
  <c r="B216" i="13"/>
  <c r="A216" i="13"/>
  <c r="I215" i="13"/>
  <c r="H215" i="13"/>
  <c r="G215" i="13"/>
  <c r="F215" i="13"/>
  <c r="K215" i="13" s="1"/>
  <c r="E215" i="13"/>
  <c r="A215" i="13"/>
  <c r="L215" i="13" s="1"/>
  <c r="L214" i="13"/>
  <c r="J214" i="13"/>
  <c r="H214" i="13"/>
  <c r="F214" i="13"/>
  <c r="K214" i="13" s="1"/>
  <c r="E214" i="13"/>
  <c r="D214" i="13"/>
  <c r="C214" i="13"/>
  <c r="B214" i="13"/>
  <c r="A214" i="13"/>
  <c r="I213" i="13"/>
  <c r="H213" i="13"/>
  <c r="G213" i="13"/>
  <c r="F213" i="13"/>
  <c r="K213" i="13" s="1"/>
  <c r="E213" i="13"/>
  <c r="D213" i="13"/>
  <c r="A213" i="13"/>
  <c r="J213" i="13" s="1"/>
  <c r="L212" i="13"/>
  <c r="J212" i="13"/>
  <c r="H212" i="13"/>
  <c r="E212" i="13"/>
  <c r="D212" i="13"/>
  <c r="C212" i="13"/>
  <c r="B212" i="13"/>
  <c r="A212" i="13"/>
  <c r="J211" i="13"/>
  <c r="I211" i="13"/>
  <c r="H211" i="13"/>
  <c r="G211" i="13"/>
  <c r="F211" i="13"/>
  <c r="K211" i="13" s="1"/>
  <c r="E211" i="13"/>
  <c r="A211" i="13"/>
  <c r="L210" i="13"/>
  <c r="J210" i="13"/>
  <c r="H210" i="13"/>
  <c r="F210" i="13"/>
  <c r="K210" i="13" s="1"/>
  <c r="E210" i="13"/>
  <c r="D210" i="13"/>
  <c r="C210" i="13"/>
  <c r="B210" i="13"/>
  <c r="A210" i="13"/>
  <c r="I209" i="13"/>
  <c r="H209" i="13"/>
  <c r="G209" i="13"/>
  <c r="F209" i="13"/>
  <c r="K209" i="13" s="1"/>
  <c r="E209" i="13"/>
  <c r="A209" i="13"/>
  <c r="J208" i="13"/>
  <c r="I208" i="13"/>
  <c r="H208" i="13"/>
  <c r="G208" i="13"/>
  <c r="E208" i="13"/>
  <c r="F208" i="13" s="1"/>
  <c r="K208" i="13" s="1"/>
  <c r="D208" i="13"/>
  <c r="B208" i="13"/>
  <c r="A208" i="13"/>
  <c r="C208" i="13" s="1"/>
  <c r="E207" i="13"/>
  <c r="D207" i="13"/>
  <c r="A207" i="13"/>
  <c r="L207" i="13" s="1"/>
  <c r="L206" i="13"/>
  <c r="E206" i="13"/>
  <c r="B206" i="13"/>
  <c r="A206" i="13"/>
  <c r="H205" i="13"/>
  <c r="F205" i="13"/>
  <c r="K205" i="13" s="1"/>
  <c r="E205" i="13"/>
  <c r="G205" i="13" s="1"/>
  <c r="D205" i="13"/>
  <c r="C205" i="13"/>
  <c r="A205" i="13"/>
  <c r="E204" i="13"/>
  <c r="D204" i="13"/>
  <c r="B204" i="13"/>
  <c r="A204" i="13"/>
  <c r="C204" i="13" s="1"/>
  <c r="K203" i="13"/>
  <c r="I203" i="13"/>
  <c r="F203" i="13"/>
  <c r="E203" i="13"/>
  <c r="D203" i="13"/>
  <c r="C203" i="13"/>
  <c r="A203" i="13"/>
  <c r="H202" i="13"/>
  <c r="G202" i="13"/>
  <c r="E202" i="13"/>
  <c r="F202" i="13" s="1"/>
  <c r="K202" i="13" s="1"/>
  <c r="A202" i="13"/>
  <c r="L201" i="13"/>
  <c r="I201" i="13"/>
  <c r="H201" i="13"/>
  <c r="F201" i="13"/>
  <c r="K201" i="13" s="1"/>
  <c r="E201" i="13"/>
  <c r="G201" i="13" s="1"/>
  <c r="C201" i="13"/>
  <c r="A201" i="13"/>
  <c r="J200" i="13"/>
  <c r="I200" i="13"/>
  <c r="H200" i="13"/>
  <c r="G200" i="13"/>
  <c r="E200" i="13"/>
  <c r="F200" i="13" s="1"/>
  <c r="K200" i="13" s="1"/>
  <c r="D200" i="13"/>
  <c r="B200" i="13"/>
  <c r="A200" i="13"/>
  <c r="C200" i="13" s="1"/>
  <c r="L199" i="13"/>
  <c r="E199" i="13"/>
  <c r="D199" i="13"/>
  <c r="A199" i="13"/>
  <c r="G198" i="13"/>
  <c r="E198" i="13"/>
  <c r="A198" i="13"/>
  <c r="H197" i="13"/>
  <c r="F197" i="13"/>
  <c r="K197" i="13" s="1"/>
  <c r="E197" i="13"/>
  <c r="G197" i="13" s="1"/>
  <c r="D197" i="13"/>
  <c r="C197" i="13"/>
  <c r="A197" i="13"/>
  <c r="I196" i="13"/>
  <c r="H196" i="13"/>
  <c r="E196" i="13"/>
  <c r="D196" i="13"/>
  <c r="B196" i="13"/>
  <c r="A196" i="13"/>
  <c r="C196" i="13" s="1"/>
  <c r="E195" i="13"/>
  <c r="D195" i="13"/>
  <c r="C195" i="13"/>
  <c r="A195" i="13"/>
  <c r="H194" i="13"/>
  <c r="G194" i="13"/>
  <c r="E194" i="13"/>
  <c r="F194" i="13" s="1"/>
  <c r="K194" i="13" s="1"/>
  <c r="A194" i="13"/>
  <c r="L194" i="13" s="1"/>
  <c r="I193" i="13"/>
  <c r="H193" i="13"/>
  <c r="F193" i="13"/>
  <c r="K193" i="13" s="1"/>
  <c r="E193" i="13"/>
  <c r="G193" i="13" s="1"/>
  <c r="A193" i="13"/>
  <c r="J192" i="13"/>
  <c r="I192" i="13"/>
  <c r="H192" i="13"/>
  <c r="G192" i="13"/>
  <c r="E192" i="13"/>
  <c r="F192" i="13" s="1"/>
  <c r="K192" i="13" s="1"/>
  <c r="D192" i="13"/>
  <c r="B192" i="13"/>
  <c r="A192" i="13"/>
  <c r="C192" i="13" s="1"/>
  <c r="L191" i="13"/>
  <c r="E191" i="13"/>
  <c r="D191" i="13"/>
  <c r="A191" i="13"/>
  <c r="L190" i="13"/>
  <c r="J190" i="13"/>
  <c r="G190" i="13"/>
  <c r="E190" i="13"/>
  <c r="A190" i="13"/>
  <c r="H189" i="13"/>
  <c r="F189" i="13"/>
  <c r="K189" i="13" s="1"/>
  <c r="E189" i="13"/>
  <c r="G189" i="13" s="1"/>
  <c r="D189" i="13"/>
  <c r="C189" i="13"/>
  <c r="A189" i="13"/>
  <c r="L189" i="13" s="1"/>
  <c r="I188" i="13"/>
  <c r="H188" i="13"/>
  <c r="E188" i="13"/>
  <c r="D188" i="13"/>
  <c r="B188" i="13"/>
  <c r="A188" i="13"/>
  <c r="C188" i="13" s="1"/>
  <c r="K187" i="13"/>
  <c r="F187" i="13"/>
  <c r="E187" i="13"/>
  <c r="D187" i="13"/>
  <c r="C187" i="13"/>
  <c r="A187" i="13"/>
  <c r="L186" i="13"/>
  <c r="J186" i="13"/>
  <c r="G186" i="13"/>
  <c r="E186" i="13"/>
  <c r="A186" i="13"/>
  <c r="L185" i="13"/>
  <c r="I185" i="13"/>
  <c r="H185" i="13"/>
  <c r="F185" i="13"/>
  <c r="K185" i="13" s="1"/>
  <c r="E185" i="13"/>
  <c r="G185" i="13" s="1"/>
  <c r="C185" i="13"/>
  <c r="A185" i="13"/>
  <c r="J184" i="13"/>
  <c r="I184" i="13"/>
  <c r="H184" i="13"/>
  <c r="G184" i="13"/>
  <c r="E184" i="13"/>
  <c r="F184" i="13" s="1"/>
  <c r="K184" i="13" s="1"/>
  <c r="D184" i="13"/>
  <c r="B184" i="13"/>
  <c r="A184" i="13"/>
  <c r="C184" i="13" s="1"/>
  <c r="I183" i="13"/>
  <c r="E183" i="13"/>
  <c r="D183" i="13"/>
  <c r="A183" i="13"/>
  <c r="L183" i="13" s="1"/>
  <c r="L182" i="13"/>
  <c r="K182" i="13"/>
  <c r="H182" i="13"/>
  <c r="G182" i="13"/>
  <c r="E182" i="13"/>
  <c r="F182" i="13" s="1"/>
  <c r="D182" i="13"/>
  <c r="C182" i="13"/>
  <c r="B182" i="13"/>
  <c r="A182" i="13"/>
  <c r="J182" i="13" s="1"/>
  <c r="J181" i="13"/>
  <c r="I181" i="13"/>
  <c r="H181" i="13"/>
  <c r="G181" i="13"/>
  <c r="F181" i="13"/>
  <c r="K181" i="13" s="1"/>
  <c r="E181" i="13"/>
  <c r="C181" i="13"/>
  <c r="B181" i="13"/>
  <c r="A181" i="13"/>
  <c r="L181" i="13" s="1"/>
  <c r="L180" i="13"/>
  <c r="K180" i="13"/>
  <c r="J180" i="13"/>
  <c r="G180" i="13"/>
  <c r="F180" i="13"/>
  <c r="E180" i="13"/>
  <c r="I180" i="13" s="1"/>
  <c r="D180" i="13"/>
  <c r="C180" i="13"/>
  <c r="B180" i="13"/>
  <c r="A180" i="13"/>
  <c r="K179" i="13"/>
  <c r="J179" i="13"/>
  <c r="I179" i="13"/>
  <c r="H179" i="13"/>
  <c r="G179" i="13"/>
  <c r="F179" i="13"/>
  <c r="E179" i="13"/>
  <c r="C179" i="13"/>
  <c r="B179" i="13"/>
  <c r="A179" i="13"/>
  <c r="L179" i="13" s="1"/>
  <c r="L178" i="13"/>
  <c r="J178" i="13"/>
  <c r="G178" i="13"/>
  <c r="F178" i="13"/>
  <c r="K178" i="13" s="1"/>
  <c r="E178" i="13"/>
  <c r="I178" i="13" s="1"/>
  <c r="D178" i="13"/>
  <c r="C178" i="13"/>
  <c r="B178" i="13"/>
  <c r="A178" i="13"/>
  <c r="J177" i="13"/>
  <c r="I177" i="13"/>
  <c r="H177" i="13"/>
  <c r="G177" i="13"/>
  <c r="F177" i="13"/>
  <c r="K177" i="13" s="1"/>
  <c r="E177" i="13"/>
  <c r="C177" i="13"/>
  <c r="B177" i="13"/>
  <c r="A177" i="13"/>
  <c r="L177" i="13" s="1"/>
  <c r="L176" i="13"/>
  <c r="K176" i="13"/>
  <c r="J176" i="13"/>
  <c r="G176" i="13"/>
  <c r="F176" i="13"/>
  <c r="E176" i="13"/>
  <c r="I176" i="13" s="1"/>
  <c r="D176" i="13"/>
  <c r="C176" i="13"/>
  <c r="B176" i="13"/>
  <c r="A176" i="13"/>
  <c r="K175" i="13"/>
  <c r="J175" i="13"/>
  <c r="I175" i="13"/>
  <c r="H175" i="13"/>
  <c r="G175" i="13"/>
  <c r="F175" i="13"/>
  <c r="E175" i="13"/>
  <c r="C175" i="13"/>
  <c r="B175" i="13"/>
  <c r="A175" i="13"/>
  <c r="L175" i="13" s="1"/>
  <c r="L174" i="13"/>
  <c r="J174" i="13"/>
  <c r="G174" i="13"/>
  <c r="F174" i="13"/>
  <c r="K174" i="13" s="1"/>
  <c r="E174" i="13"/>
  <c r="I174" i="13" s="1"/>
  <c r="D174" i="13"/>
  <c r="C174" i="13"/>
  <c r="B174" i="13"/>
  <c r="A174" i="13"/>
  <c r="J173" i="13"/>
  <c r="I173" i="13"/>
  <c r="H173" i="13"/>
  <c r="G173" i="13"/>
  <c r="F173" i="13"/>
  <c r="K173" i="13" s="1"/>
  <c r="E173" i="13"/>
  <c r="C173" i="13"/>
  <c r="B173" i="13"/>
  <c r="A173" i="13"/>
  <c r="L173" i="13" s="1"/>
  <c r="L172" i="13"/>
  <c r="K172" i="13"/>
  <c r="J172" i="13"/>
  <c r="G172" i="13"/>
  <c r="F172" i="13"/>
  <c r="E172" i="13"/>
  <c r="I172" i="13" s="1"/>
  <c r="D172" i="13"/>
  <c r="C172" i="13"/>
  <c r="B172" i="13"/>
  <c r="A172" i="13"/>
  <c r="K171" i="13"/>
  <c r="J171" i="13"/>
  <c r="I171" i="13"/>
  <c r="H171" i="13"/>
  <c r="G171" i="13"/>
  <c r="F171" i="13"/>
  <c r="E171" i="13"/>
  <c r="C171" i="13"/>
  <c r="B171" i="13"/>
  <c r="A171" i="13"/>
  <c r="L171" i="13" s="1"/>
  <c r="L170" i="13"/>
  <c r="J170" i="13"/>
  <c r="G170" i="13"/>
  <c r="F170" i="13"/>
  <c r="K170" i="13" s="1"/>
  <c r="E170" i="13"/>
  <c r="I170" i="13" s="1"/>
  <c r="D170" i="13"/>
  <c r="C170" i="13"/>
  <c r="B170" i="13"/>
  <c r="A170" i="13"/>
  <c r="J169" i="13"/>
  <c r="I169" i="13"/>
  <c r="H169" i="13"/>
  <c r="G169" i="13"/>
  <c r="F169" i="13"/>
  <c r="K169" i="13" s="1"/>
  <c r="E169" i="13"/>
  <c r="C169" i="13"/>
  <c r="B169" i="13"/>
  <c r="A169" i="13"/>
  <c r="L169" i="13" s="1"/>
  <c r="L168" i="13"/>
  <c r="K168" i="13"/>
  <c r="J168" i="13"/>
  <c r="G168" i="13"/>
  <c r="F168" i="13"/>
  <c r="E168" i="13"/>
  <c r="I168" i="13" s="1"/>
  <c r="D168" i="13"/>
  <c r="C168" i="13"/>
  <c r="B168" i="13"/>
  <c r="A168" i="13"/>
  <c r="K167" i="13"/>
  <c r="J167" i="13"/>
  <c r="I167" i="13"/>
  <c r="H167" i="13"/>
  <c r="G167" i="13"/>
  <c r="F167" i="13"/>
  <c r="E167" i="13"/>
  <c r="C167" i="13"/>
  <c r="B167" i="13"/>
  <c r="A167" i="13"/>
  <c r="L167" i="13" s="1"/>
  <c r="L166" i="13"/>
  <c r="J166" i="13"/>
  <c r="G166" i="13"/>
  <c r="F166" i="13"/>
  <c r="K166" i="13" s="1"/>
  <c r="E166" i="13"/>
  <c r="I166" i="13" s="1"/>
  <c r="D166" i="13"/>
  <c r="C166" i="13"/>
  <c r="B166" i="13"/>
  <c r="A166" i="13"/>
  <c r="J165" i="13"/>
  <c r="I165" i="13"/>
  <c r="H165" i="13"/>
  <c r="G165" i="13"/>
  <c r="F165" i="13"/>
  <c r="K165" i="13" s="1"/>
  <c r="E165" i="13"/>
  <c r="C165" i="13"/>
  <c r="B165" i="13"/>
  <c r="A165" i="13"/>
  <c r="L165" i="13" s="1"/>
  <c r="L164" i="13"/>
  <c r="K164" i="13"/>
  <c r="J164" i="13"/>
  <c r="G164" i="13"/>
  <c r="F164" i="13"/>
  <c r="E164" i="13"/>
  <c r="I164" i="13" s="1"/>
  <c r="D164" i="13"/>
  <c r="C164" i="13"/>
  <c r="B164" i="13"/>
  <c r="A164" i="13"/>
  <c r="K163" i="13"/>
  <c r="I163" i="13"/>
  <c r="H163" i="13"/>
  <c r="G163" i="13"/>
  <c r="F163" i="13"/>
  <c r="E163" i="13"/>
  <c r="C163" i="13"/>
  <c r="B163" i="13"/>
  <c r="A163" i="13"/>
  <c r="L162" i="13"/>
  <c r="J162" i="13"/>
  <c r="E162" i="13"/>
  <c r="D162" i="13"/>
  <c r="C162" i="13"/>
  <c r="B162" i="13"/>
  <c r="A162" i="13"/>
  <c r="I161" i="13"/>
  <c r="H161" i="13"/>
  <c r="G161" i="13"/>
  <c r="F161" i="13"/>
  <c r="K161" i="13" s="1"/>
  <c r="E161" i="13"/>
  <c r="C161" i="13"/>
  <c r="B161" i="13"/>
  <c r="A161" i="13"/>
  <c r="L160" i="13"/>
  <c r="J160" i="13"/>
  <c r="G160" i="13"/>
  <c r="E160" i="13"/>
  <c r="D160" i="13"/>
  <c r="C160" i="13"/>
  <c r="B160" i="13"/>
  <c r="A160" i="13"/>
  <c r="K159" i="13"/>
  <c r="I159" i="13"/>
  <c r="H159" i="13"/>
  <c r="G159" i="13"/>
  <c r="F159" i="13"/>
  <c r="E159" i="13"/>
  <c r="C159" i="13"/>
  <c r="B159" i="13"/>
  <c r="A159" i="13"/>
  <c r="L158" i="13"/>
  <c r="J158" i="13"/>
  <c r="E158" i="13"/>
  <c r="D158" i="13"/>
  <c r="C158" i="13"/>
  <c r="B158" i="13"/>
  <c r="A158" i="13"/>
  <c r="I157" i="13"/>
  <c r="H157" i="13"/>
  <c r="G157" i="13"/>
  <c r="F157" i="13"/>
  <c r="K157" i="13" s="1"/>
  <c r="E157" i="13"/>
  <c r="C157" i="13"/>
  <c r="B157" i="13"/>
  <c r="A157" i="13"/>
  <c r="L156" i="13"/>
  <c r="J156" i="13"/>
  <c r="G156" i="13"/>
  <c r="E156" i="13"/>
  <c r="D156" i="13"/>
  <c r="C156" i="13"/>
  <c r="B156" i="13"/>
  <c r="A156" i="13"/>
  <c r="K155" i="13"/>
  <c r="I155" i="13"/>
  <c r="H155" i="13"/>
  <c r="G155" i="13"/>
  <c r="F155" i="13"/>
  <c r="E155" i="13"/>
  <c r="C155" i="13"/>
  <c r="B155" i="13"/>
  <c r="A155" i="13"/>
  <c r="L154" i="13"/>
  <c r="J154" i="13"/>
  <c r="E154" i="13"/>
  <c r="D154" i="13"/>
  <c r="C154" i="13"/>
  <c r="B154" i="13"/>
  <c r="A154" i="13"/>
  <c r="I153" i="13"/>
  <c r="H153" i="13"/>
  <c r="G153" i="13"/>
  <c r="F153" i="13"/>
  <c r="K153" i="13" s="1"/>
  <c r="E153" i="13"/>
  <c r="C153" i="13"/>
  <c r="B153" i="13"/>
  <c r="A153" i="13"/>
  <c r="L152" i="13"/>
  <c r="J152" i="13"/>
  <c r="G152" i="13"/>
  <c r="E152" i="13"/>
  <c r="D152" i="13"/>
  <c r="C152" i="13"/>
  <c r="B152" i="13"/>
  <c r="A152" i="13"/>
  <c r="K151" i="13"/>
  <c r="I151" i="13"/>
  <c r="H151" i="13"/>
  <c r="G151" i="13"/>
  <c r="F151" i="13"/>
  <c r="E151" i="13"/>
  <c r="C151" i="13"/>
  <c r="B151" i="13"/>
  <c r="A151" i="13"/>
  <c r="L150" i="13"/>
  <c r="J150" i="13"/>
  <c r="E150" i="13"/>
  <c r="D150" i="13"/>
  <c r="C150" i="13"/>
  <c r="B150" i="13"/>
  <c r="A150" i="13"/>
  <c r="I149" i="13"/>
  <c r="H149" i="13"/>
  <c r="G149" i="13"/>
  <c r="F149" i="13"/>
  <c r="K149" i="13" s="1"/>
  <c r="E149" i="13"/>
  <c r="C149" i="13"/>
  <c r="B149" i="13"/>
  <c r="A149" i="13"/>
  <c r="L148" i="13"/>
  <c r="J148" i="13"/>
  <c r="G148" i="13"/>
  <c r="E148" i="13"/>
  <c r="D148" i="13"/>
  <c r="C148" i="13"/>
  <c r="B148" i="13"/>
  <c r="A148" i="13"/>
  <c r="K147" i="13"/>
  <c r="I147" i="13"/>
  <c r="H147" i="13"/>
  <c r="G147" i="13"/>
  <c r="F147" i="13"/>
  <c r="E147" i="13"/>
  <c r="C147" i="13"/>
  <c r="B147" i="13"/>
  <c r="A147" i="13"/>
  <c r="L146" i="13"/>
  <c r="J146" i="13"/>
  <c r="E146" i="13"/>
  <c r="D146" i="13"/>
  <c r="C146" i="13"/>
  <c r="B146" i="13"/>
  <c r="A146" i="13"/>
  <c r="I145" i="13"/>
  <c r="H145" i="13"/>
  <c r="G145" i="13"/>
  <c r="F145" i="13"/>
  <c r="K145" i="13" s="1"/>
  <c r="E145" i="13"/>
  <c r="C145" i="13"/>
  <c r="B145" i="13"/>
  <c r="A145" i="13"/>
  <c r="L144" i="13"/>
  <c r="J144" i="13"/>
  <c r="G144" i="13"/>
  <c r="E144" i="13"/>
  <c r="D144" i="13"/>
  <c r="C144" i="13"/>
  <c r="B144" i="13"/>
  <c r="A144" i="13"/>
  <c r="K143" i="13"/>
  <c r="I143" i="13"/>
  <c r="H143" i="13"/>
  <c r="G143" i="13"/>
  <c r="F143" i="13"/>
  <c r="E143" i="13"/>
  <c r="C143" i="13"/>
  <c r="B143" i="13"/>
  <c r="A143" i="13"/>
  <c r="L142" i="13"/>
  <c r="J142" i="13"/>
  <c r="E142" i="13"/>
  <c r="D142" i="13"/>
  <c r="C142" i="13"/>
  <c r="B142" i="13"/>
  <c r="A142" i="13"/>
  <c r="I141" i="13"/>
  <c r="H141" i="13"/>
  <c r="G141" i="13"/>
  <c r="F141" i="13"/>
  <c r="K141" i="13" s="1"/>
  <c r="E141" i="13"/>
  <c r="C141" i="13"/>
  <c r="B141" i="13"/>
  <c r="A141" i="13"/>
  <c r="L140" i="13"/>
  <c r="J140" i="13"/>
  <c r="G140" i="13"/>
  <c r="E140" i="13"/>
  <c r="D140" i="13"/>
  <c r="C140" i="13"/>
  <c r="B140" i="13"/>
  <c r="A140" i="13"/>
  <c r="K139" i="13"/>
  <c r="I139" i="13"/>
  <c r="H139" i="13"/>
  <c r="G139" i="13"/>
  <c r="F139" i="13"/>
  <c r="E139" i="13"/>
  <c r="C139" i="13"/>
  <c r="B139" i="13"/>
  <c r="A139" i="13"/>
  <c r="L138" i="13"/>
  <c r="J138" i="13"/>
  <c r="E138" i="13"/>
  <c r="D138" i="13"/>
  <c r="C138" i="13"/>
  <c r="B138" i="13"/>
  <c r="A138" i="13"/>
  <c r="I137" i="13"/>
  <c r="H137" i="13"/>
  <c r="G137" i="13"/>
  <c r="F137" i="13"/>
  <c r="K137" i="13" s="1"/>
  <c r="E137" i="13"/>
  <c r="C137" i="13"/>
  <c r="B137" i="13"/>
  <c r="A137" i="13"/>
  <c r="L136" i="13"/>
  <c r="J136" i="13"/>
  <c r="G136" i="13"/>
  <c r="E136" i="13"/>
  <c r="D136" i="13"/>
  <c r="C136" i="13"/>
  <c r="B136" i="13"/>
  <c r="A136" i="13"/>
  <c r="K135" i="13"/>
  <c r="I135" i="13"/>
  <c r="H135" i="13"/>
  <c r="G135" i="13"/>
  <c r="F135" i="13"/>
  <c r="E135" i="13"/>
  <c r="C135" i="13"/>
  <c r="B135" i="13"/>
  <c r="A135" i="13"/>
  <c r="L134" i="13"/>
  <c r="J134" i="13"/>
  <c r="E134" i="13"/>
  <c r="D134" i="13"/>
  <c r="C134" i="13"/>
  <c r="B134" i="13"/>
  <c r="A134" i="13"/>
  <c r="I133" i="13"/>
  <c r="H133" i="13"/>
  <c r="G133" i="13"/>
  <c r="F133" i="13"/>
  <c r="K133" i="13" s="1"/>
  <c r="E133" i="13"/>
  <c r="C133" i="13"/>
  <c r="B133" i="13"/>
  <c r="A133" i="13"/>
  <c r="L132" i="13"/>
  <c r="J132" i="13"/>
  <c r="G132" i="13"/>
  <c r="E132" i="13"/>
  <c r="D132" i="13"/>
  <c r="C132" i="13"/>
  <c r="B132" i="13"/>
  <c r="A132" i="13"/>
  <c r="K131" i="13"/>
  <c r="I131" i="13"/>
  <c r="H131" i="13"/>
  <c r="G131" i="13"/>
  <c r="F131" i="13"/>
  <c r="E131" i="13"/>
  <c r="C131" i="13"/>
  <c r="B131" i="13"/>
  <c r="A131" i="13"/>
  <c r="L130" i="13"/>
  <c r="J130" i="13"/>
  <c r="E130" i="13"/>
  <c r="D130" i="13"/>
  <c r="C130" i="13"/>
  <c r="B130" i="13"/>
  <c r="A130" i="13"/>
  <c r="I129" i="13"/>
  <c r="H129" i="13"/>
  <c r="G129" i="13"/>
  <c r="F129" i="13"/>
  <c r="K129" i="13" s="1"/>
  <c r="E129" i="13"/>
  <c r="C129" i="13"/>
  <c r="B129" i="13"/>
  <c r="A129" i="13"/>
  <c r="L128" i="13"/>
  <c r="J128" i="13"/>
  <c r="G128" i="13"/>
  <c r="E128" i="13"/>
  <c r="D128" i="13"/>
  <c r="C128" i="13"/>
  <c r="B128" i="13"/>
  <c r="A128" i="13"/>
  <c r="K127" i="13"/>
  <c r="I127" i="13"/>
  <c r="H127" i="13"/>
  <c r="G127" i="13"/>
  <c r="F127" i="13"/>
  <c r="E127" i="13"/>
  <c r="C127" i="13"/>
  <c r="B127" i="13"/>
  <c r="A127" i="13"/>
  <c r="L126" i="13"/>
  <c r="J126" i="13"/>
  <c r="E126" i="13"/>
  <c r="D126" i="13"/>
  <c r="C126" i="13"/>
  <c r="B126" i="13"/>
  <c r="A126" i="13"/>
  <c r="I125" i="13"/>
  <c r="H125" i="13"/>
  <c r="G125" i="13"/>
  <c r="F125" i="13"/>
  <c r="K125" i="13" s="1"/>
  <c r="E125" i="13"/>
  <c r="C125" i="13"/>
  <c r="B125" i="13"/>
  <c r="A125" i="13"/>
  <c r="L124" i="13"/>
  <c r="J124" i="13"/>
  <c r="G124" i="13"/>
  <c r="E124" i="13"/>
  <c r="D124" i="13"/>
  <c r="C124" i="13"/>
  <c r="B124" i="13"/>
  <c r="A124" i="13"/>
  <c r="K123" i="13"/>
  <c r="I123" i="13"/>
  <c r="H123" i="13"/>
  <c r="G123" i="13"/>
  <c r="F123" i="13"/>
  <c r="E123" i="13"/>
  <c r="C123" i="13"/>
  <c r="B123" i="13"/>
  <c r="A123" i="13"/>
  <c r="L122" i="13"/>
  <c r="J122" i="13"/>
  <c r="E122" i="13"/>
  <c r="D122" i="13"/>
  <c r="C122" i="13"/>
  <c r="B122" i="13"/>
  <c r="A122" i="13"/>
  <c r="I121" i="13"/>
  <c r="H121" i="13"/>
  <c r="G121" i="13"/>
  <c r="F121" i="13"/>
  <c r="K121" i="13" s="1"/>
  <c r="E121" i="13"/>
  <c r="C121" i="13"/>
  <c r="B121" i="13"/>
  <c r="A121" i="13"/>
  <c r="L120" i="13"/>
  <c r="J120" i="13"/>
  <c r="G120" i="13"/>
  <c r="E120" i="13"/>
  <c r="D120" i="13"/>
  <c r="C120" i="13"/>
  <c r="B120" i="13"/>
  <c r="A120" i="13"/>
  <c r="K119" i="13"/>
  <c r="I119" i="13"/>
  <c r="H119" i="13"/>
  <c r="G119" i="13"/>
  <c r="F119" i="13"/>
  <c r="E119" i="13"/>
  <c r="C119" i="13"/>
  <c r="B119" i="13"/>
  <c r="A119" i="13"/>
  <c r="L118" i="13"/>
  <c r="J118" i="13"/>
  <c r="E118" i="13"/>
  <c r="D118" i="13"/>
  <c r="C118" i="13"/>
  <c r="B118" i="13"/>
  <c r="A118" i="13"/>
  <c r="I117" i="13"/>
  <c r="H117" i="13"/>
  <c r="G117" i="13"/>
  <c r="F117" i="13"/>
  <c r="K117" i="13" s="1"/>
  <c r="E117" i="13"/>
  <c r="C117" i="13"/>
  <c r="B117" i="13"/>
  <c r="A117" i="13"/>
  <c r="L116" i="13"/>
  <c r="J116" i="13"/>
  <c r="G116" i="13"/>
  <c r="E116" i="13"/>
  <c r="D116" i="13"/>
  <c r="C116" i="13"/>
  <c r="B116" i="13"/>
  <c r="A116" i="13"/>
  <c r="K115" i="13"/>
  <c r="I115" i="13"/>
  <c r="H115" i="13"/>
  <c r="G115" i="13"/>
  <c r="F115" i="13"/>
  <c r="E115" i="13"/>
  <c r="C115" i="13"/>
  <c r="B115" i="13"/>
  <c r="A115" i="13"/>
  <c r="L114" i="13"/>
  <c r="J114" i="13"/>
  <c r="E114" i="13"/>
  <c r="D114" i="13"/>
  <c r="C114" i="13"/>
  <c r="B114" i="13"/>
  <c r="A114" i="13"/>
  <c r="I113" i="13"/>
  <c r="H113" i="13"/>
  <c r="G113" i="13"/>
  <c r="F113" i="13"/>
  <c r="K113" i="13" s="1"/>
  <c r="E113" i="13"/>
  <c r="C113" i="13"/>
  <c r="B113" i="13"/>
  <c r="A113" i="13"/>
  <c r="L112" i="13"/>
  <c r="J112" i="13"/>
  <c r="G112" i="13"/>
  <c r="E112" i="13"/>
  <c r="D112" i="13"/>
  <c r="C112" i="13"/>
  <c r="B112" i="13"/>
  <c r="A112" i="13"/>
  <c r="K111" i="13"/>
  <c r="I111" i="13"/>
  <c r="H111" i="13"/>
  <c r="G111" i="13"/>
  <c r="F111" i="13"/>
  <c r="E111" i="13"/>
  <c r="A111" i="13"/>
  <c r="L110" i="13"/>
  <c r="J110" i="13"/>
  <c r="E110" i="13"/>
  <c r="D110" i="13"/>
  <c r="C110" i="13"/>
  <c r="B110" i="13"/>
  <c r="A110" i="13"/>
  <c r="I109" i="13"/>
  <c r="H109" i="13"/>
  <c r="G109" i="13"/>
  <c r="F109" i="13"/>
  <c r="K109" i="13" s="1"/>
  <c r="E109" i="13"/>
  <c r="C109" i="13"/>
  <c r="B109" i="13"/>
  <c r="A109" i="13"/>
  <c r="L108" i="13"/>
  <c r="J108" i="13"/>
  <c r="G108" i="13"/>
  <c r="E108" i="13"/>
  <c r="D108" i="13"/>
  <c r="C108" i="13"/>
  <c r="B108" i="13"/>
  <c r="A108" i="13"/>
  <c r="K107" i="13"/>
  <c r="I107" i="13"/>
  <c r="H107" i="13"/>
  <c r="G107" i="13"/>
  <c r="F107" i="13"/>
  <c r="E107" i="13"/>
  <c r="C107" i="13"/>
  <c r="B107" i="13"/>
  <c r="A107" i="13"/>
  <c r="L106" i="13"/>
  <c r="J106" i="13"/>
  <c r="F106" i="13"/>
  <c r="K106" i="13" s="1"/>
  <c r="E106" i="13"/>
  <c r="D106" i="13"/>
  <c r="C106" i="13"/>
  <c r="B106" i="13"/>
  <c r="A106" i="13"/>
  <c r="I105" i="13"/>
  <c r="H105" i="13"/>
  <c r="G105" i="13"/>
  <c r="F105" i="13"/>
  <c r="K105" i="13" s="1"/>
  <c r="E105" i="13"/>
  <c r="C105" i="13"/>
  <c r="B105" i="13"/>
  <c r="A105" i="13"/>
  <c r="L104" i="13"/>
  <c r="J104" i="13"/>
  <c r="G104" i="13"/>
  <c r="E104" i="13"/>
  <c r="D104" i="13"/>
  <c r="C104" i="13"/>
  <c r="B104" i="13"/>
  <c r="A104" i="13"/>
  <c r="K103" i="13"/>
  <c r="I103" i="13"/>
  <c r="H103" i="13"/>
  <c r="G103" i="13"/>
  <c r="F103" i="13"/>
  <c r="E103" i="13"/>
  <c r="C103" i="13"/>
  <c r="A103" i="13"/>
  <c r="B103" i="13" s="1"/>
  <c r="L102" i="13"/>
  <c r="J102" i="13"/>
  <c r="F102" i="13"/>
  <c r="K102" i="13" s="1"/>
  <c r="E102" i="13"/>
  <c r="D102" i="13"/>
  <c r="C102" i="13"/>
  <c r="B102" i="13"/>
  <c r="A102" i="13"/>
  <c r="I101" i="13"/>
  <c r="H101" i="13"/>
  <c r="G101" i="13"/>
  <c r="F101" i="13"/>
  <c r="K101" i="13" s="1"/>
  <c r="E101" i="13"/>
  <c r="C101" i="13"/>
  <c r="B101" i="13"/>
  <c r="A101" i="13"/>
  <c r="L100" i="13"/>
  <c r="J100" i="13"/>
  <c r="G100" i="13"/>
  <c r="E100" i="13"/>
  <c r="D100" i="13"/>
  <c r="C100" i="13"/>
  <c r="B100" i="13"/>
  <c r="A100" i="13"/>
  <c r="K99" i="13"/>
  <c r="I99" i="13"/>
  <c r="H99" i="13"/>
  <c r="G99" i="13"/>
  <c r="F99" i="13"/>
  <c r="E99" i="13"/>
  <c r="A99" i="13"/>
  <c r="L98" i="13"/>
  <c r="J98" i="13"/>
  <c r="F98" i="13"/>
  <c r="K98" i="13" s="1"/>
  <c r="E98" i="13"/>
  <c r="D98" i="13"/>
  <c r="C98" i="13"/>
  <c r="B98" i="13"/>
  <c r="A98" i="13"/>
  <c r="I97" i="13"/>
  <c r="H97" i="13"/>
  <c r="G97" i="13"/>
  <c r="F97" i="13"/>
  <c r="K97" i="13" s="1"/>
  <c r="E97" i="13"/>
  <c r="C97" i="13"/>
  <c r="B97" i="13"/>
  <c r="A97" i="13"/>
  <c r="L96" i="13"/>
  <c r="J96" i="13"/>
  <c r="G96" i="13"/>
  <c r="E96" i="13"/>
  <c r="D96" i="13"/>
  <c r="C96" i="13"/>
  <c r="B96" i="13"/>
  <c r="A96" i="13"/>
  <c r="K95" i="13"/>
  <c r="I95" i="13"/>
  <c r="H95" i="13"/>
  <c r="G95" i="13"/>
  <c r="F95" i="13"/>
  <c r="E95" i="13"/>
  <c r="A95" i="13"/>
  <c r="L94" i="13"/>
  <c r="J94" i="13"/>
  <c r="F94" i="13"/>
  <c r="K94" i="13" s="1"/>
  <c r="E94" i="13"/>
  <c r="D94" i="13"/>
  <c r="C94" i="13"/>
  <c r="B94" i="13"/>
  <c r="A94" i="13"/>
  <c r="I93" i="13"/>
  <c r="H93" i="13"/>
  <c r="G93" i="13"/>
  <c r="F93" i="13"/>
  <c r="K93" i="13" s="1"/>
  <c r="E93" i="13"/>
  <c r="C93" i="13"/>
  <c r="B93" i="13"/>
  <c r="A93" i="13"/>
  <c r="L92" i="13"/>
  <c r="J92" i="13"/>
  <c r="G92" i="13"/>
  <c r="E92" i="13"/>
  <c r="B92" i="13"/>
  <c r="A92" i="13"/>
  <c r="J91" i="13"/>
  <c r="E91" i="13"/>
  <c r="A91" i="13"/>
  <c r="E90" i="13"/>
  <c r="D90" i="13"/>
  <c r="A90" i="13"/>
  <c r="L90" i="13" s="1"/>
  <c r="I89" i="13"/>
  <c r="H89" i="13"/>
  <c r="G89" i="13"/>
  <c r="E89" i="13"/>
  <c r="F89" i="13" s="1"/>
  <c r="K89" i="13" s="1"/>
  <c r="A89" i="13"/>
  <c r="L88" i="13"/>
  <c r="E88" i="13"/>
  <c r="D88" i="13"/>
  <c r="C88" i="13"/>
  <c r="A88" i="13"/>
  <c r="J88" i="13" s="1"/>
  <c r="J87" i="13"/>
  <c r="I87" i="13"/>
  <c r="H87" i="13"/>
  <c r="G87" i="13"/>
  <c r="E87" i="13"/>
  <c r="F87" i="13" s="1"/>
  <c r="K87" i="13" s="1"/>
  <c r="B87" i="13"/>
  <c r="A87" i="13"/>
  <c r="L86" i="13"/>
  <c r="K86" i="13"/>
  <c r="F86" i="13"/>
  <c r="E86" i="13"/>
  <c r="D86" i="13"/>
  <c r="C86" i="13"/>
  <c r="A86" i="13"/>
  <c r="J86" i="13" s="1"/>
  <c r="I85" i="13"/>
  <c r="H85" i="13"/>
  <c r="G85" i="13"/>
  <c r="E85" i="13"/>
  <c r="F85" i="13" s="1"/>
  <c r="K85" i="13" s="1"/>
  <c r="A85" i="13"/>
  <c r="J85" i="13" s="1"/>
  <c r="L84" i="13"/>
  <c r="E84" i="13"/>
  <c r="D84" i="13"/>
  <c r="C84" i="13"/>
  <c r="A84" i="13"/>
  <c r="J84" i="13" s="1"/>
  <c r="J83" i="13"/>
  <c r="I83" i="13"/>
  <c r="H83" i="13"/>
  <c r="G83" i="13"/>
  <c r="E83" i="13"/>
  <c r="F83" i="13" s="1"/>
  <c r="K83" i="13" s="1"/>
  <c r="B83" i="13"/>
  <c r="A83" i="13"/>
  <c r="L82" i="13"/>
  <c r="K82" i="13"/>
  <c r="F82" i="13"/>
  <c r="E82" i="13"/>
  <c r="D82" i="13"/>
  <c r="C82" i="13"/>
  <c r="A82" i="13"/>
  <c r="J82" i="13" s="1"/>
  <c r="I81" i="13"/>
  <c r="H81" i="13"/>
  <c r="G81" i="13"/>
  <c r="E81" i="13"/>
  <c r="F81" i="13" s="1"/>
  <c r="K81" i="13" s="1"/>
  <c r="A81" i="13"/>
  <c r="L80" i="13"/>
  <c r="E80" i="13"/>
  <c r="D80" i="13"/>
  <c r="C80" i="13"/>
  <c r="A80" i="13"/>
  <c r="J80" i="13" s="1"/>
  <c r="J79" i="13"/>
  <c r="I79" i="13"/>
  <c r="H79" i="13"/>
  <c r="G79" i="13"/>
  <c r="E79" i="13"/>
  <c r="F79" i="13" s="1"/>
  <c r="K79" i="13" s="1"/>
  <c r="B79" i="13"/>
  <c r="A79" i="13"/>
  <c r="L78" i="13"/>
  <c r="K78" i="13"/>
  <c r="F78" i="13"/>
  <c r="E78" i="13"/>
  <c r="D78" i="13"/>
  <c r="C78" i="13"/>
  <c r="A78" i="13"/>
  <c r="J78" i="13" s="1"/>
  <c r="I77" i="13"/>
  <c r="H77" i="13"/>
  <c r="G77" i="13"/>
  <c r="E77" i="13"/>
  <c r="F77" i="13" s="1"/>
  <c r="K77" i="13" s="1"/>
  <c r="A77" i="13"/>
  <c r="J77" i="13" s="1"/>
  <c r="L76" i="13"/>
  <c r="E76" i="13"/>
  <c r="D76" i="13"/>
  <c r="C76" i="13"/>
  <c r="A76" i="13"/>
  <c r="J76" i="13" s="1"/>
  <c r="J75" i="13"/>
  <c r="I75" i="13"/>
  <c r="H75" i="13"/>
  <c r="G75" i="13"/>
  <c r="E75" i="13"/>
  <c r="F75" i="13" s="1"/>
  <c r="K75" i="13" s="1"/>
  <c r="B75" i="13"/>
  <c r="A75" i="13"/>
  <c r="L74" i="13"/>
  <c r="K74" i="13"/>
  <c r="F74" i="13"/>
  <c r="E74" i="13"/>
  <c r="D74" i="13"/>
  <c r="C74" i="13"/>
  <c r="A74" i="13"/>
  <c r="J74" i="13" s="1"/>
  <c r="I73" i="13"/>
  <c r="H73" i="13"/>
  <c r="G73" i="13"/>
  <c r="E73" i="13"/>
  <c r="F73" i="13" s="1"/>
  <c r="K73" i="13" s="1"/>
  <c r="A73" i="13"/>
  <c r="L72" i="13"/>
  <c r="E72" i="13"/>
  <c r="D72" i="13"/>
  <c r="C72" i="13"/>
  <c r="A72" i="13"/>
  <c r="J72" i="13" s="1"/>
  <c r="J71" i="13"/>
  <c r="I71" i="13"/>
  <c r="H71" i="13"/>
  <c r="G71" i="13"/>
  <c r="E71" i="13"/>
  <c r="F71" i="13" s="1"/>
  <c r="K71" i="13" s="1"/>
  <c r="B71" i="13"/>
  <c r="A71" i="13"/>
  <c r="L70" i="13"/>
  <c r="K70" i="13"/>
  <c r="F70" i="13"/>
  <c r="E70" i="13"/>
  <c r="D70" i="13"/>
  <c r="C70" i="13"/>
  <c r="A70" i="13"/>
  <c r="J70" i="13" s="1"/>
  <c r="I69" i="13"/>
  <c r="H69" i="13"/>
  <c r="G69" i="13"/>
  <c r="E69" i="13"/>
  <c r="F69" i="13" s="1"/>
  <c r="K69" i="13" s="1"/>
  <c r="A69" i="13"/>
  <c r="J69" i="13" s="1"/>
  <c r="L68" i="13"/>
  <c r="E68" i="13"/>
  <c r="D68" i="13"/>
  <c r="C68" i="13"/>
  <c r="A68" i="13"/>
  <c r="J68" i="13" s="1"/>
  <c r="J67" i="13"/>
  <c r="I67" i="13"/>
  <c r="H67" i="13"/>
  <c r="G67" i="13"/>
  <c r="E67" i="13"/>
  <c r="F67" i="13" s="1"/>
  <c r="K67" i="13" s="1"/>
  <c r="B67" i="13"/>
  <c r="A67" i="13"/>
  <c r="L66" i="13"/>
  <c r="K66" i="13"/>
  <c r="F66" i="13"/>
  <c r="E66" i="13"/>
  <c r="D66" i="13"/>
  <c r="C66" i="13"/>
  <c r="A66" i="13"/>
  <c r="J66" i="13" s="1"/>
  <c r="I65" i="13"/>
  <c r="H65" i="13"/>
  <c r="G65" i="13"/>
  <c r="E65" i="13"/>
  <c r="F65" i="13" s="1"/>
  <c r="K65" i="13" s="1"/>
  <c r="A65" i="13"/>
  <c r="L64" i="13"/>
  <c r="E64" i="13"/>
  <c r="D64" i="13"/>
  <c r="C64" i="13"/>
  <c r="A64" i="13"/>
  <c r="J64" i="13" s="1"/>
  <c r="J63" i="13"/>
  <c r="I63" i="13"/>
  <c r="H63" i="13"/>
  <c r="G63" i="13"/>
  <c r="E63" i="13"/>
  <c r="F63" i="13" s="1"/>
  <c r="K63" i="13" s="1"/>
  <c r="B63" i="13"/>
  <c r="A63" i="13"/>
  <c r="L62" i="13"/>
  <c r="K62" i="13"/>
  <c r="I62" i="13"/>
  <c r="F62" i="13"/>
  <c r="E62" i="13"/>
  <c r="D62" i="13"/>
  <c r="C62" i="13"/>
  <c r="A62" i="13"/>
  <c r="J61" i="13"/>
  <c r="I61" i="13"/>
  <c r="H61" i="13"/>
  <c r="G61" i="13"/>
  <c r="E61" i="13"/>
  <c r="F61" i="13" s="1"/>
  <c r="K61" i="13" s="1"/>
  <c r="B61" i="13"/>
  <c r="A61" i="13"/>
  <c r="K60" i="13"/>
  <c r="I60" i="13"/>
  <c r="F60" i="13"/>
  <c r="E60" i="13"/>
  <c r="C60" i="13"/>
  <c r="A60" i="13"/>
  <c r="L60" i="13" s="1"/>
  <c r="I59" i="13"/>
  <c r="H59" i="13"/>
  <c r="G59" i="13"/>
  <c r="E59" i="13"/>
  <c r="F59" i="13" s="1"/>
  <c r="K59" i="13" s="1"/>
  <c r="A59" i="13"/>
  <c r="J59" i="13" s="1"/>
  <c r="I58" i="13"/>
  <c r="F58" i="13"/>
  <c r="K58" i="13" s="1"/>
  <c r="E58" i="13"/>
  <c r="A58" i="13"/>
  <c r="L58" i="13" s="1"/>
  <c r="J57" i="13"/>
  <c r="H57" i="13"/>
  <c r="G57" i="13"/>
  <c r="E57" i="13"/>
  <c r="F57" i="13" s="1"/>
  <c r="K57" i="13" s="1"/>
  <c r="B57" i="13"/>
  <c r="A57" i="13"/>
  <c r="L56" i="13"/>
  <c r="F56" i="13"/>
  <c r="K56" i="13" s="1"/>
  <c r="E56" i="13"/>
  <c r="D56" i="13"/>
  <c r="C56" i="13"/>
  <c r="A56" i="13"/>
  <c r="J55" i="13"/>
  <c r="G55" i="13"/>
  <c r="E55" i="13"/>
  <c r="F55" i="13" s="1"/>
  <c r="K55" i="13" s="1"/>
  <c r="B55" i="13"/>
  <c r="A55" i="13"/>
  <c r="E54" i="13"/>
  <c r="D54" i="13"/>
  <c r="C54" i="13"/>
  <c r="A54" i="13"/>
  <c r="L54" i="13" s="1"/>
  <c r="E53" i="13"/>
  <c r="B53" i="13"/>
  <c r="A53" i="13"/>
  <c r="J53" i="13" s="1"/>
  <c r="I52" i="13"/>
  <c r="F52" i="13"/>
  <c r="K52" i="13" s="1"/>
  <c r="E52" i="13"/>
  <c r="D52" i="13"/>
  <c r="C52" i="13"/>
  <c r="A52" i="13"/>
  <c r="L52" i="13" s="1"/>
  <c r="I51" i="13"/>
  <c r="H51" i="13"/>
  <c r="G51" i="13"/>
  <c r="E51" i="13"/>
  <c r="F51" i="13" s="1"/>
  <c r="K51" i="13" s="1"/>
  <c r="B51" i="13"/>
  <c r="A51" i="13"/>
  <c r="F50" i="13"/>
  <c r="K50" i="13" s="1"/>
  <c r="E50" i="13"/>
  <c r="C50" i="13"/>
  <c r="A50" i="13"/>
  <c r="I49" i="13"/>
  <c r="G49" i="13"/>
  <c r="E49" i="13"/>
  <c r="F49" i="13" s="1"/>
  <c r="K49" i="13" s="1"/>
  <c r="A49" i="13"/>
  <c r="E48" i="13"/>
  <c r="A48" i="13"/>
  <c r="J47" i="13"/>
  <c r="E47" i="13"/>
  <c r="F47" i="13" s="1"/>
  <c r="K47" i="13" s="1"/>
  <c r="B47" i="13"/>
  <c r="A47" i="13"/>
  <c r="L46" i="13"/>
  <c r="K46" i="13"/>
  <c r="I46" i="13"/>
  <c r="F46" i="13"/>
  <c r="E46" i="13"/>
  <c r="D46" i="13"/>
  <c r="C46" i="13"/>
  <c r="A46" i="13"/>
  <c r="J45" i="13"/>
  <c r="I45" i="13"/>
  <c r="H45" i="13"/>
  <c r="G45" i="13"/>
  <c r="E45" i="13"/>
  <c r="F45" i="13" s="1"/>
  <c r="K45" i="13" s="1"/>
  <c r="B45" i="13"/>
  <c r="A45" i="13"/>
  <c r="K44" i="13"/>
  <c r="I44" i="13"/>
  <c r="F44" i="13"/>
  <c r="E44" i="13"/>
  <c r="C44" i="13"/>
  <c r="A44" i="13"/>
  <c r="L44" i="13" s="1"/>
  <c r="I43" i="13"/>
  <c r="H43" i="13"/>
  <c r="G43" i="13"/>
  <c r="E43" i="13"/>
  <c r="F43" i="13" s="1"/>
  <c r="K43" i="13" s="1"/>
  <c r="A43" i="13"/>
  <c r="J43" i="13" s="1"/>
  <c r="I42" i="13"/>
  <c r="F42" i="13"/>
  <c r="K42" i="13" s="1"/>
  <c r="E42" i="13"/>
  <c r="A42" i="13"/>
  <c r="L42" i="13" s="1"/>
  <c r="I41" i="13"/>
  <c r="H41" i="13"/>
  <c r="G41" i="13"/>
  <c r="E41" i="13"/>
  <c r="F41" i="13" s="1"/>
  <c r="K41" i="13" s="1"/>
  <c r="B41" i="13"/>
  <c r="A41" i="13"/>
  <c r="C41" i="13" s="1"/>
  <c r="K40" i="13"/>
  <c r="I40" i="13"/>
  <c r="H40" i="13"/>
  <c r="F40" i="13"/>
  <c r="E40" i="13"/>
  <c r="G40" i="13" s="1"/>
  <c r="D40" i="13"/>
  <c r="C40" i="13"/>
  <c r="A40" i="13"/>
  <c r="L39" i="13"/>
  <c r="E39" i="13"/>
  <c r="F39" i="13" s="1"/>
  <c r="K39" i="13" s="1"/>
  <c r="A39" i="13"/>
  <c r="I38" i="13"/>
  <c r="F38" i="13"/>
  <c r="K38" i="13" s="1"/>
  <c r="E38" i="13"/>
  <c r="G38" i="13" s="1"/>
  <c r="C38" i="13"/>
  <c r="A38" i="13"/>
  <c r="I37" i="13"/>
  <c r="H37" i="13"/>
  <c r="G37" i="13"/>
  <c r="E37" i="13"/>
  <c r="F37" i="13" s="1"/>
  <c r="K37" i="13" s="1"/>
  <c r="D37" i="13"/>
  <c r="B37" i="13"/>
  <c r="A37" i="13"/>
  <c r="C37" i="13" s="1"/>
  <c r="E36" i="13"/>
  <c r="D36" i="13"/>
  <c r="C36" i="13"/>
  <c r="A36" i="13"/>
  <c r="J35" i="13"/>
  <c r="G35" i="13"/>
  <c r="E35" i="13"/>
  <c r="F35" i="13" s="1"/>
  <c r="K35" i="13" s="1"/>
  <c r="D35" i="13"/>
  <c r="B35" i="13"/>
  <c r="A35" i="13"/>
  <c r="C35" i="13" s="1"/>
  <c r="H34" i="13"/>
  <c r="F34" i="13"/>
  <c r="K34" i="13" s="1"/>
  <c r="E34" i="13"/>
  <c r="G34" i="13" s="1"/>
  <c r="A34" i="13"/>
  <c r="I33" i="13"/>
  <c r="H33" i="13"/>
  <c r="G33" i="13"/>
  <c r="E33" i="13"/>
  <c r="F33" i="13" s="1"/>
  <c r="K33" i="13" s="1"/>
  <c r="B33" i="13"/>
  <c r="A33" i="13"/>
  <c r="C33" i="13" s="1"/>
  <c r="K32" i="13"/>
  <c r="I32" i="13"/>
  <c r="H32" i="13"/>
  <c r="F32" i="13"/>
  <c r="E32" i="13"/>
  <c r="G32" i="13" s="1"/>
  <c r="D32" i="13"/>
  <c r="C32" i="13"/>
  <c r="A32" i="13"/>
  <c r="L31" i="13"/>
  <c r="E31" i="13"/>
  <c r="F31" i="13" s="1"/>
  <c r="K31" i="13" s="1"/>
  <c r="A31" i="13"/>
  <c r="I30" i="13"/>
  <c r="F30" i="13"/>
  <c r="K30" i="13" s="1"/>
  <c r="E30" i="13"/>
  <c r="G30" i="13" s="1"/>
  <c r="C30" i="13"/>
  <c r="A30" i="13"/>
  <c r="I29" i="13"/>
  <c r="H29" i="13"/>
  <c r="G29" i="13"/>
  <c r="E29" i="13"/>
  <c r="F29" i="13" s="1"/>
  <c r="K29" i="13" s="1"/>
  <c r="D29" i="13"/>
  <c r="B29" i="13"/>
  <c r="A29" i="13"/>
  <c r="C29" i="13" s="1"/>
  <c r="E28" i="13"/>
  <c r="D28" i="13"/>
  <c r="C28" i="13"/>
  <c r="A28" i="13"/>
  <c r="J27" i="13"/>
  <c r="G27" i="13"/>
  <c r="E27" i="13"/>
  <c r="F27" i="13" s="1"/>
  <c r="K27" i="13" s="1"/>
  <c r="D27" i="13"/>
  <c r="B27" i="13"/>
  <c r="A27" i="13"/>
  <c r="C27" i="13" s="1"/>
  <c r="H26" i="13"/>
  <c r="F26" i="13"/>
  <c r="K26" i="13" s="1"/>
  <c r="E26" i="13"/>
  <c r="G26" i="13" s="1"/>
  <c r="A26" i="13"/>
  <c r="I25" i="13"/>
  <c r="H25" i="13"/>
  <c r="G25" i="13"/>
  <c r="E25" i="13"/>
  <c r="F25" i="13" s="1"/>
  <c r="K25" i="13" s="1"/>
  <c r="B25" i="13"/>
  <c r="A25" i="13"/>
  <c r="C25" i="13" s="1"/>
  <c r="K24" i="13"/>
  <c r="I24" i="13"/>
  <c r="H24" i="13"/>
  <c r="F24" i="13"/>
  <c r="E24" i="13"/>
  <c r="G24" i="13" s="1"/>
  <c r="D24" i="13"/>
  <c r="C24" i="13"/>
  <c r="A24" i="13"/>
  <c r="L23" i="13"/>
  <c r="E23" i="13"/>
  <c r="F23" i="13" s="1"/>
  <c r="K23" i="13" s="1"/>
  <c r="A23" i="13"/>
  <c r="I22" i="13"/>
  <c r="F22" i="13"/>
  <c r="K22" i="13" s="1"/>
  <c r="E22" i="13"/>
  <c r="G22" i="13" s="1"/>
  <c r="C22" i="13"/>
  <c r="A22" i="13"/>
  <c r="I21" i="13"/>
  <c r="H21" i="13"/>
  <c r="G21" i="13"/>
  <c r="E21" i="13"/>
  <c r="F21" i="13" s="1"/>
  <c r="K21" i="13" s="1"/>
  <c r="D21" i="13"/>
  <c r="B21" i="13"/>
  <c r="A21" i="13"/>
  <c r="C21" i="13" s="1"/>
  <c r="E20" i="13"/>
  <c r="D20" i="13"/>
  <c r="C20" i="13"/>
  <c r="A20" i="13"/>
  <c r="J19" i="13"/>
  <c r="G19" i="13"/>
  <c r="E19" i="13"/>
  <c r="F19" i="13" s="1"/>
  <c r="K19" i="13" s="1"/>
  <c r="D19" i="13"/>
  <c r="B19" i="13"/>
  <c r="A19" i="13"/>
  <c r="C19" i="13" s="1"/>
  <c r="H18" i="13"/>
  <c r="F18" i="13"/>
  <c r="K18" i="13" s="1"/>
  <c r="E18" i="13"/>
  <c r="G18" i="13" s="1"/>
  <c r="A18" i="13"/>
  <c r="I17" i="13"/>
  <c r="H17" i="13"/>
  <c r="G17" i="13"/>
  <c r="E17" i="13"/>
  <c r="F17" i="13" s="1"/>
  <c r="K17" i="13" s="1"/>
  <c r="B17" i="13"/>
  <c r="A17" i="13"/>
  <c r="C17" i="13" s="1"/>
  <c r="K16" i="13"/>
  <c r="I16" i="13"/>
  <c r="H16" i="13"/>
  <c r="F16" i="13"/>
  <c r="E16" i="13"/>
  <c r="G16" i="13" s="1"/>
  <c r="D16" i="13"/>
  <c r="C16" i="13"/>
  <c r="A16" i="13"/>
  <c r="E15" i="13"/>
  <c r="F15" i="13" s="1"/>
  <c r="K15" i="13" s="1"/>
  <c r="A15" i="13"/>
  <c r="I14" i="13"/>
  <c r="F14" i="13"/>
  <c r="K14" i="13" s="1"/>
  <c r="E14" i="13"/>
  <c r="G14" i="13" s="1"/>
  <c r="C14" i="13"/>
  <c r="A14" i="13"/>
  <c r="I13" i="13"/>
  <c r="H13" i="13"/>
  <c r="G13" i="13"/>
  <c r="E13" i="13"/>
  <c r="F13" i="13" s="1"/>
  <c r="K13" i="13" s="1"/>
  <c r="D13" i="13"/>
  <c r="B13" i="13"/>
  <c r="A13" i="13"/>
  <c r="C13" i="13" s="1"/>
  <c r="L12" i="13"/>
  <c r="F12" i="13"/>
  <c r="K12" i="13" s="1"/>
  <c r="E12" i="13"/>
  <c r="I12" i="13" s="1"/>
  <c r="D12" i="13"/>
  <c r="C12" i="13"/>
  <c r="A12" i="13"/>
  <c r="L11" i="13"/>
  <c r="I11" i="13"/>
  <c r="H11" i="13"/>
  <c r="G11" i="13"/>
  <c r="E11" i="13"/>
  <c r="F11" i="13" s="1"/>
  <c r="K11" i="13" s="1"/>
  <c r="C11" i="13"/>
  <c r="B11" i="13"/>
  <c r="A11" i="13"/>
  <c r="D11" i="13" s="1"/>
  <c r="L10" i="13"/>
  <c r="K10" i="13"/>
  <c r="J10" i="13"/>
  <c r="I10" i="13"/>
  <c r="G10" i="13"/>
  <c r="F10" i="13"/>
  <c r="E10" i="13"/>
  <c r="H10" i="13" s="1"/>
  <c r="D10" i="13"/>
  <c r="C10" i="13"/>
  <c r="B10" i="13"/>
  <c r="A10" i="13"/>
  <c r="K9" i="13"/>
  <c r="J9" i="13"/>
  <c r="H9" i="13"/>
  <c r="G9" i="13"/>
  <c r="F9" i="13"/>
  <c r="E9" i="13"/>
  <c r="I9" i="13" s="1"/>
  <c r="C9" i="13"/>
  <c r="B9" i="13"/>
  <c r="A9" i="13"/>
  <c r="L9" i="13" s="1"/>
  <c r="L8" i="13"/>
  <c r="K8" i="13"/>
  <c r="J8" i="13"/>
  <c r="I8" i="13"/>
  <c r="G8" i="13"/>
  <c r="F8" i="13"/>
  <c r="E8" i="13"/>
  <c r="H8" i="13" s="1"/>
  <c r="D8" i="13"/>
  <c r="C8" i="13"/>
  <c r="B8" i="13"/>
  <c r="A8" i="13"/>
  <c r="K7" i="13"/>
  <c r="J7" i="13"/>
  <c r="H7" i="13"/>
  <c r="G7" i="13"/>
  <c r="F7" i="13"/>
  <c r="E7" i="13"/>
  <c r="I7" i="13" s="1"/>
  <c r="C7" i="13"/>
  <c r="B7" i="13"/>
  <c r="A7" i="13"/>
  <c r="L7" i="13" s="1"/>
  <c r="L6" i="13"/>
  <c r="K6" i="13"/>
  <c r="J6" i="13"/>
  <c r="I6" i="13"/>
  <c r="G6" i="13"/>
  <c r="F6" i="13"/>
  <c r="E6" i="13"/>
  <c r="H6" i="13" s="1"/>
  <c r="D6" i="13"/>
  <c r="C6" i="13"/>
  <c r="B6" i="13"/>
  <c r="A6" i="13"/>
  <c r="K5" i="13"/>
  <c r="J5" i="13"/>
  <c r="H5" i="13"/>
  <c r="G5" i="13"/>
  <c r="F5" i="13"/>
  <c r="E5" i="13"/>
  <c r="I5" i="13" s="1"/>
  <c r="C5" i="13"/>
  <c r="B5" i="13"/>
  <c r="A5" i="13"/>
  <c r="L5" i="13" s="1"/>
  <c r="I504" i="12"/>
  <c r="G504" i="12"/>
  <c r="F504" i="12"/>
  <c r="E504" i="12"/>
  <c r="D504" i="12"/>
  <c r="C504" i="12"/>
  <c r="B504" i="12"/>
  <c r="A504" i="12"/>
  <c r="H504" i="12" s="1"/>
  <c r="G503" i="12"/>
  <c r="E503" i="12"/>
  <c r="D503" i="12"/>
  <c r="C503" i="12"/>
  <c r="B503" i="12"/>
  <c r="F503" i="12" s="1"/>
  <c r="A503" i="12"/>
  <c r="H503" i="12" s="1"/>
  <c r="E502" i="12"/>
  <c r="D502" i="12"/>
  <c r="C502" i="12"/>
  <c r="G502" i="12" s="1"/>
  <c r="B502" i="12"/>
  <c r="F502" i="12" s="1"/>
  <c r="A502" i="12"/>
  <c r="I502" i="12" s="1"/>
  <c r="E501" i="12"/>
  <c r="D501" i="12"/>
  <c r="C501" i="12"/>
  <c r="G501" i="12" s="1"/>
  <c r="B501" i="12"/>
  <c r="F501" i="12" s="1"/>
  <c r="A501" i="12"/>
  <c r="I501" i="12" s="1"/>
  <c r="H500" i="12"/>
  <c r="E500" i="12"/>
  <c r="D500" i="12"/>
  <c r="C500" i="12"/>
  <c r="G500" i="12" s="1"/>
  <c r="B500" i="12"/>
  <c r="F500" i="12" s="1"/>
  <c r="A500" i="12"/>
  <c r="I500" i="12" s="1"/>
  <c r="F499" i="12"/>
  <c r="E499" i="12"/>
  <c r="D499" i="12"/>
  <c r="C499" i="12"/>
  <c r="G499" i="12" s="1"/>
  <c r="B499" i="12"/>
  <c r="A499" i="12"/>
  <c r="I499" i="12" s="1"/>
  <c r="G498" i="12"/>
  <c r="F498" i="12"/>
  <c r="E498" i="12"/>
  <c r="D498" i="12"/>
  <c r="C498" i="12"/>
  <c r="B498" i="12"/>
  <c r="A498" i="12"/>
  <c r="I498" i="12" s="1"/>
  <c r="H497" i="12"/>
  <c r="G497" i="12"/>
  <c r="F497" i="12"/>
  <c r="E497" i="12"/>
  <c r="D497" i="12"/>
  <c r="C497" i="12"/>
  <c r="B497" i="12"/>
  <c r="A497" i="12"/>
  <c r="I497" i="12" s="1"/>
  <c r="G496" i="12"/>
  <c r="F496" i="12"/>
  <c r="E496" i="12"/>
  <c r="D496" i="12"/>
  <c r="C496" i="12"/>
  <c r="B496" i="12"/>
  <c r="A496" i="12"/>
  <c r="H496" i="12" s="1"/>
  <c r="G495" i="12"/>
  <c r="E495" i="12"/>
  <c r="D495" i="12"/>
  <c r="C495" i="12"/>
  <c r="B495" i="12"/>
  <c r="F495" i="12" s="1"/>
  <c r="A495" i="12"/>
  <c r="H495" i="12" s="1"/>
  <c r="E494" i="12"/>
  <c r="D494" i="12"/>
  <c r="C494" i="12"/>
  <c r="G494" i="12" s="1"/>
  <c r="B494" i="12"/>
  <c r="F494" i="12" s="1"/>
  <c r="A494" i="12"/>
  <c r="I494" i="12" s="1"/>
  <c r="E493" i="12"/>
  <c r="D493" i="12"/>
  <c r="C493" i="12"/>
  <c r="G493" i="12" s="1"/>
  <c r="B493" i="12"/>
  <c r="F493" i="12" s="1"/>
  <c r="A493" i="12"/>
  <c r="I493" i="12" s="1"/>
  <c r="H492" i="12"/>
  <c r="E492" i="12"/>
  <c r="D492" i="12"/>
  <c r="C492" i="12"/>
  <c r="G492" i="12" s="1"/>
  <c r="B492" i="12"/>
  <c r="F492" i="12" s="1"/>
  <c r="A492" i="12"/>
  <c r="I492" i="12" s="1"/>
  <c r="F491" i="12"/>
  <c r="E491" i="12"/>
  <c r="D491" i="12"/>
  <c r="C491" i="12"/>
  <c r="G491" i="12" s="1"/>
  <c r="B491" i="12"/>
  <c r="A491" i="12"/>
  <c r="I491" i="12" s="1"/>
  <c r="G490" i="12"/>
  <c r="F490" i="12"/>
  <c r="E490" i="12"/>
  <c r="D490" i="12"/>
  <c r="C490" i="12"/>
  <c r="B490" i="12"/>
  <c r="A490" i="12"/>
  <c r="I490" i="12" s="1"/>
  <c r="H489" i="12"/>
  <c r="G489" i="12"/>
  <c r="F489" i="12"/>
  <c r="E489" i="12"/>
  <c r="D489" i="12"/>
  <c r="C489" i="12"/>
  <c r="B489" i="12"/>
  <c r="A489" i="12"/>
  <c r="I489" i="12" s="1"/>
  <c r="I488" i="12"/>
  <c r="G488" i="12"/>
  <c r="F488" i="12"/>
  <c r="E488" i="12"/>
  <c r="D488" i="12"/>
  <c r="C488" i="12"/>
  <c r="B488" i="12"/>
  <c r="A488" i="12"/>
  <c r="H488" i="12" s="1"/>
  <c r="G487" i="12"/>
  <c r="E487" i="12"/>
  <c r="D487" i="12"/>
  <c r="C487" i="12"/>
  <c r="B487" i="12"/>
  <c r="F487" i="12" s="1"/>
  <c r="A487" i="12"/>
  <c r="H487" i="12" s="1"/>
  <c r="E486" i="12"/>
  <c r="D486" i="12"/>
  <c r="C486" i="12"/>
  <c r="G486" i="12" s="1"/>
  <c r="B486" i="12"/>
  <c r="F486" i="12" s="1"/>
  <c r="A486" i="12"/>
  <c r="I486" i="12" s="1"/>
  <c r="E485" i="12"/>
  <c r="D485" i="12"/>
  <c r="C485" i="12"/>
  <c r="G485" i="12" s="1"/>
  <c r="B485" i="12"/>
  <c r="F485" i="12" s="1"/>
  <c r="A485" i="12"/>
  <c r="I485" i="12" s="1"/>
  <c r="H484" i="12"/>
  <c r="E484" i="12"/>
  <c r="D484" i="12"/>
  <c r="C484" i="12"/>
  <c r="G484" i="12" s="1"/>
  <c r="B484" i="12"/>
  <c r="F484" i="12" s="1"/>
  <c r="A484" i="12"/>
  <c r="I484" i="12" s="1"/>
  <c r="F483" i="12"/>
  <c r="E483" i="12"/>
  <c r="D483" i="12"/>
  <c r="C483" i="12"/>
  <c r="G483" i="12" s="1"/>
  <c r="B483" i="12"/>
  <c r="A483" i="12"/>
  <c r="I483" i="12" s="1"/>
  <c r="G482" i="12"/>
  <c r="F482" i="12"/>
  <c r="E482" i="12"/>
  <c r="D482" i="12"/>
  <c r="C482" i="12"/>
  <c r="B482" i="12"/>
  <c r="A482" i="12"/>
  <c r="I482" i="12" s="1"/>
  <c r="H481" i="12"/>
  <c r="G481" i="12"/>
  <c r="F481" i="12"/>
  <c r="E481" i="12"/>
  <c r="D481" i="12"/>
  <c r="C481" i="12"/>
  <c r="B481" i="12"/>
  <c r="A481" i="12"/>
  <c r="I481" i="12" s="1"/>
  <c r="G480" i="12"/>
  <c r="F480" i="12"/>
  <c r="E480" i="12"/>
  <c r="D480" i="12"/>
  <c r="C480" i="12"/>
  <c r="B480" i="12"/>
  <c r="A480" i="12"/>
  <c r="H480" i="12" s="1"/>
  <c r="G479" i="12"/>
  <c r="E479" i="12"/>
  <c r="D479" i="12"/>
  <c r="C479" i="12"/>
  <c r="B479" i="12"/>
  <c r="F479" i="12" s="1"/>
  <c r="A479" i="12"/>
  <c r="H479" i="12" s="1"/>
  <c r="E478" i="12"/>
  <c r="D478" i="12"/>
  <c r="C478" i="12"/>
  <c r="G478" i="12" s="1"/>
  <c r="B478" i="12"/>
  <c r="F478" i="12" s="1"/>
  <c r="A478" i="12"/>
  <c r="I478" i="12" s="1"/>
  <c r="E477" i="12"/>
  <c r="D477" i="12"/>
  <c r="C477" i="12"/>
  <c r="G477" i="12" s="1"/>
  <c r="B477" i="12"/>
  <c r="F477" i="12" s="1"/>
  <c r="A477" i="12"/>
  <c r="I477" i="12" s="1"/>
  <c r="H476" i="12"/>
  <c r="E476" i="12"/>
  <c r="D476" i="12"/>
  <c r="C476" i="12"/>
  <c r="G476" i="12" s="1"/>
  <c r="B476" i="12"/>
  <c r="F476" i="12" s="1"/>
  <c r="A476" i="12"/>
  <c r="I476" i="12" s="1"/>
  <c r="F475" i="12"/>
  <c r="E475" i="12"/>
  <c r="D475" i="12"/>
  <c r="C475" i="12"/>
  <c r="G475" i="12" s="1"/>
  <c r="B475" i="12"/>
  <c r="A475" i="12"/>
  <c r="I475" i="12" s="1"/>
  <c r="G474" i="12"/>
  <c r="F474" i="12"/>
  <c r="E474" i="12"/>
  <c r="D474" i="12"/>
  <c r="C474" i="12"/>
  <c r="B474" i="12"/>
  <c r="A474" i="12"/>
  <c r="I474" i="12" s="1"/>
  <c r="H473" i="12"/>
  <c r="G473" i="12"/>
  <c r="F473" i="12"/>
  <c r="E473" i="12"/>
  <c r="D473" i="12"/>
  <c r="C473" i="12"/>
  <c r="B473" i="12"/>
  <c r="A473" i="12"/>
  <c r="I473" i="12" s="1"/>
  <c r="I472" i="12"/>
  <c r="G472" i="12"/>
  <c r="F472" i="12"/>
  <c r="E472" i="12"/>
  <c r="D472" i="12"/>
  <c r="C472" i="12"/>
  <c r="B472" i="12"/>
  <c r="A472" i="12"/>
  <c r="H472" i="12" s="1"/>
  <c r="G471" i="12"/>
  <c r="E471" i="12"/>
  <c r="D471" i="12"/>
  <c r="C471" i="12"/>
  <c r="B471" i="12"/>
  <c r="F471" i="12" s="1"/>
  <c r="A471" i="12"/>
  <c r="H471" i="12" s="1"/>
  <c r="E470" i="12"/>
  <c r="D470" i="12"/>
  <c r="C470" i="12"/>
  <c r="G470" i="12" s="1"/>
  <c r="B470" i="12"/>
  <c r="F470" i="12" s="1"/>
  <c r="A470" i="12"/>
  <c r="I470" i="12" s="1"/>
  <c r="E469" i="12"/>
  <c r="D469" i="12"/>
  <c r="C469" i="12"/>
  <c r="G469" i="12" s="1"/>
  <c r="B469" i="12"/>
  <c r="F469" i="12" s="1"/>
  <c r="A469" i="12"/>
  <c r="I469" i="12" s="1"/>
  <c r="H468" i="12"/>
  <c r="E468" i="12"/>
  <c r="D468" i="12"/>
  <c r="C468" i="12"/>
  <c r="G468" i="12" s="1"/>
  <c r="B468" i="12"/>
  <c r="F468" i="12" s="1"/>
  <c r="A468" i="12"/>
  <c r="I468" i="12" s="1"/>
  <c r="F467" i="12"/>
  <c r="E467" i="12"/>
  <c r="D467" i="12"/>
  <c r="C467" i="12"/>
  <c r="G467" i="12" s="1"/>
  <c r="B467" i="12"/>
  <c r="A467" i="12"/>
  <c r="I467" i="12" s="1"/>
  <c r="G466" i="12"/>
  <c r="F466" i="12"/>
  <c r="E466" i="12"/>
  <c r="D466" i="12"/>
  <c r="C466" i="12"/>
  <c r="B466" i="12"/>
  <c r="A466" i="12"/>
  <c r="I466" i="12" s="1"/>
  <c r="H465" i="12"/>
  <c r="G465" i="12"/>
  <c r="F465" i="12"/>
  <c r="E465" i="12"/>
  <c r="D465" i="12"/>
  <c r="C465" i="12"/>
  <c r="B465" i="12"/>
  <c r="A465" i="12"/>
  <c r="I465" i="12" s="1"/>
  <c r="G464" i="12"/>
  <c r="F464" i="12"/>
  <c r="E464" i="12"/>
  <c r="D464" i="12"/>
  <c r="C464" i="12"/>
  <c r="B464" i="12"/>
  <c r="A464" i="12"/>
  <c r="H464" i="12" s="1"/>
  <c r="G463" i="12"/>
  <c r="E463" i="12"/>
  <c r="D463" i="12"/>
  <c r="C463" i="12"/>
  <c r="B463" i="12"/>
  <c r="F463" i="12" s="1"/>
  <c r="A463" i="12"/>
  <c r="H463" i="12" s="1"/>
  <c r="E462" i="12"/>
  <c r="D462" i="12"/>
  <c r="C462" i="12"/>
  <c r="G462" i="12" s="1"/>
  <c r="B462" i="12"/>
  <c r="F462" i="12" s="1"/>
  <c r="A462" i="12"/>
  <c r="I462" i="12" s="1"/>
  <c r="E461" i="12"/>
  <c r="D461" i="12"/>
  <c r="C461" i="12"/>
  <c r="G461" i="12" s="1"/>
  <c r="B461" i="12"/>
  <c r="F461" i="12" s="1"/>
  <c r="A461" i="12"/>
  <c r="I461" i="12" s="1"/>
  <c r="H460" i="12"/>
  <c r="E460" i="12"/>
  <c r="D460" i="12"/>
  <c r="C460" i="12"/>
  <c r="G460" i="12" s="1"/>
  <c r="B460" i="12"/>
  <c r="F460" i="12" s="1"/>
  <c r="A460" i="12"/>
  <c r="I460" i="12" s="1"/>
  <c r="F459" i="12"/>
  <c r="E459" i="12"/>
  <c r="D459" i="12"/>
  <c r="C459" i="12"/>
  <c r="G459" i="12" s="1"/>
  <c r="B459" i="12"/>
  <c r="A459" i="12"/>
  <c r="I459" i="12" s="1"/>
  <c r="G458" i="12"/>
  <c r="F458" i="12"/>
  <c r="E458" i="12"/>
  <c r="D458" i="12"/>
  <c r="C458" i="12"/>
  <c r="B458" i="12"/>
  <c r="A458" i="12"/>
  <c r="I458" i="12" s="1"/>
  <c r="H457" i="12"/>
  <c r="G457" i="12"/>
  <c r="F457" i="12"/>
  <c r="E457" i="12"/>
  <c r="D457" i="12"/>
  <c r="C457" i="12"/>
  <c r="B457" i="12"/>
  <c r="A457" i="12"/>
  <c r="I457" i="12" s="1"/>
  <c r="I456" i="12"/>
  <c r="G456" i="12"/>
  <c r="F456" i="12"/>
  <c r="E456" i="12"/>
  <c r="D456" i="12"/>
  <c r="C456" i="12"/>
  <c r="B456" i="12"/>
  <c r="A456" i="12"/>
  <c r="H456" i="12" s="1"/>
  <c r="G455" i="12"/>
  <c r="E455" i="12"/>
  <c r="D455" i="12"/>
  <c r="C455" i="12"/>
  <c r="B455" i="12"/>
  <c r="F455" i="12" s="1"/>
  <c r="A455" i="12"/>
  <c r="H455" i="12" s="1"/>
  <c r="E454" i="12"/>
  <c r="D454" i="12"/>
  <c r="C454" i="12"/>
  <c r="G454" i="12" s="1"/>
  <c r="B454" i="12"/>
  <c r="F454" i="12" s="1"/>
  <c r="A454" i="12"/>
  <c r="I454" i="12" s="1"/>
  <c r="E453" i="12"/>
  <c r="D453" i="12"/>
  <c r="C453" i="12"/>
  <c r="G453" i="12" s="1"/>
  <c r="B453" i="12"/>
  <c r="F453" i="12" s="1"/>
  <c r="A453" i="12"/>
  <c r="I453" i="12" s="1"/>
  <c r="H452" i="12"/>
  <c r="E452" i="12"/>
  <c r="D452" i="12"/>
  <c r="C452" i="12"/>
  <c r="G452" i="12" s="1"/>
  <c r="B452" i="12"/>
  <c r="F452" i="12" s="1"/>
  <c r="A452" i="12"/>
  <c r="I452" i="12" s="1"/>
  <c r="F451" i="12"/>
  <c r="E451" i="12"/>
  <c r="D451" i="12"/>
  <c r="C451" i="12"/>
  <c r="G451" i="12" s="1"/>
  <c r="B451" i="12"/>
  <c r="A451" i="12"/>
  <c r="I451" i="12" s="1"/>
  <c r="G450" i="12"/>
  <c r="F450" i="12"/>
  <c r="E450" i="12"/>
  <c r="D450" i="12"/>
  <c r="C450" i="12"/>
  <c r="B450" i="12"/>
  <c r="A450" i="12"/>
  <c r="I450" i="12" s="1"/>
  <c r="H449" i="12"/>
  <c r="G449" i="12"/>
  <c r="F449" i="12"/>
  <c r="E449" i="12"/>
  <c r="D449" i="12"/>
  <c r="C449" i="12"/>
  <c r="B449" i="12"/>
  <c r="A449" i="12"/>
  <c r="I449" i="12" s="1"/>
  <c r="G448" i="12"/>
  <c r="F448" i="12"/>
  <c r="E448" i="12"/>
  <c r="D448" i="12"/>
  <c r="C448" i="12"/>
  <c r="B448" i="12"/>
  <c r="A448" i="12"/>
  <c r="G447" i="12"/>
  <c r="E447" i="12"/>
  <c r="D447" i="12"/>
  <c r="C447" i="12"/>
  <c r="B447" i="12"/>
  <c r="F447" i="12" s="1"/>
  <c r="A447" i="12"/>
  <c r="H447" i="12" s="1"/>
  <c r="E446" i="12"/>
  <c r="D446" i="12"/>
  <c r="C446" i="12"/>
  <c r="G446" i="12" s="1"/>
  <c r="B446" i="12"/>
  <c r="F446" i="12" s="1"/>
  <c r="A446" i="12"/>
  <c r="I446" i="12" s="1"/>
  <c r="E445" i="12"/>
  <c r="D445" i="12"/>
  <c r="C445" i="12"/>
  <c r="G445" i="12" s="1"/>
  <c r="B445" i="12"/>
  <c r="F445" i="12" s="1"/>
  <c r="A445" i="12"/>
  <c r="I445" i="12" s="1"/>
  <c r="H444" i="12"/>
  <c r="E444" i="12"/>
  <c r="D444" i="12"/>
  <c r="C444" i="12"/>
  <c r="G444" i="12" s="1"/>
  <c r="B444" i="12"/>
  <c r="F444" i="12" s="1"/>
  <c r="A444" i="12"/>
  <c r="I444" i="12" s="1"/>
  <c r="F443" i="12"/>
  <c r="E443" i="12"/>
  <c r="D443" i="12"/>
  <c r="C443" i="12"/>
  <c r="G443" i="12" s="1"/>
  <c r="B443" i="12"/>
  <c r="A443" i="12"/>
  <c r="I443" i="12" s="1"/>
  <c r="G442" i="12"/>
  <c r="F442" i="12"/>
  <c r="E442" i="12"/>
  <c r="D442" i="12"/>
  <c r="C442" i="12"/>
  <c r="B442" i="12"/>
  <c r="A442" i="12"/>
  <c r="I442" i="12" s="1"/>
  <c r="H441" i="12"/>
  <c r="G441" i="12"/>
  <c r="F441" i="12"/>
  <c r="E441" i="12"/>
  <c r="D441" i="12"/>
  <c r="C441" i="12"/>
  <c r="B441" i="12"/>
  <c r="A441" i="12"/>
  <c r="I441" i="12" s="1"/>
  <c r="I440" i="12"/>
  <c r="G440" i="12"/>
  <c r="F440" i="12"/>
  <c r="E440" i="12"/>
  <c r="D440" i="12"/>
  <c r="C440" i="12"/>
  <c r="B440" i="12"/>
  <c r="A440" i="12"/>
  <c r="H440" i="12" s="1"/>
  <c r="G439" i="12"/>
  <c r="E439" i="12"/>
  <c r="D439" i="12"/>
  <c r="C439" i="12"/>
  <c r="B439" i="12"/>
  <c r="F439" i="12" s="1"/>
  <c r="A439" i="12"/>
  <c r="H439" i="12" s="1"/>
  <c r="E438" i="12"/>
  <c r="D438" i="12"/>
  <c r="C438" i="12"/>
  <c r="G438" i="12" s="1"/>
  <c r="B438" i="12"/>
  <c r="F438" i="12" s="1"/>
  <c r="A438" i="12"/>
  <c r="I438" i="12" s="1"/>
  <c r="E437" i="12"/>
  <c r="D437" i="12"/>
  <c r="C437" i="12"/>
  <c r="G437" i="12" s="1"/>
  <c r="B437" i="12"/>
  <c r="F437" i="12" s="1"/>
  <c r="A437" i="12"/>
  <c r="I437" i="12" s="1"/>
  <c r="H436" i="12"/>
  <c r="E436" i="12"/>
  <c r="D436" i="12"/>
  <c r="C436" i="12"/>
  <c r="G436" i="12" s="1"/>
  <c r="B436" i="12"/>
  <c r="F436" i="12" s="1"/>
  <c r="A436" i="12"/>
  <c r="I436" i="12" s="1"/>
  <c r="F435" i="12"/>
  <c r="E435" i="12"/>
  <c r="D435" i="12"/>
  <c r="C435" i="12"/>
  <c r="G435" i="12" s="1"/>
  <c r="B435" i="12"/>
  <c r="A435" i="12"/>
  <c r="I435" i="12" s="1"/>
  <c r="G434" i="12"/>
  <c r="F434" i="12"/>
  <c r="E434" i="12"/>
  <c r="D434" i="12"/>
  <c r="C434" i="12"/>
  <c r="B434" i="12"/>
  <c r="A434" i="12"/>
  <c r="I434" i="12" s="1"/>
  <c r="H433" i="12"/>
  <c r="G433" i="12"/>
  <c r="F433" i="12"/>
  <c r="E433" i="12"/>
  <c r="D433" i="12"/>
  <c r="C433" i="12"/>
  <c r="B433" i="12"/>
  <c r="A433" i="12"/>
  <c r="I433" i="12" s="1"/>
  <c r="G432" i="12"/>
  <c r="F432" i="12"/>
  <c r="E432" i="12"/>
  <c r="D432" i="12"/>
  <c r="C432" i="12"/>
  <c r="B432" i="12"/>
  <c r="A432" i="12"/>
  <c r="H432" i="12" s="1"/>
  <c r="G431" i="12"/>
  <c r="E431" i="12"/>
  <c r="D431" i="12"/>
  <c r="C431" i="12"/>
  <c r="B431" i="12"/>
  <c r="F431" i="12" s="1"/>
  <c r="A431" i="12"/>
  <c r="H431" i="12" s="1"/>
  <c r="E430" i="12"/>
  <c r="D430" i="12"/>
  <c r="C430" i="12"/>
  <c r="G430" i="12" s="1"/>
  <c r="B430" i="12"/>
  <c r="F430" i="12" s="1"/>
  <c r="A430" i="12"/>
  <c r="I430" i="12" s="1"/>
  <c r="E429" i="12"/>
  <c r="D429" i="12"/>
  <c r="C429" i="12"/>
  <c r="G429" i="12" s="1"/>
  <c r="B429" i="12"/>
  <c r="F429" i="12" s="1"/>
  <c r="A429" i="12"/>
  <c r="I429" i="12" s="1"/>
  <c r="H428" i="12"/>
  <c r="E428" i="12"/>
  <c r="D428" i="12"/>
  <c r="C428" i="12"/>
  <c r="G428" i="12" s="1"/>
  <c r="B428" i="12"/>
  <c r="F428" i="12" s="1"/>
  <c r="A428" i="12"/>
  <c r="I428" i="12" s="1"/>
  <c r="F427" i="12"/>
  <c r="E427" i="12"/>
  <c r="D427" i="12"/>
  <c r="C427" i="12"/>
  <c r="G427" i="12" s="1"/>
  <c r="B427" i="12"/>
  <c r="A427" i="12"/>
  <c r="I427" i="12" s="1"/>
  <c r="G426" i="12"/>
  <c r="F426" i="12"/>
  <c r="E426" i="12"/>
  <c r="D426" i="12"/>
  <c r="C426" i="12"/>
  <c r="B426" i="12"/>
  <c r="A426" i="12"/>
  <c r="I426" i="12" s="1"/>
  <c r="H425" i="12"/>
  <c r="G425" i="12"/>
  <c r="F425" i="12"/>
  <c r="E425" i="12"/>
  <c r="D425" i="12"/>
  <c r="C425" i="12"/>
  <c r="B425" i="12"/>
  <c r="A425" i="12"/>
  <c r="I425" i="12" s="1"/>
  <c r="I424" i="12"/>
  <c r="G424" i="12"/>
  <c r="F424" i="12"/>
  <c r="E424" i="12"/>
  <c r="D424" i="12"/>
  <c r="C424" i="12"/>
  <c r="B424" i="12"/>
  <c r="A424" i="12"/>
  <c r="H424" i="12" s="1"/>
  <c r="G423" i="12"/>
  <c r="E423" i="12"/>
  <c r="D423" i="12"/>
  <c r="C423" i="12"/>
  <c r="B423" i="12"/>
  <c r="F423" i="12" s="1"/>
  <c r="A423" i="12"/>
  <c r="H423" i="12" s="1"/>
  <c r="E422" i="12"/>
  <c r="D422" i="12"/>
  <c r="C422" i="12"/>
  <c r="G422" i="12" s="1"/>
  <c r="B422" i="12"/>
  <c r="F422" i="12" s="1"/>
  <c r="A422" i="12"/>
  <c r="I422" i="12" s="1"/>
  <c r="E421" i="12"/>
  <c r="D421" i="12"/>
  <c r="C421" i="12"/>
  <c r="G421" i="12" s="1"/>
  <c r="B421" i="12"/>
  <c r="F421" i="12" s="1"/>
  <c r="A421" i="12"/>
  <c r="I421" i="12" s="1"/>
  <c r="H420" i="12"/>
  <c r="E420" i="12"/>
  <c r="D420" i="12"/>
  <c r="C420" i="12"/>
  <c r="G420" i="12" s="1"/>
  <c r="B420" i="12"/>
  <c r="F420" i="12" s="1"/>
  <c r="A420" i="12"/>
  <c r="I420" i="12" s="1"/>
  <c r="F419" i="12"/>
  <c r="E419" i="12"/>
  <c r="D419" i="12"/>
  <c r="C419" i="12"/>
  <c r="G419" i="12" s="1"/>
  <c r="B419" i="12"/>
  <c r="A419" i="12"/>
  <c r="I419" i="12" s="1"/>
  <c r="G418" i="12"/>
  <c r="F418" i="12"/>
  <c r="E418" i="12"/>
  <c r="D418" i="12"/>
  <c r="C418" i="12"/>
  <c r="B418" i="12"/>
  <c r="A418" i="12"/>
  <c r="I418" i="12" s="1"/>
  <c r="H417" i="12"/>
  <c r="G417" i="12"/>
  <c r="F417" i="12"/>
  <c r="E417" i="12"/>
  <c r="D417" i="12"/>
  <c r="C417" i="12"/>
  <c r="B417" i="12"/>
  <c r="A417" i="12"/>
  <c r="I417" i="12" s="1"/>
  <c r="G416" i="12"/>
  <c r="F416" i="12"/>
  <c r="E416" i="12"/>
  <c r="D416" i="12"/>
  <c r="C416" i="12"/>
  <c r="B416" i="12"/>
  <c r="A416" i="12"/>
  <c r="H416" i="12" s="1"/>
  <c r="G415" i="12"/>
  <c r="E415" i="12"/>
  <c r="D415" i="12"/>
  <c r="C415" i="12"/>
  <c r="B415" i="12"/>
  <c r="F415" i="12" s="1"/>
  <c r="A415" i="12"/>
  <c r="H415" i="12" s="1"/>
  <c r="E414" i="12"/>
  <c r="D414" i="12"/>
  <c r="C414" i="12"/>
  <c r="G414" i="12" s="1"/>
  <c r="B414" i="12"/>
  <c r="F414" i="12" s="1"/>
  <c r="A414" i="12"/>
  <c r="I414" i="12" s="1"/>
  <c r="E413" i="12"/>
  <c r="D413" i="12"/>
  <c r="C413" i="12"/>
  <c r="G413" i="12" s="1"/>
  <c r="B413" i="12"/>
  <c r="F413" i="12" s="1"/>
  <c r="A413" i="12"/>
  <c r="I413" i="12" s="1"/>
  <c r="H412" i="12"/>
  <c r="E412" i="12"/>
  <c r="D412" i="12"/>
  <c r="C412" i="12"/>
  <c r="G412" i="12" s="1"/>
  <c r="B412" i="12"/>
  <c r="F412" i="12" s="1"/>
  <c r="A412" i="12"/>
  <c r="I412" i="12" s="1"/>
  <c r="F411" i="12"/>
  <c r="E411" i="12"/>
  <c r="D411" i="12"/>
  <c r="C411" i="12"/>
  <c r="G411" i="12" s="1"/>
  <c r="B411" i="12"/>
  <c r="A411" i="12"/>
  <c r="I411" i="12" s="1"/>
  <c r="G410" i="12"/>
  <c r="F410" i="12"/>
  <c r="E410" i="12"/>
  <c r="D410" i="12"/>
  <c r="C410" i="12"/>
  <c r="B410" i="12"/>
  <c r="A410" i="12"/>
  <c r="I410" i="12" s="1"/>
  <c r="H409" i="12"/>
  <c r="G409" i="12"/>
  <c r="F409" i="12"/>
  <c r="E409" i="12"/>
  <c r="D409" i="12"/>
  <c r="C409" i="12"/>
  <c r="B409" i="12"/>
  <c r="A409" i="12"/>
  <c r="I409" i="12" s="1"/>
  <c r="G408" i="12"/>
  <c r="F408" i="12"/>
  <c r="E408" i="12"/>
  <c r="D408" i="12"/>
  <c r="C408" i="12"/>
  <c r="B408" i="12"/>
  <c r="A408" i="12"/>
  <c r="I407" i="12"/>
  <c r="G407" i="12"/>
  <c r="E407" i="12"/>
  <c r="D407" i="12"/>
  <c r="C407" i="12"/>
  <c r="B407" i="12"/>
  <c r="F407" i="12" s="1"/>
  <c r="A407" i="12"/>
  <c r="H407" i="12" s="1"/>
  <c r="E406" i="12"/>
  <c r="D406" i="12"/>
  <c r="C406" i="12"/>
  <c r="G406" i="12" s="1"/>
  <c r="B406" i="12"/>
  <c r="F406" i="12" s="1"/>
  <c r="A406" i="12"/>
  <c r="I406" i="12" s="1"/>
  <c r="E405" i="12"/>
  <c r="D405" i="12"/>
  <c r="C405" i="12"/>
  <c r="G405" i="12" s="1"/>
  <c r="B405" i="12"/>
  <c r="F405" i="12" s="1"/>
  <c r="A405" i="12"/>
  <c r="I405" i="12" s="1"/>
  <c r="H404" i="12"/>
  <c r="E404" i="12"/>
  <c r="D404" i="12"/>
  <c r="C404" i="12"/>
  <c r="G404" i="12" s="1"/>
  <c r="B404" i="12"/>
  <c r="F404" i="12" s="1"/>
  <c r="A404" i="12"/>
  <c r="I404" i="12" s="1"/>
  <c r="F403" i="12"/>
  <c r="E403" i="12"/>
  <c r="D403" i="12"/>
  <c r="C403" i="12"/>
  <c r="G403" i="12" s="1"/>
  <c r="B403" i="12"/>
  <c r="A403" i="12"/>
  <c r="I403" i="12" s="1"/>
  <c r="G402" i="12"/>
  <c r="F402" i="12"/>
  <c r="E402" i="12"/>
  <c r="D402" i="12"/>
  <c r="C402" i="12"/>
  <c r="B402" i="12"/>
  <c r="A402" i="12"/>
  <c r="I402" i="12" s="1"/>
  <c r="H401" i="12"/>
  <c r="G401" i="12"/>
  <c r="F401" i="12"/>
  <c r="E401" i="12"/>
  <c r="D401" i="12"/>
  <c r="C401" i="12"/>
  <c r="B401" i="12"/>
  <c r="A401" i="12"/>
  <c r="I401" i="12" s="1"/>
  <c r="H400" i="12"/>
  <c r="G400" i="12"/>
  <c r="F400" i="12"/>
  <c r="E400" i="12"/>
  <c r="D400" i="12"/>
  <c r="C400" i="12"/>
  <c r="B400" i="12"/>
  <c r="A400" i="12"/>
  <c r="I400" i="12" s="1"/>
  <c r="G399" i="12"/>
  <c r="E399" i="12"/>
  <c r="D399" i="12"/>
  <c r="C399" i="12"/>
  <c r="B399" i="12"/>
  <c r="F399" i="12" s="1"/>
  <c r="A399" i="12"/>
  <c r="H399" i="12" s="1"/>
  <c r="E398" i="12"/>
  <c r="D398" i="12"/>
  <c r="C398" i="12"/>
  <c r="G398" i="12" s="1"/>
  <c r="B398" i="12"/>
  <c r="F398" i="12" s="1"/>
  <c r="A398" i="12"/>
  <c r="I398" i="12" s="1"/>
  <c r="E397" i="12"/>
  <c r="D397" i="12"/>
  <c r="C397" i="12"/>
  <c r="G397" i="12" s="1"/>
  <c r="B397" i="12"/>
  <c r="F397" i="12" s="1"/>
  <c r="A397" i="12"/>
  <c r="I397" i="12" s="1"/>
  <c r="H396" i="12"/>
  <c r="E396" i="12"/>
  <c r="D396" i="12"/>
  <c r="C396" i="12"/>
  <c r="G396" i="12" s="1"/>
  <c r="B396" i="12"/>
  <c r="F396" i="12" s="1"/>
  <c r="A396" i="12"/>
  <c r="I396" i="12" s="1"/>
  <c r="F395" i="12"/>
  <c r="E395" i="12"/>
  <c r="D395" i="12"/>
  <c r="C395" i="12"/>
  <c r="G395" i="12" s="1"/>
  <c r="B395" i="12"/>
  <c r="A395" i="12"/>
  <c r="I395" i="12" s="1"/>
  <c r="G394" i="12"/>
  <c r="F394" i="12"/>
  <c r="E394" i="12"/>
  <c r="D394" i="12"/>
  <c r="C394" i="12"/>
  <c r="B394" i="12"/>
  <c r="A394" i="12"/>
  <c r="I394" i="12" s="1"/>
  <c r="H393" i="12"/>
  <c r="G393" i="12"/>
  <c r="F393" i="12"/>
  <c r="E393" i="12"/>
  <c r="D393" i="12"/>
  <c r="C393" i="12"/>
  <c r="B393" i="12"/>
  <c r="A393" i="12"/>
  <c r="I393" i="12" s="1"/>
  <c r="G392" i="12"/>
  <c r="F392" i="12"/>
  <c r="E392" i="12"/>
  <c r="D392" i="12"/>
  <c r="C392" i="12"/>
  <c r="B392" i="12"/>
  <c r="A392" i="12"/>
  <c r="I392" i="12" s="1"/>
  <c r="G391" i="12"/>
  <c r="E391" i="12"/>
  <c r="D391" i="12"/>
  <c r="C391" i="12"/>
  <c r="B391" i="12"/>
  <c r="F391" i="12" s="1"/>
  <c r="A391" i="12"/>
  <c r="H391" i="12" s="1"/>
  <c r="E390" i="12"/>
  <c r="D390" i="12"/>
  <c r="C390" i="12"/>
  <c r="G390" i="12" s="1"/>
  <c r="B390" i="12"/>
  <c r="F390" i="12" s="1"/>
  <c r="A390" i="12"/>
  <c r="I390" i="12" s="1"/>
  <c r="E389" i="12"/>
  <c r="D389" i="12"/>
  <c r="C389" i="12"/>
  <c r="G389" i="12" s="1"/>
  <c r="B389" i="12"/>
  <c r="F389" i="12" s="1"/>
  <c r="A389" i="12"/>
  <c r="I389" i="12" s="1"/>
  <c r="H388" i="12"/>
  <c r="E388" i="12"/>
  <c r="D388" i="12"/>
  <c r="C388" i="12"/>
  <c r="G388" i="12" s="1"/>
  <c r="B388" i="12"/>
  <c r="F388" i="12" s="1"/>
  <c r="A388" i="12"/>
  <c r="I388" i="12" s="1"/>
  <c r="F387" i="12"/>
  <c r="E387" i="12"/>
  <c r="D387" i="12"/>
  <c r="C387" i="12"/>
  <c r="G387" i="12" s="1"/>
  <c r="B387" i="12"/>
  <c r="A387" i="12"/>
  <c r="I387" i="12" s="1"/>
  <c r="G386" i="12"/>
  <c r="F386" i="12"/>
  <c r="E386" i="12"/>
  <c r="D386" i="12"/>
  <c r="C386" i="12"/>
  <c r="B386" i="12"/>
  <c r="A386" i="12"/>
  <c r="I386" i="12" s="1"/>
  <c r="H385" i="12"/>
  <c r="G385" i="12"/>
  <c r="F385" i="12"/>
  <c r="E385" i="12"/>
  <c r="D385" i="12"/>
  <c r="C385" i="12"/>
  <c r="B385" i="12"/>
  <c r="A385" i="12"/>
  <c r="I385" i="12" s="1"/>
  <c r="H384" i="12"/>
  <c r="G384" i="12"/>
  <c r="F384" i="12"/>
  <c r="E384" i="12"/>
  <c r="D384" i="12"/>
  <c r="C384" i="12"/>
  <c r="B384" i="12"/>
  <c r="A384" i="12"/>
  <c r="I384" i="12" s="1"/>
  <c r="I383" i="12"/>
  <c r="G383" i="12"/>
  <c r="E383" i="12"/>
  <c r="D383" i="12"/>
  <c r="C383" i="12"/>
  <c r="B383" i="12"/>
  <c r="F383" i="12" s="1"/>
  <c r="A383" i="12"/>
  <c r="H383" i="12" s="1"/>
  <c r="E382" i="12"/>
  <c r="D382" i="12"/>
  <c r="C382" i="12"/>
  <c r="G382" i="12" s="1"/>
  <c r="B382" i="12"/>
  <c r="F382" i="12" s="1"/>
  <c r="A382" i="12"/>
  <c r="I382" i="12" s="1"/>
  <c r="E381" i="12"/>
  <c r="D381" i="12"/>
  <c r="C381" i="12"/>
  <c r="G381" i="12" s="1"/>
  <c r="B381" i="12"/>
  <c r="F381" i="12" s="1"/>
  <c r="A381" i="12"/>
  <c r="I381" i="12" s="1"/>
  <c r="H380" i="12"/>
  <c r="E380" i="12"/>
  <c r="D380" i="12"/>
  <c r="C380" i="12"/>
  <c r="G380" i="12" s="1"/>
  <c r="B380" i="12"/>
  <c r="F380" i="12" s="1"/>
  <c r="A380" i="12"/>
  <c r="I380" i="12" s="1"/>
  <c r="F379" i="12"/>
  <c r="E379" i="12"/>
  <c r="D379" i="12"/>
  <c r="C379" i="12"/>
  <c r="G379" i="12" s="1"/>
  <c r="B379" i="12"/>
  <c r="A379" i="12"/>
  <c r="I379" i="12" s="1"/>
  <c r="G378" i="12"/>
  <c r="F378" i="12"/>
  <c r="E378" i="12"/>
  <c r="D378" i="12"/>
  <c r="C378" i="12"/>
  <c r="B378" i="12"/>
  <c r="A378" i="12"/>
  <c r="I378" i="12" s="1"/>
  <c r="H377" i="12"/>
  <c r="G377" i="12"/>
  <c r="F377" i="12"/>
  <c r="E377" i="12"/>
  <c r="D377" i="12"/>
  <c r="C377" i="12"/>
  <c r="B377" i="12"/>
  <c r="A377" i="12"/>
  <c r="I377" i="12" s="1"/>
  <c r="G376" i="12"/>
  <c r="F376" i="12"/>
  <c r="E376" i="12"/>
  <c r="D376" i="12"/>
  <c r="C376" i="12"/>
  <c r="B376" i="12"/>
  <c r="A376" i="12"/>
  <c r="I376" i="12" s="1"/>
  <c r="I375" i="12"/>
  <c r="G375" i="12"/>
  <c r="E375" i="12"/>
  <c r="D375" i="12"/>
  <c r="C375" i="12"/>
  <c r="B375" i="12"/>
  <c r="F375" i="12" s="1"/>
  <c r="A375" i="12"/>
  <c r="H375" i="12" s="1"/>
  <c r="E374" i="12"/>
  <c r="D374" i="12"/>
  <c r="C374" i="12"/>
  <c r="G374" i="12" s="1"/>
  <c r="B374" i="12"/>
  <c r="F374" i="12" s="1"/>
  <c r="A374" i="12"/>
  <c r="I374" i="12" s="1"/>
  <c r="E373" i="12"/>
  <c r="D373" i="12"/>
  <c r="C373" i="12"/>
  <c r="G373" i="12" s="1"/>
  <c r="B373" i="12"/>
  <c r="F373" i="12" s="1"/>
  <c r="A373" i="12"/>
  <c r="I373" i="12" s="1"/>
  <c r="H372" i="12"/>
  <c r="E372" i="12"/>
  <c r="D372" i="12"/>
  <c r="C372" i="12"/>
  <c r="G372" i="12" s="1"/>
  <c r="B372" i="12"/>
  <c r="F372" i="12" s="1"/>
  <c r="A372" i="12"/>
  <c r="I372" i="12" s="1"/>
  <c r="F371" i="12"/>
  <c r="E371" i="12"/>
  <c r="D371" i="12"/>
  <c r="C371" i="12"/>
  <c r="G371" i="12" s="1"/>
  <c r="B371" i="12"/>
  <c r="A371" i="12"/>
  <c r="I371" i="12" s="1"/>
  <c r="G370" i="12"/>
  <c r="F370" i="12"/>
  <c r="E370" i="12"/>
  <c r="D370" i="12"/>
  <c r="C370" i="12"/>
  <c r="B370" i="12"/>
  <c r="A370" i="12"/>
  <c r="I370" i="12" s="1"/>
  <c r="H369" i="12"/>
  <c r="G369" i="12"/>
  <c r="F369" i="12"/>
  <c r="E369" i="12"/>
  <c r="D369" i="12"/>
  <c r="C369" i="12"/>
  <c r="B369" i="12"/>
  <c r="A369" i="12"/>
  <c r="I369" i="12" s="1"/>
  <c r="H368" i="12"/>
  <c r="G368" i="12"/>
  <c r="F368" i="12"/>
  <c r="E368" i="12"/>
  <c r="D368" i="12"/>
  <c r="C368" i="12"/>
  <c r="B368" i="12"/>
  <c r="A368" i="12"/>
  <c r="I368" i="12" s="1"/>
  <c r="G367" i="12"/>
  <c r="E367" i="12"/>
  <c r="D367" i="12"/>
  <c r="C367" i="12"/>
  <c r="B367" i="12"/>
  <c r="F367" i="12" s="1"/>
  <c r="A367" i="12"/>
  <c r="E366" i="12"/>
  <c r="D366" i="12"/>
  <c r="C366" i="12"/>
  <c r="G366" i="12" s="1"/>
  <c r="B366" i="12"/>
  <c r="F366" i="12" s="1"/>
  <c r="A366" i="12"/>
  <c r="I366" i="12" s="1"/>
  <c r="E365" i="12"/>
  <c r="D365" i="12"/>
  <c r="C365" i="12"/>
  <c r="G365" i="12" s="1"/>
  <c r="B365" i="12"/>
  <c r="F365" i="12" s="1"/>
  <c r="A365" i="12"/>
  <c r="I365" i="12" s="1"/>
  <c r="H364" i="12"/>
  <c r="E364" i="12"/>
  <c r="D364" i="12"/>
  <c r="C364" i="12"/>
  <c r="G364" i="12" s="1"/>
  <c r="B364" i="12"/>
  <c r="F364" i="12" s="1"/>
  <c r="A364" i="12"/>
  <c r="I364" i="12" s="1"/>
  <c r="F363" i="12"/>
  <c r="E363" i="12"/>
  <c r="D363" i="12"/>
  <c r="C363" i="12"/>
  <c r="G363" i="12" s="1"/>
  <c r="B363" i="12"/>
  <c r="A363" i="12"/>
  <c r="I363" i="12" s="1"/>
  <c r="G362" i="12"/>
  <c r="F362" i="12"/>
  <c r="E362" i="12"/>
  <c r="D362" i="12"/>
  <c r="C362" i="12"/>
  <c r="B362" i="12"/>
  <c r="A362" i="12"/>
  <c r="I362" i="12" s="1"/>
  <c r="H361" i="12"/>
  <c r="G361" i="12"/>
  <c r="F361" i="12"/>
  <c r="E361" i="12"/>
  <c r="D361" i="12"/>
  <c r="C361" i="12"/>
  <c r="B361" i="12"/>
  <c r="A361" i="12"/>
  <c r="I361" i="12" s="1"/>
  <c r="G360" i="12"/>
  <c r="F360" i="12"/>
  <c r="E360" i="12"/>
  <c r="D360" i="12"/>
  <c r="C360" i="12"/>
  <c r="B360" i="12"/>
  <c r="A360" i="12"/>
  <c r="I360" i="12" s="1"/>
  <c r="G359" i="12"/>
  <c r="E359" i="12"/>
  <c r="D359" i="12"/>
  <c r="C359" i="12"/>
  <c r="B359" i="12"/>
  <c r="F359" i="12" s="1"/>
  <c r="A359" i="12"/>
  <c r="H359" i="12" s="1"/>
  <c r="E358" i="12"/>
  <c r="D358" i="12"/>
  <c r="C358" i="12"/>
  <c r="G358" i="12" s="1"/>
  <c r="B358" i="12"/>
  <c r="F358" i="12" s="1"/>
  <c r="A358" i="12"/>
  <c r="I358" i="12" s="1"/>
  <c r="E357" i="12"/>
  <c r="D357" i="12"/>
  <c r="C357" i="12"/>
  <c r="G357" i="12" s="1"/>
  <c r="B357" i="12"/>
  <c r="F357" i="12" s="1"/>
  <c r="A357" i="12"/>
  <c r="I357" i="12" s="1"/>
  <c r="H356" i="12"/>
  <c r="E356" i="12"/>
  <c r="D356" i="12"/>
  <c r="C356" i="12"/>
  <c r="G356" i="12" s="1"/>
  <c r="B356" i="12"/>
  <c r="F356" i="12" s="1"/>
  <c r="A356" i="12"/>
  <c r="I356" i="12" s="1"/>
  <c r="F355" i="12"/>
  <c r="E355" i="12"/>
  <c r="D355" i="12"/>
  <c r="C355" i="12"/>
  <c r="G355" i="12" s="1"/>
  <c r="B355" i="12"/>
  <c r="A355" i="12"/>
  <c r="I355" i="12" s="1"/>
  <c r="G354" i="12"/>
  <c r="F354" i="12"/>
  <c r="E354" i="12"/>
  <c r="D354" i="12"/>
  <c r="C354" i="12"/>
  <c r="B354" i="12"/>
  <c r="A354" i="12"/>
  <c r="I354" i="12" s="1"/>
  <c r="H353" i="12"/>
  <c r="G353" i="12"/>
  <c r="F353" i="12"/>
  <c r="E353" i="12"/>
  <c r="D353" i="12"/>
  <c r="C353" i="12"/>
  <c r="B353" i="12"/>
  <c r="A353" i="12"/>
  <c r="I353" i="12" s="1"/>
  <c r="H352" i="12"/>
  <c r="G352" i="12"/>
  <c r="F352" i="12"/>
  <c r="E352" i="12"/>
  <c r="D352" i="12"/>
  <c r="C352" i="12"/>
  <c r="B352" i="12"/>
  <c r="A352" i="12"/>
  <c r="I352" i="12" s="1"/>
  <c r="I351" i="12"/>
  <c r="G351" i="12"/>
  <c r="E351" i="12"/>
  <c r="D351" i="12"/>
  <c r="C351" i="12"/>
  <c r="B351" i="12"/>
  <c r="F351" i="12" s="1"/>
  <c r="A351" i="12"/>
  <c r="H351" i="12" s="1"/>
  <c r="E350" i="12"/>
  <c r="D350" i="12"/>
  <c r="C350" i="12"/>
  <c r="G350" i="12" s="1"/>
  <c r="B350" i="12"/>
  <c r="F350" i="12" s="1"/>
  <c r="A350" i="12"/>
  <c r="I350" i="12" s="1"/>
  <c r="E349" i="12"/>
  <c r="D349" i="12"/>
  <c r="C349" i="12"/>
  <c r="G349" i="12" s="1"/>
  <c r="B349" i="12"/>
  <c r="F349" i="12" s="1"/>
  <c r="A349" i="12"/>
  <c r="I349" i="12" s="1"/>
  <c r="H348" i="12"/>
  <c r="E348" i="12"/>
  <c r="D348" i="12"/>
  <c r="C348" i="12"/>
  <c r="G348" i="12" s="1"/>
  <c r="B348" i="12"/>
  <c r="F348" i="12" s="1"/>
  <c r="A348" i="12"/>
  <c r="I348" i="12" s="1"/>
  <c r="F347" i="12"/>
  <c r="E347" i="12"/>
  <c r="D347" i="12"/>
  <c r="C347" i="12"/>
  <c r="G347" i="12" s="1"/>
  <c r="B347" i="12"/>
  <c r="A347" i="12"/>
  <c r="I347" i="12" s="1"/>
  <c r="G346" i="12"/>
  <c r="F346" i="12"/>
  <c r="E346" i="12"/>
  <c r="D346" i="12"/>
  <c r="C346" i="12"/>
  <c r="B346" i="12"/>
  <c r="A346" i="12"/>
  <c r="I346" i="12" s="1"/>
  <c r="H345" i="12"/>
  <c r="G345" i="12"/>
  <c r="F345" i="12"/>
  <c r="E345" i="12"/>
  <c r="D345" i="12"/>
  <c r="C345" i="12"/>
  <c r="B345" i="12"/>
  <c r="A345" i="12"/>
  <c r="I345" i="12" s="1"/>
  <c r="I344" i="12"/>
  <c r="G344" i="12"/>
  <c r="F344" i="12"/>
  <c r="E344" i="12"/>
  <c r="D344" i="12"/>
  <c r="C344" i="12"/>
  <c r="B344" i="12"/>
  <c r="A344" i="12"/>
  <c r="H344" i="12" s="1"/>
  <c r="I343" i="12"/>
  <c r="G343" i="12"/>
  <c r="E343" i="12"/>
  <c r="D343" i="12"/>
  <c r="C343" i="12"/>
  <c r="B343" i="12"/>
  <c r="F343" i="12" s="1"/>
  <c r="A343" i="12"/>
  <c r="H343" i="12" s="1"/>
  <c r="E342" i="12"/>
  <c r="D342" i="12"/>
  <c r="C342" i="12"/>
  <c r="G342" i="12" s="1"/>
  <c r="B342" i="12"/>
  <c r="F342" i="12" s="1"/>
  <c r="A342" i="12"/>
  <c r="I342" i="12" s="1"/>
  <c r="E341" i="12"/>
  <c r="D341" i="12"/>
  <c r="C341" i="12"/>
  <c r="G341" i="12" s="1"/>
  <c r="B341" i="12"/>
  <c r="F341" i="12" s="1"/>
  <c r="A341" i="12"/>
  <c r="I341" i="12" s="1"/>
  <c r="H340" i="12"/>
  <c r="E340" i="12"/>
  <c r="D340" i="12"/>
  <c r="C340" i="12"/>
  <c r="G340" i="12" s="1"/>
  <c r="B340" i="12"/>
  <c r="F340" i="12" s="1"/>
  <c r="A340" i="12"/>
  <c r="I340" i="12" s="1"/>
  <c r="F339" i="12"/>
  <c r="E339" i="12"/>
  <c r="D339" i="12"/>
  <c r="C339" i="12"/>
  <c r="G339" i="12" s="1"/>
  <c r="B339" i="12"/>
  <c r="A339" i="12"/>
  <c r="I339" i="12" s="1"/>
  <c r="G338" i="12"/>
  <c r="F338" i="12"/>
  <c r="E338" i="12"/>
  <c r="D338" i="12"/>
  <c r="C338" i="12"/>
  <c r="B338" i="12"/>
  <c r="A338" i="12"/>
  <c r="I338" i="12" s="1"/>
  <c r="H337" i="12"/>
  <c r="G337" i="12"/>
  <c r="F337" i="12"/>
  <c r="E337" i="12"/>
  <c r="D337" i="12"/>
  <c r="C337" i="12"/>
  <c r="B337" i="12"/>
  <c r="A337" i="12"/>
  <c r="I337" i="12" s="1"/>
  <c r="H336" i="12"/>
  <c r="G336" i="12"/>
  <c r="F336" i="12"/>
  <c r="E336" i="12"/>
  <c r="D336" i="12"/>
  <c r="C336" i="12"/>
  <c r="B336" i="12"/>
  <c r="A336" i="12"/>
  <c r="I336" i="12" s="1"/>
  <c r="G335" i="12"/>
  <c r="E335" i="12"/>
  <c r="D335" i="12"/>
  <c r="C335" i="12"/>
  <c r="B335" i="12"/>
  <c r="F335" i="12" s="1"/>
  <c r="A335" i="12"/>
  <c r="H335" i="12" s="1"/>
  <c r="E334" i="12"/>
  <c r="D334" i="12"/>
  <c r="C334" i="12"/>
  <c r="G334" i="12" s="1"/>
  <c r="B334" i="12"/>
  <c r="F334" i="12" s="1"/>
  <c r="A334" i="12"/>
  <c r="I334" i="12" s="1"/>
  <c r="E333" i="12"/>
  <c r="D333" i="12"/>
  <c r="C333" i="12"/>
  <c r="G333" i="12" s="1"/>
  <c r="B333" i="12"/>
  <c r="F333" i="12" s="1"/>
  <c r="A333" i="12"/>
  <c r="I333" i="12" s="1"/>
  <c r="H332" i="12"/>
  <c r="E332" i="12"/>
  <c r="D332" i="12"/>
  <c r="C332" i="12"/>
  <c r="G332" i="12" s="1"/>
  <c r="B332" i="12"/>
  <c r="F332" i="12" s="1"/>
  <c r="A332" i="12"/>
  <c r="I332" i="12" s="1"/>
  <c r="F331" i="12"/>
  <c r="E331" i="12"/>
  <c r="D331" i="12"/>
  <c r="C331" i="12"/>
  <c r="G331" i="12" s="1"/>
  <c r="B331" i="12"/>
  <c r="A331" i="12"/>
  <c r="I331" i="12" s="1"/>
  <c r="G330" i="12"/>
  <c r="F330" i="12"/>
  <c r="E330" i="12"/>
  <c r="D330" i="12"/>
  <c r="C330" i="12"/>
  <c r="B330" i="12"/>
  <c r="A330" i="12"/>
  <c r="I330" i="12" s="1"/>
  <c r="H329" i="12"/>
  <c r="G329" i="12"/>
  <c r="F329" i="12"/>
  <c r="E329" i="12"/>
  <c r="D329" i="12"/>
  <c r="C329" i="12"/>
  <c r="B329" i="12"/>
  <c r="A329" i="12"/>
  <c r="I329" i="12" s="1"/>
  <c r="G328" i="12"/>
  <c r="F328" i="12"/>
  <c r="E328" i="12"/>
  <c r="D328" i="12"/>
  <c r="C328" i="12"/>
  <c r="B328" i="12"/>
  <c r="A328" i="12"/>
  <c r="I328" i="12" s="1"/>
  <c r="G327" i="12"/>
  <c r="E327" i="12"/>
  <c r="D327" i="12"/>
  <c r="C327" i="12"/>
  <c r="B327" i="12"/>
  <c r="F327" i="12" s="1"/>
  <c r="A327" i="12"/>
  <c r="H327" i="12" s="1"/>
  <c r="E326" i="12"/>
  <c r="D326" i="12"/>
  <c r="C326" i="12"/>
  <c r="G326" i="12" s="1"/>
  <c r="B326" i="12"/>
  <c r="F326" i="12" s="1"/>
  <c r="A326" i="12"/>
  <c r="I326" i="12" s="1"/>
  <c r="E325" i="12"/>
  <c r="D325" i="12"/>
  <c r="C325" i="12"/>
  <c r="G325" i="12" s="1"/>
  <c r="B325" i="12"/>
  <c r="F325" i="12" s="1"/>
  <c r="A325" i="12"/>
  <c r="I325" i="12" s="1"/>
  <c r="H324" i="12"/>
  <c r="E324" i="12"/>
  <c r="D324" i="12"/>
  <c r="C324" i="12"/>
  <c r="G324" i="12" s="1"/>
  <c r="B324" i="12"/>
  <c r="F324" i="12" s="1"/>
  <c r="A324" i="12"/>
  <c r="I324" i="12" s="1"/>
  <c r="F323" i="12"/>
  <c r="E323" i="12"/>
  <c r="D323" i="12"/>
  <c r="C323" i="12"/>
  <c r="G323" i="12" s="1"/>
  <c r="B323" i="12"/>
  <c r="A323" i="12"/>
  <c r="I323" i="12" s="1"/>
  <c r="G322" i="12"/>
  <c r="F322" i="12"/>
  <c r="E322" i="12"/>
  <c r="D322" i="12"/>
  <c r="C322" i="12"/>
  <c r="B322" i="12"/>
  <c r="A322" i="12"/>
  <c r="I322" i="12" s="1"/>
  <c r="H321" i="12"/>
  <c r="G321" i="12"/>
  <c r="F321" i="12"/>
  <c r="E321" i="12"/>
  <c r="D321" i="12"/>
  <c r="C321" i="12"/>
  <c r="B321" i="12"/>
  <c r="A321" i="12"/>
  <c r="I321" i="12" s="1"/>
  <c r="H320" i="12"/>
  <c r="G320" i="12"/>
  <c r="F320" i="12"/>
  <c r="E320" i="12"/>
  <c r="D320" i="12"/>
  <c r="C320" i="12"/>
  <c r="B320" i="12"/>
  <c r="A320" i="12"/>
  <c r="I320" i="12" s="1"/>
  <c r="I319" i="12"/>
  <c r="G319" i="12"/>
  <c r="E319" i="12"/>
  <c r="D319" i="12"/>
  <c r="C319" i="12"/>
  <c r="B319" i="12"/>
  <c r="F319" i="12" s="1"/>
  <c r="A319" i="12"/>
  <c r="H319" i="12" s="1"/>
  <c r="E318" i="12"/>
  <c r="D318" i="12"/>
  <c r="C318" i="12"/>
  <c r="G318" i="12" s="1"/>
  <c r="B318" i="12"/>
  <c r="F318" i="12" s="1"/>
  <c r="A318" i="12"/>
  <c r="I318" i="12" s="1"/>
  <c r="E317" i="12"/>
  <c r="D317" i="12"/>
  <c r="C317" i="12"/>
  <c r="G317" i="12" s="1"/>
  <c r="B317" i="12"/>
  <c r="F317" i="12" s="1"/>
  <c r="A317" i="12"/>
  <c r="I317" i="12" s="1"/>
  <c r="H316" i="12"/>
  <c r="E316" i="12"/>
  <c r="D316" i="12"/>
  <c r="C316" i="12"/>
  <c r="G316" i="12" s="1"/>
  <c r="B316" i="12"/>
  <c r="F316" i="12" s="1"/>
  <c r="A316" i="12"/>
  <c r="I316" i="12" s="1"/>
  <c r="F315" i="12"/>
  <c r="E315" i="12"/>
  <c r="D315" i="12"/>
  <c r="C315" i="12"/>
  <c r="G315" i="12" s="1"/>
  <c r="B315" i="12"/>
  <c r="A315" i="12"/>
  <c r="I315" i="12" s="1"/>
  <c r="G314" i="12"/>
  <c r="F314" i="12"/>
  <c r="E314" i="12"/>
  <c r="D314" i="12"/>
  <c r="C314" i="12"/>
  <c r="B314" i="12"/>
  <c r="A314" i="12"/>
  <c r="I314" i="12" s="1"/>
  <c r="H313" i="12"/>
  <c r="G313" i="12"/>
  <c r="F313" i="12"/>
  <c r="E313" i="12"/>
  <c r="D313" i="12"/>
  <c r="C313" i="12"/>
  <c r="B313" i="12"/>
  <c r="A313" i="12"/>
  <c r="I313" i="12" s="1"/>
  <c r="G312" i="12"/>
  <c r="F312" i="12"/>
  <c r="E312" i="12"/>
  <c r="D312" i="12"/>
  <c r="C312" i="12"/>
  <c r="B312" i="12"/>
  <c r="A312" i="12"/>
  <c r="I312" i="12" s="1"/>
  <c r="I311" i="12"/>
  <c r="G311" i="12"/>
  <c r="E311" i="12"/>
  <c r="D311" i="12"/>
  <c r="C311" i="12"/>
  <c r="B311" i="12"/>
  <c r="F311" i="12" s="1"/>
  <c r="A311" i="12"/>
  <c r="H311" i="12" s="1"/>
  <c r="E310" i="12"/>
  <c r="D310" i="12"/>
  <c r="C310" i="12"/>
  <c r="G310" i="12" s="1"/>
  <c r="B310" i="12"/>
  <c r="F310" i="12" s="1"/>
  <c r="A310" i="12"/>
  <c r="I310" i="12" s="1"/>
  <c r="G309" i="12"/>
  <c r="E309" i="12"/>
  <c r="D309" i="12"/>
  <c r="C309" i="12"/>
  <c r="B309" i="12"/>
  <c r="F309" i="12" s="1"/>
  <c r="A309" i="12"/>
  <c r="I309" i="12" s="1"/>
  <c r="H308" i="12"/>
  <c r="E308" i="12"/>
  <c r="D308" i="12"/>
  <c r="C308" i="12"/>
  <c r="G308" i="12" s="1"/>
  <c r="B308" i="12"/>
  <c r="F308" i="12" s="1"/>
  <c r="A308" i="12"/>
  <c r="I308" i="12" s="1"/>
  <c r="F307" i="12"/>
  <c r="E307" i="12"/>
  <c r="D307" i="12"/>
  <c r="C307" i="12"/>
  <c r="G307" i="12" s="1"/>
  <c r="B307" i="12"/>
  <c r="A307" i="12"/>
  <c r="H307" i="12" s="1"/>
  <c r="G306" i="12"/>
  <c r="E306" i="12"/>
  <c r="D306" i="12"/>
  <c r="C306" i="12"/>
  <c r="B306" i="12"/>
  <c r="F306" i="12" s="1"/>
  <c r="A306" i="12"/>
  <c r="I306" i="12" s="1"/>
  <c r="H305" i="12"/>
  <c r="G305" i="12"/>
  <c r="F305" i="12"/>
  <c r="E305" i="12"/>
  <c r="D305" i="12"/>
  <c r="C305" i="12"/>
  <c r="B305" i="12"/>
  <c r="A305" i="12"/>
  <c r="I305" i="12" s="1"/>
  <c r="G304" i="12"/>
  <c r="F304" i="12"/>
  <c r="E304" i="12"/>
  <c r="D304" i="12"/>
  <c r="C304" i="12"/>
  <c r="B304" i="12"/>
  <c r="A304" i="12"/>
  <c r="I304" i="12" s="1"/>
  <c r="I303" i="12"/>
  <c r="G303" i="12"/>
  <c r="E303" i="12"/>
  <c r="D303" i="12"/>
  <c r="C303" i="12"/>
  <c r="B303" i="12"/>
  <c r="F303" i="12" s="1"/>
  <c r="A303" i="12"/>
  <c r="H303" i="12" s="1"/>
  <c r="E302" i="12"/>
  <c r="D302" i="12"/>
  <c r="C302" i="12"/>
  <c r="G302" i="12" s="1"/>
  <c r="B302" i="12"/>
  <c r="F302" i="12" s="1"/>
  <c r="A302" i="12"/>
  <c r="I302" i="12" s="1"/>
  <c r="G301" i="12"/>
  <c r="E301" i="12"/>
  <c r="D301" i="12"/>
  <c r="C301" i="12"/>
  <c r="B301" i="12"/>
  <c r="F301" i="12" s="1"/>
  <c r="A301" i="12"/>
  <c r="I301" i="12" s="1"/>
  <c r="H300" i="12"/>
  <c r="E300" i="12"/>
  <c r="D300" i="12"/>
  <c r="C300" i="12"/>
  <c r="G300" i="12" s="1"/>
  <c r="B300" i="12"/>
  <c r="F300" i="12" s="1"/>
  <c r="A300" i="12"/>
  <c r="I300" i="12" s="1"/>
  <c r="F299" i="12"/>
  <c r="E299" i="12"/>
  <c r="D299" i="12"/>
  <c r="C299" i="12"/>
  <c r="G299" i="12" s="1"/>
  <c r="B299" i="12"/>
  <c r="A299" i="12"/>
  <c r="H299" i="12" s="1"/>
  <c r="G298" i="12"/>
  <c r="E298" i="12"/>
  <c r="D298" i="12"/>
  <c r="C298" i="12"/>
  <c r="B298" i="12"/>
  <c r="F298" i="12" s="1"/>
  <c r="A298" i="12"/>
  <c r="I298" i="12" s="1"/>
  <c r="H297" i="12"/>
  <c r="G297" i="12"/>
  <c r="F297" i="12"/>
  <c r="E297" i="12"/>
  <c r="D297" i="12"/>
  <c r="C297" i="12"/>
  <c r="B297" i="12"/>
  <c r="A297" i="12"/>
  <c r="I297" i="12" s="1"/>
  <c r="G296" i="12"/>
  <c r="F296" i="12"/>
  <c r="E296" i="12"/>
  <c r="D296" i="12"/>
  <c r="C296" i="12"/>
  <c r="B296" i="12"/>
  <c r="A296" i="12"/>
  <c r="I296" i="12" s="1"/>
  <c r="I295" i="12"/>
  <c r="G295" i="12"/>
  <c r="E295" i="12"/>
  <c r="D295" i="12"/>
  <c r="C295" i="12"/>
  <c r="B295" i="12"/>
  <c r="F295" i="12" s="1"/>
  <c r="A295" i="12"/>
  <c r="H295" i="12" s="1"/>
  <c r="E294" i="12"/>
  <c r="D294" i="12"/>
  <c r="C294" i="12"/>
  <c r="G294" i="12" s="1"/>
  <c r="B294" i="12"/>
  <c r="F294" i="12" s="1"/>
  <c r="A294" i="12"/>
  <c r="I294" i="12" s="1"/>
  <c r="G293" i="12"/>
  <c r="E293" i="12"/>
  <c r="D293" i="12"/>
  <c r="C293" i="12"/>
  <c r="B293" i="12"/>
  <c r="F293" i="12" s="1"/>
  <c r="A293" i="12"/>
  <c r="I293" i="12" s="1"/>
  <c r="H292" i="12"/>
  <c r="E292" i="12"/>
  <c r="D292" i="12"/>
  <c r="C292" i="12"/>
  <c r="G292" i="12" s="1"/>
  <c r="B292" i="12"/>
  <c r="F292" i="12" s="1"/>
  <c r="A292" i="12"/>
  <c r="I292" i="12" s="1"/>
  <c r="F291" i="12"/>
  <c r="E291" i="12"/>
  <c r="D291" i="12"/>
  <c r="C291" i="12"/>
  <c r="G291" i="12" s="1"/>
  <c r="B291" i="12"/>
  <c r="A291" i="12"/>
  <c r="H291" i="12" s="1"/>
  <c r="G290" i="12"/>
  <c r="E290" i="12"/>
  <c r="D290" i="12"/>
  <c r="C290" i="12"/>
  <c r="B290" i="12"/>
  <c r="F290" i="12" s="1"/>
  <c r="A290" i="12"/>
  <c r="I290" i="12" s="1"/>
  <c r="H289" i="12"/>
  <c r="G289" i="12"/>
  <c r="F289" i="12"/>
  <c r="E289" i="12"/>
  <c r="D289" i="12"/>
  <c r="C289" i="12"/>
  <c r="B289" i="12"/>
  <c r="A289" i="12"/>
  <c r="I289" i="12" s="1"/>
  <c r="G288" i="12"/>
  <c r="F288" i="12"/>
  <c r="E288" i="12"/>
  <c r="D288" i="12"/>
  <c r="C288" i="12"/>
  <c r="B288" i="12"/>
  <c r="A288" i="12"/>
  <c r="I288" i="12" s="1"/>
  <c r="I287" i="12"/>
  <c r="G287" i="12"/>
  <c r="E287" i="12"/>
  <c r="D287" i="12"/>
  <c r="C287" i="12"/>
  <c r="B287" i="12"/>
  <c r="F287" i="12" s="1"/>
  <c r="A287" i="12"/>
  <c r="H287" i="12" s="1"/>
  <c r="E286" i="12"/>
  <c r="D286" i="12"/>
  <c r="C286" i="12"/>
  <c r="G286" i="12" s="1"/>
  <c r="B286" i="12"/>
  <c r="F286" i="12" s="1"/>
  <c r="A286" i="12"/>
  <c r="I286" i="12" s="1"/>
  <c r="G285" i="12"/>
  <c r="E285" i="12"/>
  <c r="D285" i="12"/>
  <c r="C285" i="12"/>
  <c r="B285" i="12"/>
  <c r="F285" i="12" s="1"/>
  <c r="A285" i="12"/>
  <c r="I285" i="12" s="1"/>
  <c r="H284" i="12"/>
  <c r="E284" i="12"/>
  <c r="D284" i="12"/>
  <c r="C284" i="12"/>
  <c r="G284" i="12" s="1"/>
  <c r="B284" i="12"/>
  <c r="F284" i="12" s="1"/>
  <c r="A284" i="12"/>
  <c r="I284" i="12" s="1"/>
  <c r="F283" i="12"/>
  <c r="E283" i="12"/>
  <c r="D283" i="12"/>
  <c r="C283" i="12"/>
  <c r="G283" i="12" s="1"/>
  <c r="B283" i="12"/>
  <c r="A283" i="12"/>
  <c r="H283" i="12" s="1"/>
  <c r="G282" i="12"/>
  <c r="E282" i="12"/>
  <c r="D282" i="12"/>
  <c r="C282" i="12"/>
  <c r="B282" i="12"/>
  <c r="F282" i="12" s="1"/>
  <c r="A282" i="12"/>
  <c r="I282" i="12" s="1"/>
  <c r="H281" i="12"/>
  <c r="G281" i="12"/>
  <c r="F281" i="12"/>
  <c r="E281" i="12"/>
  <c r="D281" i="12"/>
  <c r="C281" i="12"/>
  <c r="B281" i="12"/>
  <c r="A281" i="12"/>
  <c r="I281" i="12" s="1"/>
  <c r="G280" i="12"/>
  <c r="F280" i="12"/>
  <c r="E280" i="12"/>
  <c r="D280" i="12"/>
  <c r="C280" i="12"/>
  <c r="B280" i="12"/>
  <c r="A280" i="12"/>
  <c r="I280" i="12" s="1"/>
  <c r="I279" i="12"/>
  <c r="G279" i="12"/>
  <c r="E279" i="12"/>
  <c r="D279" i="12"/>
  <c r="C279" i="12"/>
  <c r="B279" i="12"/>
  <c r="F279" i="12" s="1"/>
  <c r="A279" i="12"/>
  <c r="H279" i="12" s="1"/>
  <c r="E278" i="12"/>
  <c r="D278" i="12"/>
  <c r="C278" i="12"/>
  <c r="G278" i="12" s="1"/>
  <c r="B278" i="12"/>
  <c r="F278" i="12" s="1"/>
  <c r="A278" i="12"/>
  <c r="I278" i="12" s="1"/>
  <c r="G277" i="12"/>
  <c r="E277" i="12"/>
  <c r="D277" i="12"/>
  <c r="C277" i="12"/>
  <c r="B277" i="12"/>
  <c r="F277" i="12" s="1"/>
  <c r="A277" i="12"/>
  <c r="I277" i="12" s="1"/>
  <c r="H276" i="12"/>
  <c r="E276" i="12"/>
  <c r="D276" i="12"/>
  <c r="C276" i="12"/>
  <c r="G276" i="12" s="1"/>
  <c r="B276" i="12"/>
  <c r="F276" i="12" s="1"/>
  <c r="A276" i="12"/>
  <c r="I276" i="12" s="1"/>
  <c r="F275" i="12"/>
  <c r="E275" i="12"/>
  <c r="D275" i="12"/>
  <c r="C275" i="12"/>
  <c r="G275" i="12" s="1"/>
  <c r="B275" i="12"/>
  <c r="A275" i="12"/>
  <c r="H275" i="12" s="1"/>
  <c r="G274" i="12"/>
  <c r="E274" i="12"/>
  <c r="D274" i="12"/>
  <c r="C274" i="12"/>
  <c r="B274" i="12"/>
  <c r="F274" i="12" s="1"/>
  <c r="A274" i="12"/>
  <c r="I274" i="12" s="1"/>
  <c r="H273" i="12"/>
  <c r="G273" i="12"/>
  <c r="F273" i="12"/>
  <c r="E273" i="12"/>
  <c r="D273" i="12"/>
  <c r="C273" i="12"/>
  <c r="B273" i="12"/>
  <c r="A273" i="12"/>
  <c r="I273" i="12" s="1"/>
  <c r="G272" i="12"/>
  <c r="F272" i="12"/>
  <c r="E272" i="12"/>
  <c r="D272" i="12"/>
  <c r="C272" i="12"/>
  <c r="B272" i="12"/>
  <c r="A272" i="12"/>
  <c r="I272" i="12" s="1"/>
  <c r="I271" i="12"/>
  <c r="G271" i="12"/>
  <c r="E271" i="12"/>
  <c r="D271" i="12"/>
  <c r="C271" i="12"/>
  <c r="B271" i="12"/>
  <c r="F271" i="12" s="1"/>
  <c r="A271" i="12"/>
  <c r="H271" i="12" s="1"/>
  <c r="E270" i="12"/>
  <c r="D270" i="12"/>
  <c r="C270" i="12"/>
  <c r="G270" i="12" s="1"/>
  <c r="B270" i="12"/>
  <c r="F270" i="12" s="1"/>
  <c r="A270" i="12"/>
  <c r="I270" i="12" s="1"/>
  <c r="G269" i="12"/>
  <c r="E269" i="12"/>
  <c r="D269" i="12"/>
  <c r="C269" i="12"/>
  <c r="B269" i="12"/>
  <c r="F269" i="12" s="1"/>
  <c r="A269" i="12"/>
  <c r="I269" i="12" s="1"/>
  <c r="H268" i="12"/>
  <c r="E268" i="12"/>
  <c r="D268" i="12"/>
  <c r="C268" i="12"/>
  <c r="G268" i="12" s="1"/>
  <c r="B268" i="12"/>
  <c r="F268" i="12" s="1"/>
  <c r="A268" i="12"/>
  <c r="I268" i="12" s="1"/>
  <c r="F267" i="12"/>
  <c r="E267" i="12"/>
  <c r="D267" i="12"/>
  <c r="C267" i="12"/>
  <c r="G267" i="12" s="1"/>
  <c r="B267" i="12"/>
  <c r="A267" i="12"/>
  <c r="H267" i="12" s="1"/>
  <c r="G266" i="12"/>
  <c r="E266" i="12"/>
  <c r="D266" i="12"/>
  <c r="C266" i="12"/>
  <c r="B266" i="12"/>
  <c r="F266" i="12" s="1"/>
  <c r="A266" i="12"/>
  <c r="I266" i="12" s="1"/>
  <c r="H265" i="12"/>
  <c r="G265" i="12"/>
  <c r="F265" i="12"/>
  <c r="E265" i="12"/>
  <c r="D265" i="12"/>
  <c r="C265" i="12"/>
  <c r="B265" i="12"/>
  <c r="A265" i="12"/>
  <c r="I265" i="12" s="1"/>
  <c r="G264" i="12"/>
  <c r="F264" i="12"/>
  <c r="E264" i="12"/>
  <c r="D264" i="12"/>
  <c r="C264" i="12"/>
  <c r="B264" i="12"/>
  <c r="A264" i="12"/>
  <c r="I264" i="12" s="1"/>
  <c r="G263" i="12"/>
  <c r="E263" i="12"/>
  <c r="D263" i="12"/>
  <c r="C263" i="12"/>
  <c r="B263" i="12"/>
  <c r="F263" i="12" s="1"/>
  <c r="A263" i="12"/>
  <c r="I263" i="12" s="1"/>
  <c r="I262" i="12"/>
  <c r="E262" i="12"/>
  <c r="D262" i="12"/>
  <c r="C262" i="12"/>
  <c r="G262" i="12" s="1"/>
  <c r="B262" i="12"/>
  <c r="F262" i="12" s="1"/>
  <c r="A262" i="12"/>
  <c r="H262" i="12" s="1"/>
  <c r="G261" i="12"/>
  <c r="E261" i="12"/>
  <c r="D261" i="12"/>
  <c r="C261" i="12"/>
  <c r="B261" i="12"/>
  <c r="F261" i="12" s="1"/>
  <c r="A261" i="12"/>
  <c r="I261" i="12" s="1"/>
  <c r="H260" i="12"/>
  <c r="E260" i="12"/>
  <c r="D260" i="12"/>
  <c r="C260" i="12"/>
  <c r="G260" i="12" s="1"/>
  <c r="B260" i="12"/>
  <c r="F260" i="12" s="1"/>
  <c r="A260" i="12"/>
  <c r="I260" i="12" s="1"/>
  <c r="I259" i="12"/>
  <c r="F259" i="12"/>
  <c r="E259" i="12"/>
  <c r="D259" i="12"/>
  <c r="C259" i="12"/>
  <c r="G259" i="12" s="1"/>
  <c r="B259" i="12"/>
  <c r="A259" i="12"/>
  <c r="H259" i="12" s="1"/>
  <c r="G258" i="12"/>
  <c r="F258" i="12"/>
  <c r="E258" i="12"/>
  <c r="D258" i="12"/>
  <c r="C258" i="12"/>
  <c r="B258" i="12"/>
  <c r="A258" i="12"/>
  <c r="I258" i="12" s="1"/>
  <c r="H257" i="12"/>
  <c r="F257" i="12"/>
  <c r="E257" i="12"/>
  <c r="D257" i="12"/>
  <c r="C257" i="12"/>
  <c r="G257" i="12" s="1"/>
  <c r="B257" i="12"/>
  <c r="A257" i="12"/>
  <c r="I257" i="12" s="1"/>
  <c r="G256" i="12"/>
  <c r="F256" i="12"/>
  <c r="E256" i="12"/>
  <c r="D256" i="12"/>
  <c r="C256" i="12"/>
  <c r="B256" i="12"/>
  <c r="A256" i="12"/>
  <c r="I256" i="12" s="1"/>
  <c r="H255" i="12"/>
  <c r="G255" i="12"/>
  <c r="E255" i="12"/>
  <c r="D255" i="12"/>
  <c r="C255" i="12"/>
  <c r="B255" i="12"/>
  <c r="F255" i="12" s="1"/>
  <c r="A255" i="12"/>
  <c r="I255" i="12" s="1"/>
  <c r="F254" i="12"/>
  <c r="E254" i="12"/>
  <c r="D254" i="12"/>
  <c r="C254" i="12"/>
  <c r="G254" i="12" s="1"/>
  <c r="B254" i="12"/>
  <c r="A254" i="12"/>
  <c r="H254" i="12" s="1"/>
  <c r="E253" i="12"/>
  <c r="D253" i="12"/>
  <c r="C253" i="12"/>
  <c r="G253" i="12" s="1"/>
  <c r="B253" i="12"/>
  <c r="F253" i="12" s="1"/>
  <c r="A253" i="12"/>
  <c r="I253" i="12" s="1"/>
  <c r="H252" i="12"/>
  <c r="E252" i="12"/>
  <c r="D252" i="12"/>
  <c r="C252" i="12"/>
  <c r="G252" i="12" s="1"/>
  <c r="B252" i="12"/>
  <c r="F252" i="12" s="1"/>
  <c r="A252" i="12"/>
  <c r="I252" i="12" s="1"/>
  <c r="F251" i="12"/>
  <c r="E251" i="12"/>
  <c r="D251" i="12"/>
  <c r="C251" i="12"/>
  <c r="G251" i="12" s="1"/>
  <c r="B251" i="12"/>
  <c r="A251" i="12"/>
  <c r="G250" i="12"/>
  <c r="F250" i="12"/>
  <c r="E250" i="12"/>
  <c r="D250" i="12"/>
  <c r="C250" i="12"/>
  <c r="B250" i="12"/>
  <c r="A250" i="12"/>
  <c r="I250" i="12" s="1"/>
  <c r="H249" i="12"/>
  <c r="F249" i="12"/>
  <c r="E249" i="12"/>
  <c r="D249" i="12"/>
  <c r="C249" i="12"/>
  <c r="G249" i="12" s="1"/>
  <c r="B249" i="12"/>
  <c r="A249" i="12"/>
  <c r="I249" i="12" s="1"/>
  <c r="I248" i="12"/>
  <c r="G248" i="12"/>
  <c r="F248" i="12"/>
  <c r="E248" i="12"/>
  <c r="D248" i="12"/>
  <c r="C248" i="12"/>
  <c r="B248" i="12"/>
  <c r="A248" i="12"/>
  <c r="H248" i="12" s="1"/>
  <c r="G247" i="12"/>
  <c r="E247" i="12"/>
  <c r="D247" i="12"/>
  <c r="C247" i="12"/>
  <c r="B247" i="12"/>
  <c r="F247" i="12" s="1"/>
  <c r="A247" i="12"/>
  <c r="I246" i="12"/>
  <c r="F246" i="12"/>
  <c r="E246" i="12"/>
  <c r="D246" i="12"/>
  <c r="C246" i="12"/>
  <c r="G246" i="12" s="1"/>
  <c r="B246" i="12"/>
  <c r="A246" i="12"/>
  <c r="H246" i="12" s="1"/>
  <c r="G245" i="12"/>
  <c r="E245" i="12"/>
  <c r="D245" i="12"/>
  <c r="C245" i="12"/>
  <c r="B245" i="12"/>
  <c r="F245" i="12" s="1"/>
  <c r="A245" i="12"/>
  <c r="I245" i="12" s="1"/>
  <c r="H244" i="12"/>
  <c r="E244" i="12"/>
  <c r="D244" i="12"/>
  <c r="C244" i="12"/>
  <c r="G244" i="12" s="1"/>
  <c r="B244" i="12"/>
  <c r="F244" i="12" s="1"/>
  <c r="A244" i="12"/>
  <c r="I244" i="12" s="1"/>
  <c r="F243" i="12"/>
  <c r="E243" i="12"/>
  <c r="D243" i="12"/>
  <c r="C243" i="12"/>
  <c r="G243" i="12" s="1"/>
  <c r="B243" i="12"/>
  <c r="A243" i="12"/>
  <c r="H243" i="12" s="1"/>
  <c r="G242" i="12"/>
  <c r="E242" i="12"/>
  <c r="D242" i="12"/>
  <c r="C242" i="12"/>
  <c r="B242" i="12"/>
  <c r="F242" i="12" s="1"/>
  <c r="A242" i="12"/>
  <c r="I242" i="12" s="1"/>
  <c r="H241" i="12"/>
  <c r="G241" i="12"/>
  <c r="F241" i="12"/>
  <c r="E241" i="12"/>
  <c r="D241" i="12"/>
  <c r="C241" i="12"/>
  <c r="B241" i="12"/>
  <c r="A241" i="12"/>
  <c r="I241" i="12" s="1"/>
  <c r="G240" i="12"/>
  <c r="F240" i="12"/>
  <c r="E240" i="12"/>
  <c r="D240" i="12"/>
  <c r="C240" i="12"/>
  <c r="B240" i="12"/>
  <c r="A240" i="12"/>
  <c r="I240" i="12" s="1"/>
  <c r="G239" i="12"/>
  <c r="E239" i="12"/>
  <c r="D239" i="12"/>
  <c r="C239" i="12"/>
  <c r="B239" i="12"/>
  <c r="F239" i="12" s="1"/>
  <c r="A239" i="12"/>
  <c r="I239" i="12" s="1"/>
  <c r="E238" i="12"/>
  <c r="D238" i="12"/>
  <c r="C238" i="12"/>
  <c r="G238" i="12" s="1"/>
  <c r="B238" i="12"/>
  <c r="F238" i="12" s="1"/>
  <c r="A238" i="12"/>
  <c r="H238" i="12" s="1"/>
  <c r="G237" i="12"/>
  <c r="E237" i="12"/>
  <c r="D237" i="12"/>
  <c r="C237" i="12"/>
  <c r="B237" i="12"/>
  <c r="F237" i="12" s="1"/>
  <c r="A237" i="12"/>
  <c r="I237" i="12" s="1"/>
  <c r="H236" i="12"/>
  <c r="E236" i="12"/>
  <c r="D236" i="12"/>
  <c r="C236" i="12"/>
  <c r="G236" i="12" s="1"/>
  <c r="B236" i="12"/>
  <c r="F236" i="12" s="1"/>
  <c r="A236" i="12"/>
  <c r="I236" i="12" s="1"/>
  <c r="F235" i="12"/>
  <c r="E235" i="12"/>
  <c r="D235" i="12"/>
  <c r="C235" i="12"/>
  <c r="G235" i="12" s="1"/>
  <c r="B235" i="12"/>
  <c r="A235" i="12"/>
  <c r="H235" i="12" s="1"/>
  <c r="G234" i="12"/>
  <c r="E234" i="12"/>
  <c r="D234" i="12"/>
  <c r="C234" i="12"/>
  <c r="B234" i="12"/>
  <c r="F234" i="12" s="1"/>
  <c r="A234" i="12"/>
  <c r="I234" i="12" s="1"/>
  <c r="H233" i="12"/>
  <c r="G233" i="12"/>
  <c r="F233" i="12"/>
  <c r="E233" i="12"/>
  <c r="D233" i="12"/>
  <c r="C233" i="12"/>
  <c r="B233" i="12"/>
  <c r="A233" i="12"/>
  <c r="I233" i="12" s="1"/>
  <c r="G232" i="12"/>
  <c r="F232" i="12"/>
  <c r="E232" i="12"/>
  <c r="D232" i="12"/>
  <c r="C232" i="12"/>
  <c r="B232" i="12"/>
  <c r="A232" i="12"/>
  <c r="I232" i="12" s="1"/>
  <c r="G231" i="12"/>
  <c r="E231" i="12"/>
  <c r="D231" i="12"/>
  <c r="C231" i="12"/>
  <c r="B231" i="12"/>
  <c r="F231" i="12" s="1"/>
  <c r="A231" i="12"/>
  <c r="I231" i="12" s="1"/>
  <c r="F230" i="12"/>
  <c r="E230" i="12"/>
  <c r="D230" i="12"/>
  <c r="C230" i="12"/>
  <c r="G230" i="12" s="1"/>
  <c r="B230" i="12"/>
  <c r="A230" i="12"/>
  <c r="I230" i="12" s="1"/>
  <c r="I229" i="12"/>
  <c r="E229" i="12"/>
  <c r="D229" i="12"/>
  <c r="C229" i="12"/>
  <c r="G229" i="12" s="1"/>
  <c r="B229" i="12"/>
  <c r="F229" i="12" s="1"/>
  <c r="A229" i="12"/>
  <c r="H229" i="12" s="1"/>
  <c r="H228" i="12"/>
  <c r="E228" i="12"/>
  <c r="D228" i="12"/>
  <c r="C228" i="12"/>
  <c r="G228" i="12" s="1"/>
  <c r="B228" i="12"/>
  <c r="F228" i="12" s="1"/>
  <c r="A228" i="12"/>
  <c r="I228" i="12" s="1"/>
  <c r="H227" i="12"/>
  <c r="F227" i="12"/>
  <c r="E227" i="12"/>
  <c r="D227" i="12"/>
  <c r="C227" i="12"/>
  <c r="G227" i="12" s="1"/>
  <c r="B227" i="12"/>
  <c r="A227" i="12"/>
  <c r="I227" i="12" s="1"/>
  <c r="G226" i="12"/>
  <c r="F226" i="12"/>
  <c r="E226" i="12"/>
  <c r="D226" i="12"/>
  <c r="C226" i="12"/>
  <c r="B226" i="12"/>
  <c r="A226" i="12"/>
  <c r="H226" i="12" s="1"/>
  <c r="H225" i="12"/>
  <c r="F225" i="12"/>
  <c r="E225" i="12"/>
  <c r="D225" i="12"/>
  <c r="C225" i="12"/>
  <c r="G225" i="12" s="1"/>
  <c r="B225" i="12"/>
  <c r="A225" i="12"/>
  <c r="I225" i="12" s="1"/>
  <c r="H224" i="12"/>
  <c r="G224" i="12"/>
  <c r="F224" i="12"/>
  <c r="E224" i="12"/>
  <c r="D224" i="12"/>
  <c r="C224" i="12"/>
  <c r="B224" i="12"/>
  <c r="A224" i="12"/>
  <c r="I224" i="12" s="1"/>
  <c r="I223" i="12"/>
  <c r="H223" i="12"/>
  <c r="G223" i="12"/>
  <c r="E223" i="12"/>
  <c r="D223" i="12"/>
  <c r="C223" i="12"/>
  <c r="B223" i="12"/>
  <c r="F223" i="12" s="1"/>
  <c r="A223" i="12"/>
  <c r="I222" i="12"/>
  <c r="H222" i="12"/>
  <c r="E222" i="12"/>
  <c r="D222" i="12"/>
  <c r="C222" i="12"/>
  <c r="G222" i="12" s="1"/>
  <c r="B222" i="12"/>
  <c r="F222" i="12" s="1"/>
  <c r="A222" i="12"/>
  <c r="I221" i="12"/>
  <c r="G221" i="12"/>
  <c r="E221" i="12"/>
  <c r="D221" i="12"/>
  <c r="C221" i="12"/>
  <c r="B221" i="12"/>
  <c r="F221" i="12" s="1"/>
  <c r="A221" i="12"/>
  <c r="H221" i="12" s="1"/>
  <c r="H220" i="12"/>
  <c r="E220" i="12"/>
  <c r="D220" i="12"/>
  <c r="C220" i="12"/>
  <c r="G220" i="12" s="1"/>
  <c r="B220" i="12"/>
  <c r="F220" i="12" s="1"/>
  <c r="A220" i="12"/>
  <c r="I220" i="12" s="1"/>
  <c r="F219" i="12"/>
  <c r="E219" i="12"/>
  <c r="D219" i="12"/>
  <c r="C219" i="12"/>
  <c r="G219" i="12" s="1"/>
  <c r="B219" i="12"/>
  <c r="A219" i="12"/>
  <c r="I219" i="12" s="1"/>
  <c r="G218" i="12"/>
  <c r="F218" i="12"/>
  <c r="E218" i="12"/>
  <c r="D218" i="12"/>
  <c r="C218" i="12"/>
  <c r="B218" i="12"/>
  <c r="A218" i="12"/>
  <c r="H218" i="12" s="1"/>
  <c r="H217" i="12"/>
  <c r="F217" i="12"/>
  <c r="E217" i="12"/>
  <c r="D217" i="12"/>
  <c r="C217" i="12"/>
  <c r="G217" i="12" s="1"/>
  <c r="B217" i="12"/>
  <c r="A217" i="12"/>
  <c r="I217" i="12" s="1"/>
  <c r="H216" i="12"/>
  <c r="G216" i="12"/>
  <c r="F216" i="12"/>
  <c r="E216" i="12"/>
  <c r="D216" i="12"/>
  <c r="C216" i="12"/>
  <c r="B216" i="12"/>
  <c r="A216" i="12"/>
  <c r="I216" i="12" s="1"/>
  <c r="I215" i="12"/>
  <c r="H215" i="12"/>
  <c r="G215" i="12"/>
  <c r="E215" i="12"/>
  <c r="D215" i="12"/>
  <c r="C215" i="12"/>
  <c r="B215" i="12"/>
  <c r="F215" i="12" s="1"/>
  <c r="A215" i="12"/>
  <c r="I214" i="12"/>
  <c r="H214" i="12"/>
  <c r="E214" i="12"/>
  <c r="D214" i="12"/>
  <c r="C214" i="12"/>
  <c r="G214" i="12" s="1"/>
  <c r="B214" i="12"/>
  <c r="F214" i="12" s="1"/>
  <c r="A214" i="12"/>
  <c r="I213" i="12"/>
  <c r="G213" i="12"/>
  <c r="E213" i="12"/>
  <c r="D213" i="12"/>
  <c r="C213" i="12"/>
  <c r="B213" i="12"/>
  <c r="F213" i="12" s="1"/>
  <c r="A213" i="12"/>
  <c r="H213" i="12" s="1"/>
  <c r="H212" i="12"/>
  <c r="E212" i="12"/>
  <c r="D212" i="12"/>
  <c r="C212" i="12"/>
  <c r="G212" i="12" s="1"/>
  <c r="B212" i="12"/>
  <c r="F212" i="12" s="1"/>
  <c r="A212" i="12"/>
  <c r="I212" i="12" s="1"/>
  <c r="F211" i="12"/>
  <c r="E211" i="12"/>
  <c r="D211" i="12"/>
  <c r="C211" i="12"/>
  <c r="G211" i="12" s="1"/>
  <c r="B211" i="12"/>
  <c r="A211" i="12"/>
  <c r="I211" i="12" s="1"/>
  <c r="G210" i="12"/>
  <c r="F210" i="12"/>
  <c r="E210" i="12"/>
  <c r="D210" i="12"/>
  <c r="C210" i="12"/>
  <c r="B210" i="12"/>
  <c r="A210" i="12"/>
  <c r="H210" i="12" s="1"/>
  <c r="H209" i="12"/>
  <c r="F209" i="12"/>
  <c r="E209" i="12"/>
  <c r="D209" i="12"/>
  <c r="C209" i="12"/>
  <c r="G209" i="12" s="1"/>
  <c r="B209" i="12"/>
  <c r="A209" i="12"/>
  <c r="I209" i="12" s="1"/>
  <c r="H208" i="12"/>
  <c r="G208" i="12"/>
  <c r="F208" i="12"/>
  <c r="E208" i="12"/>
  <c r="D208" i="12"/>
  <c r="C208" i="12"/>
  <c r="B208" i="12"/>
  <c r="A208" i="12"/>
  <c r="I208" i="12" s="1"/>
  <c r="I207" i="12"/>
  <c r="H207" i="12"/>
  <c r="G207" i="12"/>
  <c r="E207" i="12"/>
  <c r="D207" i="12"/>
  <c r="C207" i="12"/>
  <c r="B207" i="12"/>
  <c r="F207" i="12" s="1"/>
  <c r="A207" i="12"/>
  <c r="I206" i="12"/>
  <c r="H206" i="12"/>
  <c r="E206" i="12"/>
  <c r="D206" i="12"/>
  <c r="C206" i="12"/>
  <c r="G206" i="12" s="1"/>
  <c r="B206" i="12"/>
  <c r="F206" i="12" s="1"/>
  <c r="A206" i="12"/>
  <c r="I205" i="12"/>
  <c r="G205" i="12"/>
  <c r="E205" i="12"/>
  <c r="D205" i="12"/>
  <c r="C205" i="12"/>
  <c r="B205" i="12"/>
  <c r="F205" i="12" s="1"/>
  <c r="A205" i="12"/>
  <c r="H205" i="12" s="1"/>
  <c r="H204" i="12"/>
  <c r="E204" i="12"/>
  <c r="D204" i="12"/>
  <c r="C204" i="12"/>
  <c r="G204" i="12" s="1"/>
  <c r="B204" i="12"/>
  <c r="F204" i="12" s="1"/>
  <c r="A204" i="12"/>
  <c r="I204" i="12" s="1"/>
  <c r="F203" i="12"/>
  <c r="E203" i="12"/>
  <c r="D203" i="12"/>
  <c r="C203" i="12"/>
  <c r="G203" i="12" s="1"/>
  <c r="B203" i="12"/>
  <c r="A203" i="12"/>
  <c r="I203" i="12" s="1"/>
  <c r="G202" i="12"/>
  <c r="F202" i="12"/>
  <c r="E202" i="12"/>
  <c r="D202" i="12"/>
  <c r="C202" i="12"/>
  <c r="B202" i="12"/>
  <c r="A202" i="12"/>
  <c r="H202" i="12" s="1"/>
  <c r="H201" i="12"/>
  <c r="F201" i="12"/>
  <c r="E201" i="12"/>
  <c r="D201" i="12"/>
  <c r="C201" i="12"/>
  <c r="G201" i="12" s="1"/>
  <c r="B201" i="12"/>
  <c r="A201" i="12"/>
  <c r="I201" i="12" s="1"/>
  <c r="H200" i="12"/>
  <c r="G200" i="12"/>
  <c r="F200" i="12"/>
  <c r="E200" i="12"/>
  <c r="D200" i="12"/>
  <c r="C200" i="12"/>
  <c r="B200" i="12"/>
  <c r="A200" i="12"/>
  <c r="I200" i="12" s="1"/>
  <c r="I199" i="12"/>
  <c r="H199" i="12"/>
  <c r="G199" i="12"/>
  <c r="E199" i="12"/>
  <c r="D199" i="12"/>
  <c r="C199" i="12"/>
  <c r="B199" i="12"/>
  <c r="F199" i="12" s="1"/>
  <c r="A199" i="12"/>
  <c r="I198" i="12"/>
  <c r="H198" i="12"/>
  <c r="E198" i="12"/>
  <c r="D198" i="12"/>
  <c r="C198" i="12"/>
  <c r="G198" i="12" s="1"/>
  <c r="B198" i="12"/>
  <c r="F198" i="12" s="1"/>
  <c r="A198" i="12"/>
  <c r="I197" i="12"/>
  <c r="G197" i="12"/>
  <c r="E197" i="12"/>
  <c r="D197" i="12"/>
  <c r="C197" i="12"/>
  <c r="B197" i="12"/>
  <c r="F197" i="12" s="1"/>
  <c r="A197" i="12"/>
  <c r="H197" i="12" s="1"/>
  <c r="H196" i="12"/>
  <c r="E196" i="12"/>
  <c r="D196" i="12"/>
  <c r="C196" i="12"/>
  <c r="G196" i="12" s="1"/>
  <c r="B196" i="12"/>
  <c r="F196" i="12" s="1"/>
  <c r="A196" i="12"/>
  <c r="I196" i="12" s="1"/>
  <c r="F195" i="12"/>
  <c r="E195" i="12"/>
  <c r="D195" i="12"/>
  <c r="C195" i="12"/>
  <c r="G195" i="12" s="1"/>
  <c r="B195" i="12"/>
  <c r="A195" i="12"/>
  <c r="I195" i="12" s="1"/>
  <c r="G194" i="12"/>
  <c r="F194" i="12"/>
  <c r="E194" i="12"/>
  <c r="D194" i="12"/>
  <c r="C194" i="12"/>
  <c r="B194" i="12"/>
  <c r="A194" i="12"/>
  <c r="H194" i="12" s="1"/>
  <c r="H193" i="12"/>
  <c r="F193" i="12"/>
  <c r="E193" i="12"/>
  <c r="D193" i="12"/>
  <c r="C193" i="12"/>
  <c r="G193" i="12" s="1"/>
  <c r="B193" i="12"/>
  <c r="A193" i="12"/>
  <c r="I193" i="12" s="1"/>
  <c r="H192" i="12"/>
  <c r="G192" i="12"/>
  <c r="F192" i="12"/>
  <c r="E192" i="12"/>
  <c r="D192" i="12"/>
  <c r="C192" i="12"/>
  <c r="B192" i="12"/>
  <c r="A192" i="12"/>
  <c r="I192" i="12" s="1"/>
  <c r="I191" i="12"/>
  <c r="H191" i="12"/>
  <c r="G191" i="12"/>
  <c r="E191" i="12"/>
  <c r="D191" i="12"/>
  <c r="C191" i="12"/>
  <c r="B191" i="12"/>
  <c r="F191" i="12" s="1"/>
  <c r="A191" i="12"/>
  <c r="I190" i="12"/>
  <c r="H190" i="12"/>
  <c r="E190" i="12"/>
  <c r="D190" i="12"/>
  <c r="C190" i="12"/>
  <c r="G190" i="12" s="1"/>
  <c r="B190" i="12"/>
  <c r="F190" i="12" s="1"/>
  <c r="A190" i="12"/>
  <c r="I189" i="12"/>
  <c r="G189" i="12"/>
  <c r="E189" i="12"/>
  <c r="D189" i="12"/>
  <c r="C189" i="12"/>
  <c r="B189" i="12"/>
  <c r="F189" i="12" s="1"/>
  <c r="A189" i="12"/>
  <c r="H189" i="12" s="1"/>
  <c r="H188" i="12"/>
  <c r="E188" i="12"/>
  <c r="D188" i="12"/>
  <c r="C188" i="12"/>
  <c r="G188" i="12" s="1"/>
  <c r="B188" i="12"/>
  <c r="F188" i="12" s="1"/>
  <c r="A188" i="12"/>
  <c r="I188" i="12" s="1"/>
  <c r="F187" i="12"/>
  <c r="E187" i="12"/>
  <c r="D187" i="12"/>
  <c r="C187" i="12"/>
  <c r="G187" i="12" s="1"/>
  <c r="B187" i="12"/>
  <c r="A187" i="12"/>
  <c r="I187" i="12" s="1"/>
  <c r="G186" i="12"/>
  <c r="F186" i="12"/>
  <c r="E186" i="12"/>
  <c r="D186" i="12"/>
  <c r="C186" i="12"/>
  <c r="B186" i="12"/>
  <c r="A186" i="12"/>
  <c r="H186" i="12" s="1"/>
  <c r="H185" i="12"/>
  <c r="F185" i="12"/>
  <c r="E185" i="12"/>
  <c r="D185" i="12"/>
  <c r="C185" i="12"/>
  <c r="G185" i="12" s="1"/>
  <c r="B185" i="12"/>
  <c r="A185" i="12"/>
  <c r="I185" i="12" s="1"/>
  <c r="H184" i="12"/>
  <c r="G184" i="12"/>
  <c r="F184" i="12"/>
  <c r="E184" i="12"/>
  <c r="D184" i="12"/>
  <c r="C184" i="12"/>
  <c r="B184" i="12"/>
  <c r="A184" i="12"/>
  <c r="I184" i="12" s="1"/>
  <c r="G183" i="12"/>
  <c r="E183" i="12"/>
  <c r="D183" i="12"/>
  <c r="C183" i="12"/>
  <c r="B183" i="12"/>
  <c r="F183" i="12" s="1"/>
  <c r="A183" i="12"/>
  <c r="I183" i="12" s="1"/>
  <c r="F182" i="12"/>
  <c r="E182" i="12"/>
  <c r="D182" i="12"/>
  <c r="C182" i="12"/>
  <c r="G182" i="12" s="1"/>
  <c r="B182" i="12"/>
  <c r="A182" i="12"/>
  <c r="I182" i="12" s="1"/>
  <c r="G181" i="12"/>
  <c r="E181" i="12"/>
  <c r="D181" i="12"/>
  <c r="C181" i="12"/>
  <c r="B181" i="12"/>
  <c r="F181" i="12" s="1"/>
  <c r="A181" i="12"/>
  <c r="I181" i="12" s="1"/>
  <c r="H180" i="12"/>
  <c r="F180" i="12"/>
  <c r="E180" i="12"/>
  <c r="D180" i="12"/>
  <c r="C180" i="12"/>
  <c r="G180" i="12" s="1"/>
  <c r="B180" i="12"/>
  <c r="A180" i="12"/>
  <c r="I180" i="12" s="1"/>
  <c r="I179" i="12"/>
  <c r="G179" i="12"/>
  <c r="F179" i="12"/>
  <c r="E179" i="12"/>
  <c r="D179" i="12"/>
  <c r="C179" i="12"/>
  <c r="B179" i="12"/>
  <c r="A179" i="12"/>
  <c r="H179" i="12" s="1"/>
  <c r="H178" i="12"/>
  <c r="G178" i="12"/>
  <c r="E178" i="12"/>
  <c r="D178" i="12"/>
  <c r="C178" i="12"/>
  <c r="B178" i="12"/>
  <c r="F178" i="12" s="1"/>
  <c r="A178" i="12"/>
  <c r="I178" i="12" s="1"/>
  <c r="F177" i="12"/>
  <c r="E177" i="12"/>
  <c r="D177" i="12"/>
  <c r="C177" i="12"/>
  <c r="G177" i="12" s="1"/>
  <c r="B177" i="12"/>
  <c r="A177" i="12"/>
  <c r="I177" i="12" s="1"/>
  <c r="H176" i="12"/>
  <c r="G176" i="12"/>
  <c r="E176" i="12"/>
  <c r="D176" i="12"/>
  <c r="C176" i="12"/>
  <c r="B176" i="12"/>
  <c r="F176" i="12" s="1"/>
  <c r="A176" i="12"/>
  <c r="I176" i="12" s="1"/>
  <c r="E175" i="12"/>
  <c r="D175" i="12"/>
  <c r="C175" i="12"/>
  <c r="G175" i="12" s="1"/>
  <c r="B175" i="12"/>
  <c r="F175" i="12" s="1"/>
  <c r="A175" i="12"/>
  <c r="I175" i="12" s="1"/>
  <c r="F174" i="12"/>
  <c r="E174" i="12"/>
  <c r="D174" i="12"/>
  <c r="C174" i="12"/>
  <c r="G174" i="12" s="1"/>
  <c r="B174" i="12"/>
  <c r="A174" i="12"/>
  <c r="I174" i="12" s="1"/>
  <c r="G173" i="12"/>
  <c r="E173" i="12"/>
  <c r="D173" i="12"/>
  <c r="C173" i="12"/>
  <c r="B173" i="12"/>
  <c r="F173" i="12" s="1"/>
  <c r="A173" i="12"/>
  <c r="I173" i="12" s="1"/>
  <c r="H172" i="12"/>
  <c r="F172" i="12"/>
  <c r="E172" i="12"/>
  <c r="D172" i="12"/>
  <c r="C172" i="12"/>
  <c r="G172" i="12" s="1"/>
  <c r="B172" i="12"/>
  <c r="A172" i="12"/>
  <c r="I172" i="12" s="1"/>
  <c r="I171" i="12"/>
  <c r="G171" i="12"/>
  <c r="F171" i="12"/>
  <c r="E171" i="12"/>
  <c r="D171" i="12"/>
  <c r="C171" i="12"/>
  <c r="B171" i="12"/>
  <c r="A171" i="12"/>
  <c r="H171" i="12" s="1"/>
  <c r="H170" i="12"/>
  <c r="G170" i="12"/>
  <c r="E170" i="12"/>
  <c r="D170" i="12"/>
  <c r="C170" i="12"/>
  <c r="B170" i="12"/>
  <c r="F170" i="12" s="1"/>
  <c r="A170" i="12"/>
  <c r="I170" i="12" s="1"/>
  <c r="F169" i="12"/>
  <c r="E169" i="12"/>
  <c r="D169" i="12"/>
  <c r="C169" i="12"/>
  <c r="G169" i="12" s="1"/>
  <c r="B169" i="12"/>
  <c r="A169" i="12"/>
  <c r="I169" i="12" s="1"/>
  <c r="H168" i="12"/>
  <c r="G168" i="12"/>
  <c r="E168" i="12"/>
  <c r="D168" i="12"/>
  <c r="C168" i="12"/>
  <c r="B168" i="12"/>
  <c r="F168" i="12" s="1"/>
  <c r="A168" i="12"/>
  <c r="I168" i="12" s="1"/>
  <c r="E167" i="12"/>
  <c r="D167" i="12"/>
  <c r="C167" i="12"/>
  <c r="G167" i="12" s="1"/>
  <c r="B167" i="12"/>
  <c r="F167" i="12" s="1"/>
  <c r="A167" i="12"/>
  <c r="I167" i="12" s="1"/>
  <c r="F166" i="12"/>
  <c r="E166" i="12"/>
  <c r="D166" i="12"/>
  <c r="C166" i="12"/>
  <c r="G166" i="12" s="1"/>
  <c r="B166" i="12"/>
  <c r="A166" i="12"/>
  <c r="I166" i="12" s="1"/>
  <c r="G165" i="12"/>
  <c r="E165" i="12"/>
  <c r="D165" i="12"/>
  <c r="C165" i="12"/>
  <c r="B165" i="12"/>
  <c r="F165" i="12" s="1"/>
  <c r="A165" i="12"/>
  <c r="I165" i="12" s="1"/>
  <c r="H164" i="12"/>
  <c r="F164" i="12"/>
  <c r="E164" i="12"/>
  <c r="D164" i="12"/>
  <c r="C164" i="12"/>
  <c r="G164" i="12" s="1"/>
  <c r="B164" i="12"/>
  <c r="A164" i="12"/>
  <c r="I164" i="12" s="1"/>
  <c r="I163" i="12"/>
  <c r="G163" i="12"/>
  <c r="F163" i="12"/>
  <c r="E163" i="12"/>
  <c r="D163" i="12"/>
  <c r="C163" i="12"/>
  <c r="B163" i="12"/>
  <c r="A163" i="12"/>
  <c r="H163" i="12" s="1"/>
  <c r="H162" i="12"/>
  <c r="G162" i="12"/>
  <c r="E162" i="12"/>
  <c r="D162" i="12"/>
  <c r="C162" i="12"/>
  <c r="B162" i="12"/>
  <c r="F162" i="12" s="1"/>
  <c r="A162" i="12"/>
  <c r="I162" i="12" s="1"/>
  <c r="F161" i="12"/>
  <c r="E161" i="12"/>
  <c r="D161" i="12"/>
  <c r="C161" i="12"/>
  <c r="G161" i="12" s="1"/>
  <c r="B161" i="12"/>
  <c r="A161" i="12"/>
  <c r="I161" i="12" s="1"/>
  <c r="H160" i="12"/>
  <c r="G160" i="12"/>
  <c r="E160" i="12"/>
  <c r="D160" i="12"/>
  <c r="C160" i="12"/>
  <c r="B160" i="12"/>
  <c r="F160" i="12" s="1"/>
  <c r="A160" i="12"/>
  <c r="I160" i="12" s="1"/>
  <c r="E159" i="12"/>
  <c r="D159" i="12"/>
  <c r="C159" i="12"/>
  <c r="G159" i="12" s="1"/>
  <c r="B159" i="12"/>
  <c r="F159" i="12" s="1"/>
  <c r="A159" i="12"/>
  <c r="I159" i="12" s="1"/>
  <c r="F158" i="12"/>
  <c r="E158" i="12"/>
  <c r="D158" i="12"/>
  <c r="C158" i="12"/>
  <c r="G158" i="12" s="1"/>
  <c r="B158" i="12"/>
  <c r="A158" i="12"/>
  <c r="I158" i="12" s="1"/>
  <c r="G157" i="12"/>
  <c r="E157" i="12"/>
  <c r="D157" i="12"/>
  <c r="C157" i="12"/>
  <c r="B157" i="12"/>
  <c r="F157" i="12" s="1"/>
  <c r="A157" i="12"/>
  <c r="I157" i="12" s="1"/>
  <c r="H156" i="12"/>
  <c r="F156" i="12"/>
  <c r="E156" i="12"/>
  <c r="D156" i="12"/>
  <c r="C156" i="12"/>
  <c r="G156" i="12" s="1"/>
  <c r="B156" i="12"/>
  <c r="A156" i="12"/>
  <c r="I156" i="12" s="1"/>
  <c r="I155" i="12"/>
  <c r="G155" i="12"/>
  <c r="F155" i="12"/>
  <c r="E155" i="12"/>
  <c r="D155" i="12"/>
  <c r="C155" i="12"/>
  <c r="B155" i="12"/>
  <c r="A155" i="12"/>
  <c r="H155" i="12" s="1"/>
  <c r="H154" i="12"/>
  <c r="G154" i="12"/>
  <c r="E154" i="12"/>
  <c r="D154" i="12"/>
  <c r="C154" i="12"/>
  <c r="B154" i="12"/>
  <c r="F154" i="12" s="1"/>
  <c r="A154" i="12"/>
  <c r="I154" i="12" s="1"/>
  <c r="F153" i="12"/>
  <c r="E153" i="12"/>
  <c r="D153" i="12"/>
  <c r="C153" i="12"/>
  <c r="G153" i="12" s="1"/>
  <c r="B153" i="12"/>
  <c r="A153" i="12"/>
  <c r="I153" i="12" s="1"/>
  <c r="H152" i="12"/>
  <c r="G152" i="12"/>
  <c r="E152" i="12"/>
  <c r="D152" i="12"/>
  <c r="C152" i="12"/>
  <c r="B152" i="12"/>
  <c r="F152" i="12" s="1"/>
  <c r="A152" i="12"/>
  <c r="I152" i="12" s="1"/>
  <c r="E151" i="12"/>
  <c r="D151" i="12"/>
  <c r="C151" i="12"/>
  <c r="G151" i="12" s="1"/>
  <c r="B151" i="12"/>
  <c r="F151" i="12" s="1"/>
  <c r="A151" i="12"/>
  <c r="I151" i="12" s="1"/>
  <c r="F150" i="12"/>
  <c r="E150" i="12"/>
  <c r="D150" i="12"/>
  <c r="C150" i="12"/>
  <c r="G150" i="12" s="1"/>
  <c r="B150" i="12"/>
  <c r="A150" i="12"/>
  <c r="I150" i="12" s="1"/>
  <c r="G149" i="12"/>
  <c r="E149" i="12"/>
  <c r="D149" i="12"/>
  <c r="C149" i="12"/>
  <c r="B149" i="12"/>
  <c r="F149" i="12" s="1"/>
  <c r="A149" i="12"/>
  <c r="I149" i="12" s="1"/>
  <c r="H148" i="12"/>
  <c r="F148" i="12"/>
  <c r="E148" i="12"/>
  <c r="D148" i="12"/>
  <c r="C148" i="12"/>
  <c r="G148" i="12" s="1"/>
  <c r="B148" i="12"/>
  <c r="A148" i="12"/>
  <c r="I148" i="12" s="1"/>
  <c r="I147" i="12"/>
  <c r="G147" i="12"/>
  <c r="F147" i="12"/>
  <c r="E147" i="12"/>
  <c r="D147" i="12"/>
  <c r="C147" i="12"/>
  <c r="B147" i="12"/>
  <c r="A147" i="12"/>
  <c r="H147" i="12" s="1"/>
  <c r="H146" i="12"/>
  <c r="G146" i="12"/>
  <c r="E146" i="12"/>
  <c r="D146" i="12"/>
  <c r="C146" i="12"/>
  <c r="B146" i="12"/>
  <c r="F146" i="12" s="1"/>
  <c r="A146" i="12"/>
  <c r="I146" i="12" s="1"/>
  <c r="F145" i="12"/>
  <c r="E145" i="12"/>
  <c r="D145" i="12"/>
  <c r="C145" i="12"/>
  <c r="G145" i="12" s="1"/>
  <c r="B145" i="12"/>
  <c r="A145" i="12"/>
  <c r="I145" i="12" s="1"/>
  <c r="H144" i="12"/>
  <c r="G144" i="12"/>
  <c r="E144" i="12"/>
  <c r="D144" i="12"/>
  <c r="C144" i="12"/>
  <c r="B144" i="12"/>
  <c r="F144" i="12" s="1"/>
  <c r="A144" i="12"/>
  <c r="I144" i="12" s="1"/>
  <c r="E143" i="12"/>
  <c r="D143" i="12"/>
  <c r="C143" i="12"/>
  <c r="G143" i="12" s="1"/>
  <c r="B143" i="12"/>
  <c r="F143" i="12" s="1"/>
  <c r="A143" i="12"/>
  <c r="I143" i="12" s="1"/>
  <c r="F142" i="12"/>
  <c r="E142" i="12"/>
  <c r="D142" i="12"/>
  <c r="C142" i="12"/>
  <c r="G142" i="12" s="1"/>
  <c r="B142" i="12"/>
  <c r="A142" i="12"/>
  <c r="I142" i="12" s="1"/>
  <c r="G141" i="12"/>
  <c r="E141" i="12"/>
  <c r="D141" i="12"/>
  <c r="C141" i="12"/>
  <c r="B141" i="12"/>
  <c r="F141" i="12" s="1"/>
  <c r="A141" i="12"/>
  <c r="I141" i="12" s="1"/>
  <c r="H140" i="12"/>
  <c r="F140" i="12"/>
  <c r="E140" i="12"/>
  <c r="D140" i="12"/>
  <c r="C140" i="12"/>
  <c r="G140" i="12" s="1"/>
  <c r="B140" i="12"/>
  <c r="A140" i="12"/>
  <c r="I140" i="12" s="1"/>
  <c r="I139" i="12"/>
  <c r="G139" i="12"/>
  <c r="F139" i="12"/>
  <c r="E139" i="12"/>
  <c r="D139" i="12"/>
  <c r="C139" i="12"/>
  <c r="B139" i="12"/>
  <c r="A139" i="12"/>
  <c r="H139" i="12" s="1"/>
  <c r="H138" i="12"/>
  <c r="G138" i="12"/>
  <c r="E138" i="12"/>
  <c r="D138" i="12"/>
  <c r="C138" i="12"/>
  <c r="B138" i="12"/>
  <c r="F138" i="12" s="1"/>
  <c r="A138" i="12"/>
  <c r="I138" i="12" s="1"/>
  <c r="F137" i="12"/>
  <c r="E137" i="12"/>
  <c r="D137" i="12"/>
  <c r="C137" i="12"/>
  <c r="G137" i="12" s="1"/>
  <c r="B137" i="12"/>
  <c r="A137" i="12"/>
  <c r="I137" i="12" s="1"/>
  <c r="H136" i="12"/>
  <c r="G136" i="12"/>
  <c r="E136" i="12"/>
  <c r="D136" i="12"/>
  <c r="C136" i="12"/>
  <c r="B136" i="12"/>
  <c r="F136" i="12" s="1"/>
  <c r="A136" i="12"/>
  <c r="I136" i="12" s="1"/>
  <c r="E135" i="12"/>
  <c r="D135" i="12"/>
  <c r="C135" i="12"/>
  <c r="G135" i="12" s="1"/>
  <c r="B135" i="12"/>
  <c r="F135" i="12" s="1"/>
  <c r="A135" i="12"/>
  <c r="I135" i="12" s="1"/>
  <c r="F134" i="12"/>
  <c r="E134" i="12"/>
  <c r="D134" i="12"/>
  <c r="C134" i="12"/>
  <c r="G134" i="12" s="1"/>
  <c r="B134" i="12"/>
  <c r="A134" i="12"/>
  <c r="I134" i="12" s="1"/>
  <c r="G133" i="12"/>
  <c r="E133" i="12"/>
  <c r="D133" i="12"/>
  <c r="C133" i="12"/>
  <c r="B133" i="12"/>
  <c r="F133" i="12" s="1"/>
  <c r="A133" i="12"/>
  <c r="I133" i="12" s="1"/>
  <c r="H132" i="12"/>
  <c r="F132" i="12"/>
  <c r="E132" i="12"/>
  <c r="D132" i="12"/>
  <c r="C132" i="12"/>
  <c r="G132" i="12" s="1"/>
  <c r="B132" i="12"/>
  <c r="A132" i="12"/>
  <c r="I132" i="12" s="1"/>
  <c r="I131" i="12"/>
  <c r="G131" i="12"/>
  <c r="F131" i="12"/>
  <c r="E131" i="12"/>
  <c r="D131" i="12"/>
  <c r="C131" i="12"/>
  <c r="B131" i="12"/>
  <c r="A131" i="12"/>
  <c r="H131" i="12" s="1"/>
  <c r="H130" i="12"/>
  <c r="G130" i="12"/>
  <c r="E130" i="12"/>
  <c r="D130" i="12"/>
  <c r="C130" i="12"/>
  <c r="B130" i="12"/>
  <c r="F130" i="12" s="1"/>
  <c r="A130" i="12"/>
  <c r="I130" i="12" s="1"/>
  <c r="F129" i="12"/>
  <c r="E129" i="12"/>
  <c r="D129" i="12"/>
  <c r="C129" i="12"/>
  <c r="G129" i="12" s="1"/>
  <c r="B129" i="12"/>
  <c r="A129" i="12"/>
  <c r="I129" i="12" s="1"/>
  <c r="H128" i="12"/>
  <c r="G128" i="12"/>
  <c r="E128" i="12"/>
  <c r="D128" i="12"/>
  <c r="C128" i="12"/>
  <c r="B128" i="12"/>
  <c r="F128" i="12" s="1"/>
  <c r="A128" i="12"/>
  <c r="I128" i="12" s="1"/>
  <c r="E127" i="12"/>
  <c r="D127" i="12"/>
  <c r="C127" i="12"/>
  <c r="G127" i="12" s="1"/>
  <c r="B127" i="12"/>
  <c r="F127" i="12" s="1"/>
  <c r="A127" i="12"/>
  <c r="I127" i="12" s="1"/>
  <c r="F126" i="12"/>
  <c r="E126" i="12"/>
  <c r="D126" i="12"/>
  <c r="C126" i="12"/>
  <c r="G126" i="12" s="1"/>
  <c r="B126" i="12"/>
  <c r="A126" i="12"/>
  <c r="I126" i="12" s="1"/>
  <c r="G125" i="12"/>
  <c r="E125" i="12"/>
  <c r="D125" i="12"/>
  <c r="C125" i="12"/>
  <c r="B125" i="12"/>
  <c r="F125" i="12" s="1"/>
  <c r="A125" i="12"/>
  <c r="I125" i="12" s="1"/>
  <c r="H124" i="12"/>
  <c r="F124" i="12"/>
  <c r="E124" i="12"/>
  <c r="D124" i="12"/>
  <c r="C124" i="12"/>
  <c r="G124" i="12" s="1"/>
  <c r="B124" i="12"/>
  <c r="A124" i="12"/>
  <c r="I124" i="12" s="1"/>
  <c r="I123" i="12"/>
  <c r="G123" i="12"/>
  <c r="F123" i="12"/>
  <c r="E123" i="12"/>
  <c r="D123" i="12"/>
  <c r="C123" i="12"/>
  <c r="B123" i="12"/>
  <c r="A123" i="12"/>
  <c r="H123" i="12" s="1"/>
  <c r="H122" i="12"/>
  <c r="G122" i="12"/>
  <c r="E122" i="12"/>
  <c r="D122" i="12"/>
  <c r="C122" i="12"/>
  <c r="B122" i="12"/>
  <c r="F122" i="12" s="1"/>
  <c r="A122" i="12"/>
  <c r="I122" i="12" s="1"/>
  <c r="F121" i="12"/>
  <c r="E121" i="12"/>
  <c r="D121" i="12"/>
  <c r="C121" i="12"/>
  <c r="G121" i="12" s="1"/>
  <c r="B121" i="12"/>
  <c r="A121" i="12"/>
  <c r="I121" i="12" s="1"/>
  <c r="H120" i="12"/>
  <c r="G120" i="12"/>
  <c r="E120" i="12"/>
  <c r="D120" i="12"/>
  <c r="C120" i="12"/>
  <c r="B120" i="12"/>
  <c r="F120" i="12" s="1"/>
  <c r="A120" i="12"/>
  <c r="I120" i="12" s="1"/>
  <c r="E119" i="12"/>
  <c r="D119" i="12"/>
  <c r="C119" i="12"/>
  <c r="G119" i="12" s="1"/>
  <c r="B119" i="12"/>
  <c r="F119" i="12" s="1"/>
  <c r="A119" i="12"/>
  <c r="I119" i="12" s="1"/>
  <c r="F118" i="12"/>
  <c r="E118" i="12"/>
  <c r="D118" i="12"/>
  <c r="C118" i="12"/>
  <c r="G118" i="12" s="1"/>
  <c r="B118" i="12"/>
  <c r="A118" i="12"/>
  <c r="I118" i="12" s="1"/>
  <c r="G117" i="12"/>
  <c r="E117" i="12"/>
  <c r="D117" i="12"/>
  <c r="C117" i="12"/>
  <c r="B117" i="12"/>
  <c r="F117" i="12" s="1"/>
  <c r="A117" i="12"/>
  <c r="I117" i="12" s="1"/>
  <c r="H116" i="12"/>
  <c r="F116" i="12"/>
  <c r="E116" i="12"/>
  <c r="D116" i="12"/>
  <c r="C116" i="12"/>
  <c r="G116" i="12" s="1"/>
  <c r="B116" i="12"/>
  <c r="A116" i="12"/>
  <c r="I116" i="12" s="1"/>
  <c r="I115" i="12"/>
  <c r="G115" i="12"/>
  <c r="F115" i="12"/>
  <c r="E115" i="12"/>
  <c r="D115" i="12"/>
  <c r="C115" i="12"/>
  <c r="B115" i="12"/>
  <c r="A115" i="12"/>
  <c r="H115" i="12" s="1"/>
  <c r="H114" i="12"/>
  <c r="G114" i="12"/>
  <c r="E114" i="12"/>
  <c r="D114" i="12"/>
  <c r="C114" i="12"/>
  <c r="B114" i="12"/>
  <c r="F114" i="12" s="1"/>
  <c r="A114" i="12"/>
  <c r="I114" i="12" s="1"/>
  <c r="F113" i="12"/>
  <c r="E113" i="12"/>
  <c r="D113" i="12"/>
  <c r="C113" i="12"/>
  <c r="G113" i="12" s="1"/>
  <c r="B113" i="12"/>
  <c r="A113" i="12"/>
  <c r="I113" i="12" s="1"/>
  <c r="H112" i="12"/>
  <c r="G112" i="12"/>
  <c r="E112" i="12"/>
  <c r="D112" i="12"/>
  <c r="C112" i="12"/>
  <c r="B112" i="12"/>
  <c r="F112" i="12" s="1"/>
  <c r="A112" i="12"/>
  <c r="I112" i="12" s="1"/>
  <c r="E111" i="12"/>
  <c r="D111" i="12"/>
  <c r="C111" i="12"/>
  <c r="G111" i="12" s="1"/>
  <c r="B111" i="12"/>
  <c r="F111" i="12" s="1"/>
  <c r="A111" i="12"/>
  <c r="I111" i="12" s="1"/>
  <c r="F110" i="12"/>
  <c r="E110" i="12"/>
  <c r="D110" i="12"/>
  <c r="C110" i="12"/>
  <c r="G110" i="12" s="1"/>
  <c r="B110" i="12"/>
  <c r="A110" i="12"/>
  <c r="I110" i="12" s="1"/>
  <c r="G109" i="12"/>
  <c r="E109" i="12"/>
  <c r="D109" i="12"/>
  <c r="C109" i="12"/>
  <c r="B109" i="12"/>
  <c r="F109" i="12" s="1"/>
  <c r="A109" i="12"/>
  <c r="I109" i="12" s="1"/>
  <c r="H108" i="12"/>
  <c r="F108" i="12"/>
  <c r="E108" i="12"/>
  <c r="D108" i="12"/>
  <c r="C108" i="12"/>
  <c r="G108" i="12" s="1"/>
  <c r="B108" i="12"/>
  <c r="A108" i="12"/>
  <c r="I108" i="12" s="1"/>
  <c r="I107" i="12"/>
  <c r="G107" i="12"/>
  <c r="F107" i="12"/>
  <c r="E107" i="12"/>
  <c r="D107" i="12"/>
  <c r="C107" i="12"/>
  <c r="B107" i="12"/>
  <c r="A107" i="12"/>
  <c r="H107" i="12" s="1"/>
  <c r="H106" i="12"/>
  <c r="G106" i="12"/>
  <c r="E106" i="12"/>
  <c r="D106" i="12"/>
  <c r="C106" i="12"/>
  <c r="B106" i="12"/>
  <c r="F106" i="12" s="1"/>
  <c r="A106" i="12"/>
  <c r="I106" i="12" s="1"/>
  <c r="F105" i="12"/>
  <c r="E105" i="12"/>
  <c r="D105" i="12"/>
  <c r="C105" i="12"/>
  <c r="G105" i="12" s="1"/>
  <c r="B105" i="12"/>
  <c r="A105" i="12"/>
  <c r="I105" i="12" s="1"/>
  <c r="H104" i="12"/>
  <c r="G104" i="12"/>
  <c r="E104" i="12"/>
  <c r="D104" i="12"/>
  <c r="C104" i="12"/>
  <c r="B104" i="12"/>
  <c r="F104" i="12" s="1"/>
  <c r="A104" i="12"/>
  <c r="I104" i="12" s="1"/>
  <c r="E103" i="12"/>
  <c r="D103" i="12"/>
  <c r="C103" i="12"/>
  <c r="G103" i="12" s="1"/>
  <c r="B103" i="12"/>
  <c r="F103" i="12" s="1"/>
  <c r="A103" i="12"/>
  <c r="I103" i="12" s="1"/>
  <c r="F102" i="12"/>
  <c r="E102" i="12"/>
  <c r="D102" i="12"/>
  <c r="C102" i="12"/>
  <c r="G102" i="12" s="1"/>
  <c r="B102" i="12"/>
  <c r="A102" i="12"/>
  <c r="I102" i="12" s="1"/>
  <c r="G101" i="12"/>
  <c r="E101" i="12"/>
  <c r="D101" i="12"/>
  <c r="C101" i="12"/>
  <c r="B101" i="12"/>
  <c r="F101" i="12" s="1"/>
  <c r="A101" i="12"/>
  <c r="I101" i="12" s="1"/>
  <c r="H100" i="12"/>
  <c r="F100" i="12"/>
  <c r="E100" i="12"/>
  <c r="D100" i="12"/>
  <c r="C100" i="12"/>
  <c r="G100" i="12" s="1"/>
  <c r="B100" i="12"/>
  <c r="A100" i="12"/>
  <c r="I100" i="12" s="1"/>
  <c r="I99" i="12"/>
  <c r="G99" i="12"/>
  <c r="F99" i="12"/>
  <c r="E99" i="12"/>
  <c r="D99" i="12"/>
  <c r="C99" i="12"/>
  <c r="B99" i="12"/>
  <c r="A99" i="12"/>
  <c r="H99" i="12" s="1"/>
  <c r="H98" i="12"/>
  <c r="G98" i="12"/>
  <c r="E98" i="12"/>
  <c r="D98" i="12"/>
  <c r="C98" i="12"/>
  <c r="B98" i="12"/>
  <c r="F98" i="12" s="1"/>
  <c r="A98" i="12"/>
  <c r="I98" i="12" s="1"/>
  <c r="F97" i="12"/>
  <c r="E97" i="12"/>
  <c r="D97" i="12"/>
  <c r="C97" i="12"/>
  <c r="G97" i="12" s="1"/>
  <c r="B97" i="12"/>
  <c r="A97" i="12"/>
  <c r="I97" i="12" s="1"/>
  <c r="H96" i="12"/>
  <c r="G96" i="12"/>
  <c r="E96" i="12"/>
  <c r="D96" i="12"/>
  <c r="C96" i="12"/>
  <c r="B96" i="12"/>
  <c r="F96" i="12" s="1"/>
  <c r="A96" i="12"/>
  <c r="I96" i="12" s="1"/>
  <c r="E95" i="12"/>
  <c r="D95" i="12"/>
  <c r="C95" i="12"/>
  <c r="G95" i="12" s="1"/>
  <c r="B95" i="12"/>
  <c r="F95" i="12" s="1"/>
  <c r="A95" i="12"/>
  <c r="I95" i="12" s="1"/>
  <c r="F94" i="12"/>
  <c r="E94" i="12"/>
  <c r="D94" i="12"/>
  <c r="C94" i="12"/>
  <c r="G94" i="12" s="1"/>
  <c r="B94" i="12"/>
  <c r="A94" i="12"/>
  <c r="I94" i="12" s="1"/>
  <c r="G93" i="12"/>
  <c r="E93" i="12"/>
  <c r="D93" i="12"/>
  <c r="C93" i="12"/>
  <c r="B93" i="12"/>
  <c r="F93" i="12" s="1"/>
  <c r="A93" i="12"/>
  <c r="I93" i="12" s="1"/>
  <c r="H92" i="12"/>
  <c r="F92" i="12"/>
  <c r="E92" i="12"/>
  <c r="D92" i="12"/>
  <c r="C92" i="12"/>
  <c r="G92" i="12" s="1"/>
  <c r="B92" i="12"/>
  <c r="A92" i="12"/>
  <c r="I92" i="12" s="1"/>
  <c r="I91" i="12"/>
  <c r="G91" i="12"/>
  <c r="F91" i="12"/>
  <c r="E91" i="12"/>
  <c r="D91" i="12"/>
  <c r="C91" i="12"/>
  <c r="B91" i="12"/>
  <c r="A91" i="12"/>
  <c r="H91" i="12" s="1"/>
  <c r="H90" i="12"/>
  <c r="G90" i="12"/>
  <c r="E90" i="12"/>
  <c r="D90" i="12"/>
  <c r="C90" i="12"/>
  <c r="B90" i="12"/>
  <c r="F90" i="12" s="1"/>
  <c r="A90" i="12"/>
  <c r="I90" i="12" s="1"/>
  <c r="F89" i="12"/>
  <c r="E89" i="12"/>
  <c r="D89" i="12"/>
  <c r="C89" i="12"/>
  <c r="G89" i="12" s="1"/>
  <c r="B89" i="12"/>
  <c r="A89" i="12"/>
  <c r="I89" i="12" s="1"/>
  <c r="H88" i="12"/>
  <c r="G88" i="12"/>
  <c r="E88" i="12"/>
  <c r="D88" i="12"/>
  <c r="C88" i="12"/>
  <c r="B88" i="12"/>
  <c r="F88" i="12" s="1"/>
  <c r="A88" i="12"/>
  <c r="I88" i="12" s="1"/>
  <c r="E87" i="12"/>
  <c r="D87" i="12"/>
  <c r="C87" i="12"/>
  <c r="G87" i="12" s="1"/>
  <c r="B87" i="12"/>
  <c r="F87" i="12" s="1"/>
  <c r="A87" i="12"/>
  <c r="I87" i="12" s="1"/>
  <c r="F86" i="12"/>
  <c r="E86" i="12"/>
  <c r="D86" i="12"/>
  <c r="C86" i="12"/>
  <c r="G86" i="12" s="1"/>
  <c r="B86" i="12"/>
  <c r="A86" i="12"/>
  <c r="I86" i="12" s="1"/>
  <c r="G85" i="12"/>
  <c r="E85" i="12"/>
  <c r="D85" i="12"/>
  <c r="C85" i="12"/>
  <c r="B85" i="12"/>
  <c r="F85" i="12" s="1"/>
  <c r="A85" i="12"/>
  <c r="I85" i="12" s="1"/>
  <c r="H84" i="12"/>
  <c r="F84" i="12"/>
  <c r="E84" i="12"/>
  <c r="D84" i="12"/>
  <c r="C84" i="12"/>
  <c r="G84" i="12" s="1"/>
  <c r="B84" i="12"/>
  <c r="A84" i="12"/>
  <c r="I84" i="12" s="1"/>
  <c r="I83" i="12"/>
  <c r="G83" i="12"/>
  <c r="F83" i="12"/>
  <c r="E83" i="12"/>
  <c r="D83" i="12"/>
  <c r="C83" i="12"/>
  <c r="B83" i="12"/>
  <c r="A83" i="12"/>
  <c r="H83" i="12" s="1"/>
  <c r="H82" i="12"/>
  <c r="G82" i="12"/>
  <c r="E82" i="12"/>
  <c r="D82" i="12"/>
  <c r="C82" i="12"/>
  <c r="B82" i="12"/>
  <c r="F82" i="12" s="1"/>
  <c r="A82" i="12"/>
  <c r="I82" i="12" s="1"/>
  <c r="F81" i="12"/>
  <c r="E81" i="12"/>
  <c r="D81" i="12"/>
  <c r="C81" i="12"/>
  <c r="G81" i="12" s="1"/>
  <c r="B81" i="12"/>
  <c r="A81" i="12"/>
  <c r="I81" i="12" s="1"/>
  <c r="H80" i="12"/>
  <c r="G80" i="12"/>
  <c r="E80" i="12"/>
  <c r="D80" i="12"/>
  <c r="C80" i="12"/>
  <c r="B80" i="12"/>
  <c r="F80" i="12" s="1"/>
  <c r="A80" i="12"/>
  <c r="I80" i="12" s="1"/>
  <c r="E79" i="12"/>
  <c r="D79" i="12"/>
  <c r="C79" i="12"/>
  <c r="G79" i="12" s="1"/>
  <c r="B79" i="12"/>
  <c r="F79" i="12" s="1"/>
  <c r="A79" i="12"/>
  <c r="I79" i="12" s="1"/>
  <c r="F78" i="12"/>
  <c r="E78" i="12"/>
  <c r="D78" i="12"/>
  <c r="C78" i="12"/>
  <c r="G78" i="12" s="1"/>
  <c r="B78" i="12"/>
  <c r="A78" i="12"/>
  <c r="I78" i="12" s="1"/>
  <c r="G77" i="12"/>
  <c r="E77" i="12"/>
  <c r="D77" i="12"/>
  <c r="C77" i="12"/>
  <c r="B77" i="12"/>
  <c r="F77" i="12" s="1"/>
  <c r="A77" i="12"/>
  <c r="I77" i="12" s="1"/>
  <c r="H76" i="12"/>
  <c r="F76" i="12"/>
  <c r="E76" i="12"/>
  <c r="D76" i="12"/>
  <c r="C76" i="12"/>
  <c r="G76" i="12" s="1"/>
  <c r="B76" i="12"/>
  <c r="A76" i="12"/>
  <c r="I76" i="12" s="1"/>
  <c r="I75" i="12"/>
  <c r="G75" i="12"/>
  <c r="F75" i="12"/>
  <c r="E75" i="12"/>
  <c r="D75" i="12"/>
  <c r="C75" i="12"/>
  <c r="B75" i="12"/>
  <c r="A75" i="12"/>
  <c r="H75" i="12" s="1"/>
  <c r="H74" i="12"/>
  <c r="G74" i="12"/>
  <c r="E74" i="12"/>
  <c r="D74" i="12"/>
  <c r="C74" i="12"/>
  <c r="B74" i="12"/>
  <c r="F74" i="12" s="1"/>
  <c r="A74" i="12"/>
  <c r="I74" i="12" s="1"/>
  <c r="F73" i="12"/>
  <c r="E73" i="12"/>
  <c r="D73" i="12"/>
  <c r="C73" i="12"/>
  <c r="G73" i="12" s="1"/>
  <c r="B73" i="12"/>
  <c r="A73" i="12"/>
  <c r="I73" i="12" s="1"/>
  <c r="H72" i="12"/>
  <c r="G72" i="12"/>
  <c r="E72" i="12"/>
  <c r="D72" i="12"/>
  <c r="C72" i="12"/>
  <c r="B72" i="12"/>
  <c r="F72" i="12" s="1"/>
  <c r="A72" i="12"/>
  <c r="I72" i="12" s="1"/>
  <c r="E71" i="12"/>
  <c r="D71" i="12"/>
  <c r="C71" i="12"/>
  <c r="G71" i="12" s="1"/>
  <c r="B71" i="12"/>
  <c r="F71" i="12" s="1"/>
  <c r="A71" i="12"/>
  <c r="I71" i="12" s="1"/>
  <c r="F70" i="12"/>
  <c r="E70" i="12"/>
  <c r="D70" i="12"/>
  <c r="C70" i="12"/>
  <c r="G70" i="12" s="1"/>
  <c r="B70" i="12"/>
  <c r="A70" i="12"/>
  <c r="I70" i="12" s="1"/>
  <c r="G69" i="12"/>
  <c r="E69" i="12"/>
  <c r="D69" i="12"/>
  <c r="C69" i="12"/>
  <c r="B69" i="12"/>
  <c r="F69" i="12" s="1"/>
  <c r="A69" i="12"/>
  <c r="I69" i="12" s="1"/>
  <c r="H68" i="12"/>
  <c r="F68" i="12"/>
  <c r="E68" i="12"/>
  <c r="D68" i="12"/>
  <c r="C68" i="12"/>
  <c r="G68" i="12" s="1"/>
  <c r="B68" i="12"/>
  <c r="A68" i="12"/>
  <c r="I68" i="12" s="1"/>
  <c r="I67" i="12"/>
  <c r="G67" i="12"/>
  <c r="F67" i="12"/>
  <c r="E67" i="12"/>
  <c r="D67" i="12"/>
  <c r="C67" i="12"/>
  <c r="B67" i="12"/>
  <c r="A67" i="12"/>
  <c r="H67" i="12" s="1"/>
  <c r="H66" i="12"/>
  <c r="G66" i="12"/>
  <c r="E66" i="12"/>
  <c r="D66" i="12"/>
  <c r="C66" i="12"/>
  <c r="B66" i="12"/>
  <c r="F66" i="12" s="1"/>
  <c r="A66" i="12"/>
  <c r="I66" i="12" s="1"/>
  <c r="F65" i="12"/>
  <c r="E65" i="12"/>
  <c r="D65" i="12"/>
  <c r="C65" i="12"/>
  <c r="G65" i="12" s="1"/>
  <c r="B65" i="12"/>
  <c r="A65" i="12"/>
  <c r="I65" i="12" s="1"/>
  <c r="H64" i="12"/>
  <c r="G64" i="12"/>
  <c r="E64" i="12"/>
  <c r="D64" i="12"/>
  <c r="C64" i="12"/>
  <c r="B64" i="12"/>
  <c r="F64" i="12" s="1"/>
  <c r="A64" i="12"/>
  <c r="I64" i="12" s="1"/>
  <c r="F63" i="12"/>
  <c r="E63" i="12"/>
  <c r="D63" i="12"/>
  <c r="C63" i="12"/>
  <c r="G63" i="12" s="1"/>
  <c r="B63" i="12"/>
  <c r="A63" i="12"/>
  <c r="I63" i="12" s="1"/>
  <c r="G62" i="12"/>
  <c r="F62" i="12"/>
  <c r="E62" i="12"/>
  <c r="D62" i="12"/>
  <c r="C62" i="12"/>
  <c r="B62" i="12"/>
  <c r="A62" i="12"/>
  <c r="I62" i="12" s="1"/>
  <c r="H61" i="12"/>
  <c r="G61" i="12"/>
  <c r="E61" i="12"/>
  <c r="D61" i="12"/>
  <c r="C61" i="12"/>
  <c r="B61" i="12"/>
  <c r="F61" i="12" s="1"/>
  <c r="A61" i="12"/>
  <c r="I61" i="12" s="1"/>
  <c r="H60" i="12"/>
  <c r="F60" i="12"/>
  <c r="E60" i="12"/>
  <c r="D60" i="12"/>
  <c r="C60" i="12"/>
  <c r="G60" i="12" s="1"/>
  <c r="B60" i="12"/>
  <c r="A60" i="12"/>
  <c r="I60" i="12" s="1"/>
  <c r="I59" i="12"/>
  <c r="G59" i="12"/>
  <c r="E59" i="12"/>
  <c r="D59" i="12"/>
  <c r="C59" i="12"/>
  <c r="B59" i="12"/>
  <c r="F59" i="12" s="1"/>
  <c r="A59" i="12"/>
  <c r="H59" i="12" s="1"/>
  <c r="H58" i="12"/>
  <c r="E58" i="12"/>
  <c r="D58" i="12"/>
  <c r="C58" i="12"/>
  <c r="G58" i="12" s="1"/>
  <c r="B58" i="12"/>
  <c r="F58" i="12" s="1"/>
  <c r="A58" i="12"/>
  <c r="I58" i="12" s="1"/>
  <c r="F57" i="12"/>
  <c r="E57" i="12"/>
  <c r="D57" i="12"/>
  <c r="C57" i="12"/>
  <c r="G57" i="12" s="1"/>
  <c r="B57" i="12"/>
  <c r="A57" i="12"/>
  <c r="I57" i="12" s="1"/>
  <c r="H56" i="12"/>
  <c r="G56" i="12"/>
  <c r="E56" i="12"/>
  <c r="D56" i="12"/>
  <c r="C56" i="12"/>
  <c r="B56" i="12"/>
  <c r="F56" i="12" s="1"/>
  <c r="A56" i="12"/>
  <c r="I56" i="12" s="1"/>
  <c r="F55" i="12"/>
  <c r="E55" i="12"/>
  <c r="D55" i="12"/>
  <c r="C55" i="12"/>
  <c r="G55" i="12" s="1"/>
  <c r="B55" i="12"/>
  <c r="A55" i="12"/>
  <c r="I55" i="12" s="1"/>
  <c r="G54" i="12"/>
  <c r="F54" i="12"/>
  <c r="E54" i="12"/>
  <c r="D54" i="12"/>
  <c r="C54" i="12"/>
  <c r="B54" i="12"/>
  <c r="A54" i="12"/>
  <c r="I54" i="12" s="1"/>
  <c r="H53" i="12"/>
  <c r="G53" i="12"/>
  <c r="E53" i="12"/>
  <c r="D53" i="12"/>
  <c r="C53" i="12"/>
  <c r="B53" i="12"/>
  <c r="F53" i="12" s="1"/>
  <c r="A53" i="12"/>
  <c r="I53" i="12" s="1"/>
  <c r="H52" i="12"/>
  <c r="F52" i="12"/>
  <c r="E52" i="12"/>
  <c r="D52" i="12"/>
  <c r="C52" i="12"/>
  <c r="G52" i="12" s="1"/>
  <c r="B52" i="12"/>
  <c r="A52" i="12"/>
  <c r="I52" i="12" s="1"/>
  <c r="I51" i="12"/>
  <c r="G51" i="12"/>
  <c r="E51" i="12"/>
  <c r="D51" i="12"/>
  <c r="C51" i="12"/>
  <c r="B51" i="12"/>
  <c r="F51" i="12" s="1"/>
  <c r="A51" i="12"/>
  <c r="H51" i="12" s="1"/>
  <c r="H50" i="12"/>
  <c r="E50" i="12"/>
  <c r="D50" i="12"/>
  <c r="C50" i="12"/>
  <c r="G50" i="12" s="1"/>
  <c r="B50" i="12"/>
  <c r="F50" i="12" s="1"/>
  <c r="A50" i="12"/>
  <c r="I50" i="12" s="1"/>
  <c r="F49" i="12"/>
  <c r="E49" i="12"/>
  <c r="D49" i="12"/>
  <c r="C49" i="12"/>
  <c r="G49" i="12" s="1"/>
  <c r="B49" i="12"/>
  <c r="A49" i="12"/>
  <c r="I49" i="12" s="1"/>
  <c r="H48" i="12"/>
  <c r="G48" i="12"/>
  <c r="E48" i="12"/>
  <c r="D48" i="12"/>
  <c r="C48" i="12"/>
  <c r="B48" i="12"/>
  <c r="F48" i="12" s="1"/>
  <c r="A48" i="12"/>
  <c r="I48" i="12" s="1"/>
  <c r="F47" i="12"/>
  <c r="E47" i="12"/>
  <c r="D47" i="12"/>
  <c r="C47" i="12"/>
  <c r="G47" i="12" s="1"/>
  <c r="B47" i="12"/>
  <c r="A47" i="12"/>
  <c r="I47" i="12" s="1"/>
  <c r="G46" i="12"/>
  <c r="F46" i="12"/>
  <c r="E46" i="12"/>
  <c r="D46" i="12"/>
  <c r="C46" i="12"/>
  <c r="B46" i="12"/>
  <c r="A46" i="12"/>
  <c r="I46" i="12" s="1"/>
  <c r="H45" i="12"/>
  <c r="G45" i="12"/>
  <c r="E45" i="12"/>
  <c r="D45" i="12"/>
  <c r="C45" i="12"/>
  <c r="B45" i="12"/>
  <c r="F45" i="12" s="1"/>
  <c r="A45" i="12"/>
  <c r="I45" i="12" s="1"/>
  <c r="I44" i="12"/>
  <c r="H44" i="12"/>
  <c r="F44" i="12"/>
  <c r="E44" i="12"/>
  <c r="D44" i="12"/>
  <c r="C44" i="12"/>
  <c r="G44" i="12" s="1"/>
  <c r="B44" i="12"/>
  <c r="A44" i="12"/>
  <c r="G43" i="12"/>
  <c r="E43" i="12"/>
  <c r="D43" i="12"/>
  <c r="C43" i="12"/>
  <c r="B43" i="12"/>
  <c r="F43" i="12" s="1"/>
  <c r="A43" i="12"/>
  <c r="H43" i="12" s="1"/>
  <c r="H42" i="12"/>
  <c r="E42" i="12"/>
  <c r="D42" i="12"/>
  <c r="C42" i="12"/>
  <c r="G42" i="12" s="1"/>
  <c r="B42" i="12"/>
  <c r="F42" i="12" s="1"/>
  <c r="A42" i="12"/>
  <c r="I42" i="12" s="1"/>
  <c r="F41" i="12"/>
  <c r="E41" i="12"/>
  <c r="D41" i="12"/>
  <c r="C41" i="12"/>
  <c r="G41" i="12" s="1"/>
  <c r="B41" i="12"/>
  <c r="A41" i="12"/>
  <c r="I41" i="12" s="1"/>
  <c r="H40" i="12"/>
  <c r="G40" i="12"/>
  <c r="E40" i="12"/>
  <c r="D40" i="12"/>
  <c r="C40" i="12"/>
  <c r="B40" i="12"/>
  <c r="F40" i="12" s="1"/>
  <c r="A40" i="12"/>
  <c r="I40" i="12" s="1"/>
  <c r="F39" i="12"/>
  <c r="E39" i="12"/>
  <c r="D39" i="12"/>
  <c r="C39" i="12"/>
  <c r="G39" i="12" s="1"/>
  <c r="B39" i="12"/>
  <c r="A39" i="12"/>
  <c r="I39" i="12" s="1"/>
  <c r="G38" i="12"/>
  <c r="F38" i="12"/>
  <c r="E38" i="12"/>
  <c r="D38" i="12"/>
  <c r="C38" i="12"/>
  <c r="B38" i="12"/>
  <c r="A38" i="12"/>
  <c r="I38" i="12" s="1"/>
  <c r="H37" i="12"/>
  <c r="G37" i="12"/>
  <c r="E37" i="12"/>
  <c r="D37" i="12"/>
  <c r="C37" i="12"/>
  <c r="B37" i="12"/>
  <c r="F37" i="12" s="1"/>
  <c r="A37" i="12"/>
  <c r="I37" i="12" s="1"/>
  <c r="I36" i="12"/>
  <c r="F36" i="12"/>
  <c r="E36" i="12"/>
  <c r="D36" i="12"/>
  <c r="C36" i="12"/>
  <c r="G36" i="12" s="1"/>
  <c r="B36" i="12"/>
  <c r="A36" i="12"/>
  <c r="H36" i="12" s="1"/>
  <c r="I35" i="12"/>
  <c r="G35" i="12"/>
  <c r="E35" i="12"/>
  <c r="D35" i="12"/>
  <c r="C35" i="12"/>
  <c r="B35" i="12"/>
  <c r="F35" i="12" s="1"/>
  <c r="A35" i="12"/>
  <c r="H35" i="12" s="1"/>
  <c r="H34" i="12"/>
  <c r="E34" i="12"/>
  <c r="D34" i="12"/>
  <c r="C34" i="12"/>
  <c r="G34" i="12" s="1"/>
  <c r="B34" i="12"/>
  <c r="F34" i="12" s="1"/>
  <c r="A34" i="12"/>
  <c r="I34" i="12" s="1"/>
  <c r="F33" i="12"/>
  <c r="E33" i="12"/>
  <c r="D33" i="12"/>
  <c r="C33" i="12"/>
  <c r="G33" i="12" s="1"/>
  <c r="B33" i="12"/>
  <c r="A33" i="12"/>
  <c r="H33" i="12" s="1"/>
  <c r="H32" i="12"/>
  <c r="G32" i="12"/>
  <c r="E32" i="12"/>
  <c r="D32" i="12"/>
  <c r="C32" i="12"/>
  <c r="B32" i="12"/>
  <c r="F32" i="12" s="1"/>
  <c r="A32" i="12"/>
  <c r="I32" i="12" s="1"/>
  <c r="F31" i="12"/>
  <c r="E31" i="12"/>
  <c r="D31" i="12"/>
  <c r="C31" i="12"/>
  <c r="G31" i="12" s="1"/>
  <c r="B31" i="12"/>
  <c r="A31" i="12"/>
  <c r="I31" i="12" s="1"/>
  <c r="G30" i="12"/>
  <c r="F30" i="12"/>
  <c r="E30" i="12"/>
  <c r="D30" i="12"/>
  <c r="C30" i="12"/>
  <c r="B30" i="12"/>
  <c r="A30" i="12"/>
  <c r="I30" i="12" s="1"/>
  <c r="H29" i="12"/>
  <c r="G29" i="12"/>
  <c r="E29" i="12"/>
  <c r="D29" i="12"/>
  <c r="C29" i="12"/>
  <c r="B29" i="12"/>
  <c r="F29" i="12" s="1"/>
  <c r="A29" i="12"/>
  <c r="I29" i="12" s="1"/>
  <c r="H28" i="12"/>
  <c r="F28" i="12"/>
  <c r="E28" i="12"/>
  <c r="D28" i="12"/>
  <c r="C28" i="12"/>
  <c r="G28" i="12" s="1"/>
  <c r="B28" i="12"/>
  <c r="A28" i="12"/>
  <c r="I28" i="12" s="1"/>
  <c r="I27" i="12"/>
  <c r="G27" i="12"/>
  <c r="E27" i="12"/>
  <c r="D27" i="12"/>
  <c r="C27" i="12"/>
  <c r="B27" i="12"/>
  <c r="F27" i="12" s="1"/>
  <c r="A27" i="12"/>
  <c r="H27" i="12" s="1"/>
  <c r="H26" i="12"/>
  <c r="E26" i="12"/>
  <c r="D26" i="12"/>
  <c r="C26" i="12"/>
  <c r="G26" i="12" s="1"/>
  <c r="B26" i="12"/>
  <c r="F26" i="12" s="1"/>
  <c r="A26" i="12"/>
  <c r="I26" i="12" s="1"/>
  <c r="I25" i="12"/>
  <c r="F25" i="12"/>
  <c r="E25" i="12"/>
  <c r="D25" i="12"/>
  <c r="C25" i="12"/>
  <c r="G25" i="12" s="1"/>
  <c r="B25" i="12"/>
  <c r="A25" i="12"/>
  <c r="H25" i="12" s="1"/>
  <c r="H24" i="12"/>
  <c r="G24" i="12"/>
  <c r="E24" i="12"/>
  <c r="D24" i="12"/>
  <c r="C24" i="12"/>
  <c r="B24" i="12"/>
  <c r="F24" i="12" s="1"/>
  <c r="A24" i="12"/>
  <c r="I24" i="12" s="1"/>
  <c r="F23" i="12"/>
  <c r="E23" i="12"/>
  <c r="D23" i="12"/>
  <c r="C23" i="12"/>
  <c r="G23" i="12" s="1"/>
  <c r="B23" i="12"/>
  <c r="A23" i="12"/>
  <c r="H23" i="12" s="1"/>
  <c r="G22" i="12"/>
  <c r="E22" i="12"/>
  <c r="D22" i="12"/>
  <c r="C22" i="12"/>
  <c r="B22" i="12"/>
  <c r="F22" i="12" s="1"/>
  <c r="A22" i="12"/>
  <c r="I22" i="12" s="1"/>
  <c r="H21" i="12"/>
  <c r="E21" i="12"/>
  <c r="D21" i="12"/>
  <c r="C21" i="12"/>
  <c r="G21" i="12" s="1"/>
  <c r="B21" i="12"/>
  <c r="F21" i="12" s="1"/>
  <c r="A21" i="12"/>
  <c r="I21" i="12" s="1"/>
  <c r="H20" i="12"/>
  <c r="F20" i="12"/>
  <c r="E20" i="12"/>
  <c r="D20" i="12"/>
  <c r="C20" i="12"/>
  <c r="G20" i="12" s="1"/>
  <c r="B20" i="12"/>
  <c r="A20" i="12"/>
  <c r="I20" i="12" s="1"/>
  <c r="I19" i="12"/>
  <c r="G19" i="12"/>
  <c r="E19" i="12"/>
  <c r="D19" i="12"/>
  <c r="C19" i="12"/>
  <c r="B19" i="12"/>
  <c r="F19" i="12" s="1"/>
  <c r="A19" i="12"/>
  <c r="H19" i="12" s="1"/>
  <c r="H18" i="12"/>
  <c r="F18" i="12"/>
  <c r="E18" i="12"/>
  <c r="D18" i="12"/>
  <c r="C18" i="12"/>
  <c r="G18" i="12" s="1"/>
  <c r="B18" i="12"/>
  <c r="A18" i="12"/>
  <c r="I18" i="12" s="1"/>
  <c r="G17" i="12"/>
  <c r="F17" i="12"/>
  <c r="E17" i="12"/>
  <c r="D17" i="12"/>
  <c r="C17" i="12"/>
  <c r="B17" i="12"/>
  <c r="A17" i="12"/>
  <c r="H16" i="12"/>
  <c r="G16" i="12"/>
  <c r="E16" i="12"/>
  <c r="D16" i="12"/>
  <c r="C16" i="12"/>
  <c r="B16" i="12"/>
  <c r="F16" i="12" s="1"/>
  <c r="A16" i="12"/>
  <c r="I16" i="12" s="1"/>
  <c r="I15" i="12"/>
  <c r="F15" i="12"/>
  <c r="E15" i="12"/>
  <c r="D15" i="12"/>
  <c r="C15" i="12"/>
  <c r="G15" i="12" s="1"/>
  <c r="B15" i="12"/>
  <c r="A15" i="12"/>
  <c r="H15" i="12" s="1"/>
  <c r="G14" i="12"/>
  <c r="F14" i="12"/>
  <c r="E14" i="12"/>
  <c r="D14" i="12"/>
  <c r="C14" i="12"/>
  <c r="B14" i="12"/>
  <c r="A14" i="12"/>
  <c r="I14" i="12" s="1"/>
  <c r="H13" i="12"/>
  <c r="E13" i="12"/>
  <c r="D13" i="12"/>
  <c r="C13" i="12"/>
  <c r="G13" i="12" s="1"/>
  <c r="B13" i="12"/>
  <c r="F13" i="12" s="1"/>
  <c r="A13" i="12"/>
  <c r="I13" i="12" s="1"/>
  <c r="F12" i="12"/>
  <c r="E12" i="12"/>
  <c r="D12" i="12"/>
  <c r="C12" i="12"/>
  <c r="G12" i="12" s="1"/>
  <c r="B12" i="12"/>
  <c r="A12" i="12"/>
  <c r="I12" i="12" s="1"/>
  <c r="G11" i="12"/>
  <c r="E11" i="12"/>
  <c r="D11" i="12"/>
  <c r="C11" i="12"/>
  <c r="B11" i="12"/>
  <c r="F11" i="12" s="1"/>
  <c r="A11" i="12"/>
  <c r="H11" i="12" s="1"/>
  <c r="H10" i="12"/>
  <c r="F10" i="12"/>
  <c r="E10" i="12"/>
  <c r="D10" i="12"/>
  <c r="C10" i="12"/>
  <c r="G10" i="12" s="1"/>
  <c r="B10" i="12"/>
  <c r="A10" i="12"/>
  <c r="I10" i="12" s="1"/>
  <c r="F9" i="12"/>
  <c r="E9" i="12"/>
  <c r="D9" i="12"/>
  <c r="C9" i="12"/>
  <c r="G9" i="12" s="1"/>
  <c r="B9" i="12"/>
  <c r="A9" i="12"/>
  <c r="H9" i="12" s="1"/>
  <c r="H8" i="12"/>
  <c r="G8" i="12"/>
  <c r="E8" i="12"/>
  <c r="D8" i="12"/>
  <c r="C8" i="12"/>
  <c r="B8" i="12"/>
  <c r="F8" i="12" s="1"/>
  <c r="A8" i="12"/>
  <c r="I8" i="12" s="1"/>
  <c r="F7" i="12"/>
  <c r="E7" i="12"/>
  <c r="D7" i="12"/>
  <c r="C7" i="12"/>
  <c r="G7" i="12" s="1"/>
  <c r="B7" i="12"/>
  <c r="A7" i="12"/>
  <c r="G6" i="12"/>
  <c r="F6" i="12"/>
  <c r="E6" i="12"/>
  <c r="D6" i="12"/>
  <c r="C6" i="12"/>
  <c r="B6" i="12"/>
  <c r="A6" i="12"/>
  <c r="I6" i="12" s="1"/>
  <c r="H5" i="12"/>
  <c r="E5" i="12"/>
  <c r="D5" i="12"/>
  <c r="C5" i="12"/>
  <c r="G5" i="12" s="1"/>
  <c r="B5" i="12"/>
  <c r="F5" i="12" s="1"/>
  <c r="A5" i="12"/>
  <c r="I5" i="12" s="1"/>
  <c r="A504" i="11"/>
  <c r="A503" i="11"/>
  <c r="F503" i="11" s="1"/>
  <c r="A502" i="11"/>
  <c r="E502" i="11" s="1"/>
  <c r="A501" i="11"/>
  <c r="G501" i="11" s="1"/>
  <c r="A500" i="11"/>
  <c r="G500" i="11" s="1"/>
  <c r="A499" i="11"/>
  <c r="E499" i="11" s="1"/>
  <c r="A498" i="11"/>
  <c r="F498" i="11" s="1"/>
  <c r="F497" i="11"/>
  <c r="A497" i="11"/>
  <c r="D497" i="11" s="1"/>
  <c r="A496" i="11"/>
  <c r="C496" i="11" s="1"/>
  <c r="A495" i="11"/>
  <c r="F495" i="11" s="1"/>
  <c r="A494" i="11"/>
  <c r="D494" i="11" s="1"/>
  <c r="A493" i="11"/>
  <c r="A492" i="11"/>
  <c r="G492" i="11" s="1"/>
  <c r="A491" i="11"/>
  <c r="G491" i="11" s="1"/>
  <c r="A490" i="11"/>
  <c r="A489" i="11"/>
  <c r="D489" i="11" s="1"/>
  <c r="B488" i="11"/>
  <c r="A488" i="11"/>
  <c r="C488" i="11" s="1"/>
  <c r="C487" i="11"/>
  <c r="A487" i="11"/>
  <c r="E487" i="11" s="1"/>
  <c r="A486" i="11"/>
  <c r="D486" i="11" s="1"/>
  <c r="A485" i="11"/>
  <c r="A484" i="11"/>
  <c r="G484" i="11" s="1"/>
  <c r="A483" i="11"/>
  <c r="E483" i="11" s="1"/>
  <c r="A482" i="11"/>
  <c r="F482" i="11" s="1"/>
  <c r="B481" i="11"/>
  <c r="A481" i="11"/>
  <c r="D481" i="11" s="1"/>
  <c r="A480" i="11"/>
  <c r="A479" i="11"/>
  <c r="F479" i="11" s="1"/>
  <c r="A478" i="11"/>
  <c r="D478" i="11" s="1"/>
  <c r="A477" i="11"/>
  <c r="A476" i="11"/>
  <c r="G476" i="11" s="1"/>
  <c r="A475" i="11"/>
  <c r="G475" i="11" s="1"/>
  <c r="A474" i="11"/>
  <c r="D474" i="11" s="1"/>
  <c r="A473" i="11"/>
  <c r="D473" i="11" s="1"/>
  <c r="A472" i="11"/>
  <c r="A471" i="11"/>
  <c r="F471" i="11" s="1"/>
  <c r="G470" i="11"/>
  <c r="A470" i="11"/>
  <c r="E470" i="11" s="1"/>
  <c r="D469" i="11"/>
  <c r="C469" i="11"/>
  <c r="A469" i="11"/>
  <c r="F469" i="11" s="1"/>
  <c r="A468" i="11"/>
  <c r="G468" i="11" s="1"/>
  <c r="A467" i="11"/>
  <c r="G467" i="11" s="1"/>
  <c r="F466" i="11"/>
  <c r="A466" i="11"/>
  <c r="C466" i="11" s="1"/>
  <c r="A465" i="11"/>
  <c r="A464" i="11"/>
  <c r="G464" i="11" s="1"/>
  <c r="A463" i="11"/>
  <c r="E463" i="11" s="1"/>
  <c r="F462" i="11"/>
  <c r="E462" i="11"/>
  <c r="A462" i="11"/>
  <c r="C462" i="11" s="1"/>
  <c r="A461" i="11"/>
  <c r="G461" i="11" s="1"/>
  <c r="A460" i="11"/>
  <c r="G460" i="11" s="1"/>
  <c r="A459" i="11"/>
  <c r="E459" i="11" s="1"/>
  <c r="A458" i="11"/>
  <c r="C457" i="11"/>
  <c r="B457" i="11"/>
  <c r="A457" i="11"/>
  <c r="D457" i="11" s="1"/>
  <c r="A456" i="11"/>
  <c r="G456" i="11" s="1"/>
  <c r="A455" i="11"/>
  <c r="F455" i="11" s="1"/>
  <c r="A454" i="11"/>
  <c r="C453" i="11"/>
  <c r="A453" i="11"/>
  <c r="G453" i="11" s="1"/>
  <c r="A452" i="11"/>
  <c r="A451" i="11"/>
  <c r="G451" i="11" s="1"/>
  <c r="A450" i="11"/>
  <c r="F449" i="11"/>
  <c r="C449" i="11"/>
  <c r="A449" i="11"/>
  <c r="D449" i="11" s="1"/>
  <c r="A448" i="11"/>
  <c r="C448" i="11" s="1"/>
  <c r="A447" i="11"/>
  <c r="F447" i="11" s="1"/>
  <c r="E446" i="11"/>
  <c r="A446" i="11"/>
  <c r="D446" i="11" s="1"/>
  <c r="A445" i="11"/>
  <c r="E445" i="11" s="1"/>
  <c r="A444" i="11"/>
  <c r="E444" i="11" s="1"/>
  <c r="A443" i="11"/>
  <c r="A442" i="11"/>
  <c r="G442" i="11" s="1"/>
  <c r="B441" i="11"/>
  <c r="A441" i="11"/>
  <c r="D441" i="11" s="1"/>
  <c r="D440" i="11"/>
  <c r="A440" i="11"/>
  <c r="C440" i="11" s="1"/>
  <c r="E439" i="11"/>
  <c r="C439" i="11"/>
  <c r="A439" i="11"/>
  <c r="A438" i="11"/>
  <c r="E438" i="11" s="1"/>
  <c r="A437" i="11"/>
  <c r="E437" i="11" s="1"/>
  <c r="A436" i="11"/>
  <c r="G436" i="11" s="1"/>
  <c r="A435" i="11"/>
  <c r="A434" i="11"/>
  <c r="E434" i="11" s="1"/>
  <c r="A433" i="11"/>
  <c r="D433" i="11" s="1"/>
  <c r="A432" i="11"/>
  <c r="C432" i="11" s="1"/>
  <c r="A431" i="11"/>
  <c r="A430" i="11"/>
  <c r="G430" i="11" s="1"/>
  <c r="A429" i="11"/>
  <c r="D429" i="11" s="1"/>
  <c r="A428" i="11"/>
  <c r="G428" i="11" s="1"/>
  <c r="A427" i="11"/>
  <c r="F427" i="11" s="1"/>
  <c r="A426" i="11"/>
  <c r="A425" i="11"/>
  <c r="D425" i="11" s="1"/>
  <c r="F424" i="11"/>
  <c r="A424" i="11"/>
  <c r="C424" i="11" s="1"/>
  <c r="A423" i="11"/>
  <c r="B423" i="11" s="1"/>
  <c r="A422" i="11"/>
  <c r="A421" i="11"/>
  <c r="A420" i="11"/>
  <c r="G420" i="11" s="1"/>
  <c r="A419" i="11"/>
  <c r="F419" i="11" s="1"/>
  <c r="A418" i="11"/>
  <c r="A417" i="11"/>
  <c r="A416" i="11"/>
  <c r="C416" i="11" s="1"/>
  <c r="F415" i="11"/>
  <c r="A415" i="11"/>
  <c r="B415" i="11" s="1"/>
  <c r="A414" i="11"/>
  <c r="E414" i="11" s="1"/>
  <c r="A413" i="11"/>
  <c r="A412" i="11"/>
  <c r="A411" i="11"/>
  <c r="F411" i="11" s="1"/>
  <c r="A410" i="11"/>
  <c r="E410" i="11" s="1"/>
  <c r="A409" i="11"/>
  <c r="A408" i="11"/>
  <c r="A407" i="11"/>
  <c r="B407" i="11" s="1"/>
  <c r="G406" i="11"/>
  <c r="D406" i="11"/>
  <c r="A406" i="11"/>
  <c r="E406" i="11" s="1"/>
  <c r="A405" i="11"/>
  <c r="C405" i="11" s="1"/>
  <c r="C404" i="11"/>
  <c r="A404" i="11"/>
  <c r="G404" i="11" s="1"/>
  <c r="A403" i="11"/>
  <c r="A402" i="11"/>
  <c r="E402" i="11" s="1"/>
  <c r="A401" i="11"/>
  <c r="F401" i="11" s="1"/>
  <c r="D400" i="11"/>
  <c r="A400" i="11"/>
  <c r="C400" i="11" s="1"/>
  <c r="A399" i="11"/>
  <c r="F399" i="11" s="1"/>
  <c r="B398" i="11"/>
  <c r="A398" i="11"/>
  <c r="E398" i="11" s="1"/>
  <c r="A397" i="11"/>
  <c r="D397" i="11" s="1"/>
  <c r="A396" i="11"/>
  <c r="A395" i="11"/>
  <c r="C395" i="11" s="1"/>
  <c r="F394" i="11"/>
  <c r="A394" i="11"/>
  <c r="C393" i="11"/>
  <c r="A393" i="11"/>
  <c r="D393" i="11" s="1"/>
  <c r="A392" i="11"/>
  <c r="A391" i="11"/>
  <c r="E391" i="11" s="1"/>
  <c r="A390" i="11"/>
  <c r="G390" i="11" s="1"/>
  <c r="A389" i="11"/>
  <c r="A388" i="11"/>
  <c r="E388" i="11" s="1"/>
  <c r="A387" i="11"/>
  <c r="E387" i="11" s="1"/>
  <c r="B386" i="11"/>
  <c r="A386" i="11"/>
  <c r="C386" i="11" s="1"/>
  <c r="E385" i="11"/>
  <c r="C385" i="11"/>
  <c r="A385" i="11"/>
  <c r="D385" i="11" s="1"/>
  <c r="A384" i="11"/>
  <c r="E384" i="11" s="1"/>
  <c r="A383" i="11"/>
  <c r="C383" i="11" s="1"/>
  <c r="A382" i="11"/>
  <c r="G382" i="11" s="1"/>
  <c r="A381" i="11"/>
  <c r="G381" i="11" s="1"/>
  <c r="A380" i="11"/>
  <c r="E380" i="11" s="1"/>
  <c r="G379" i="11"/>
  <c r="A379" i="11"/>
  <c r="E379" i="11" s="1"/>
  <c r="A378" i="11"/>
  <c r="C378" i="11" s="1"/>
  <c r="C377" i="11"/>
  <c r="A377" i="11"/>
  <c r="D377" i="11" s="1"/>
  <c r="A376" i="11"/>
  <c r="E376" i="11" s="1"/>
  <c r="A375" i="11"/>
  <c r="A374" i="11"/>
  <c r="G374" i="11" s="1"/>
  <c r="C373" i="11"/>
  <c r="A373" i="11"/>
  <c r="G373" i="11" s="1"/>
  <c r="A372" i="11"/>
  <c r="E372" i="11" s="1"/>
  <c r="A371" i="11"/>
  <c r="F370" i="11"/>
  <c r="B370" i="11"/>
  <c r="A370" i="11"/>
  <c r="C370" i="11" s="1"/>
  <c r="C369" i="11"/>
  <c r="A369" i="11"/>
  <c r="D369" i="11" s="1"/>
  <c r="A368" i="11"/>
  <c r="E368" i="11" s="1"/>
  <c r="A367" i="11"/>
  <c r="E367" i="11" s="1"/>
  <c r="A366" i="11"/>
  <c r="G366" i="11" s="1"/>
  <c r="A365" i="11"/>
  <c r="A364" i="11"/>
  <c r="A363" i="11"/>
  <c r="A362" i="11"/>
  <c r="C362" i="11" s="1"/>
  <c r="A361" i="11"/>
  <c r="F360" i="11"/>
  <c r="D360" i="11"/>
  <c r="A360" i="11"/>
  <c r="E360" i="11" s="1"/>
  <c r="A359" i="11"/>
  <c r="A358" i="11"/>
  <c r="A357" i="11"/>
  <c r="D356" i="11"/>
  <c r="B356" i="11"/>
  <c r="A356" i="11"/>
  <c r="E356" i="11" s="1"/>
  <c r="A355" i="11"/>
  <c r="A354" i="11"/>
  <c r="C354" i="11" s="1"/>
  <c r="A353" i="11"/>
  <c r="G353" i="11" s="1"/>
  <c r="F352" i="11"/>
  <c r="A352" i="11"/>
  <c r="A351" i="11"/>
  <c r="C351" i="11" s="1"/>
  <c r="D350" i="11"/>
  <c r="A350" i="11"/>
  <c r="G350" i="11" s="1"/>
  <c r="E349" i="11"/>
  <c r="A349" i="11"/>
  <c r="C349" i="11" s="1"/>
  <c r="A348" i="11"/>
  <c r="A347" i="11"/>
  <c r="G347" i="11" s="1"/>
  <c r="F346" i="11"/>
  <c r="A346" i="11"/>
  <c r="A345" i="11"/>
  <c r="A344" i="11"/>
  <c r="A343" i="11"/>
  <c r="G343" i="11" s="1"/>
  <c r="A342" i="11"/>
  <c r="G342" i="11" s="1"/>
  <c r="A341" i="11"/>
  <c r="G341" i="11" s="1"/>
  <c r="A340" i="11"/>
  <c r="F340" i="11" s="1"/>
  <c r="A339" i="11"/>
  <c r="C339" i="11" s="1"/>
  <c r="E338" i="11"/>
  <c r="A338" i="11"/>
  <c r="F338" i="11" s="1"/>
  <c r="A337" i="11"/>
  <c r="E337" i="11" s="1"/>
  <c r="A336" i="11"/>
  <c r="F336" i="11" s="1"/>
  <c r="A335" i="11"/>
  <c r="A334" i="11"/>
  <c r="B334" i="11" s="1"/>
  <c r="A333" i="11"/>
  <c r="F332" i="11"/>
  <c r="A332" i="11"/>
  <c r="D332" i="11" s="1"/>
  <c r="A331" i="11"/>
  <c r="A330" i="11"/>
  <c r="C330" i="11" s="1"/>
  <c r="A329" i="11"/>
  <c r="G329" i="11" s="1"/>
  <c r="A328" i="11"/>
  <c r="E328" i="11" s="1"/>
  <c r="A327" i="11"/>
  <c r="A326" i="11"/>
  <c r="A325" i="11"/>
  <c r="E325" i="11" s="1"/>
  <c r="A324" i="11"/>
  <c r="A323" i="11"/>
  <c r="D322" i="11"/>
  <c r="A322" i="11"/>
  <c r="C322" i="11" s="1"/>
  <c r="A321" i="11"/>
  <c r="G321" i="11" s="1"/>
  <c r="E320" i="11"/>
  <c r="A320" i="11"/>
  <c r="D320" i="11" s="1"/>
  <c r="A319" i="11"/>
  <c r="G319" i="11" s="1"/>
  <c r="A318" i="11"/>
  <c r="F318" i="11" s="1"/>
  <c r="A317" i="11"/>
  <c r="G316" i="11"/>
  <c r="A316" i="11"/>
  <c r="E316" i="11" s="1"/>
  <c r="A315" i="11"/>
  <c r="A314" i="11"/>
  <c r="A313" i="11"/>
  <c r="E313" i="11" s="1"/>
  <c r="A312" i="11"/>
  <c r="E312" i="11" s="1"/>
  <c r="A311" i="11"/>
  <c r="A310" i="11"/>
  <c r="A309" i="11"/>
  <c r="B308" i="11"/>
  <c r="A308" i="11"/>
  <c r="E308" i="11" s="1"/>
  <c r="E307" i="11"/>
  <c r="A307" i="11"/>
  <c r="D307" i="11" s="1"/>
  <c r="A306" i="11"/>
  <c r="B306" i="11" s="1"/>
  <c r="A305" i="11"/>
  <c r="G305" i="11" s="1"/>
  <c r="A304" i="11"/>
  <c r="E304" i="11" s="1"/>
  <c r="A303" i="11"/>
  <c r="A302" i="11"/>
  <c r="A301" i="11"/>
  <c r="D301" i="11" s="1"/>
  <c r="A300" i="11"/>
  <c r="A299" i="11"/>
  <c r="D299" i="11" s="1"/>
  <c r="A298" i="11"/>
  <c r="F298" i="11" s="1"/>
  <c r="A297" i="11"/>
  <c r="G297" i="11" s="1"/>
  <c r="A296" i="11"/>
  <c r="A295" i="11"/>
  <c r="D295" i="11" s="1"/>
  <c r="A294" i="11"/>
  <c r="D293" i="11"/>
  <c r="A293" i="11"/>
  <c r="G293" i="11" s="1"/>
  <c r="A292" i="11"/>
  <c r="G291" i="11"/>
  <c r="A291" i="11"/>
  <c r="A290" i="11"/>
  <c r="F290" i="11" s="1"/>
  <c r="A289" i="11"/>
  <c r="A288" i="11"/>
  <c r="E288" i="11" s="1"/>
  <c r="A287" i="11"/>
  <c r="A286" i="11"/>
  <c r="D286" i="11" s="1"/>
  <c r="E285" i="11"/>
  <c r="A285" i="11"/>
  <c r="C285" i="11" s="1"/>
  <c r="A284" i="11"/>
  <c r="A283" i="11"/>
  <c r="E283" i="11" s="1"/>
  <c r="A282" i="11"/>
  <c r="G281" i="11"/>
  <c r="C281" i="11"/>
  <c r="A281" i="11"/>
  <c r="E281" i="11" s="1"/>
  <c r="A280" i="11"/>
  <c r="D280" i="11" s="1"/>
  <c r="A279" i="11"/>
  <c r="F279" i="11" s="1"/>
  <c r="A278" i="11"/>
  <c r="B278" i="11" s="1"/>
  <c r="A277" i="11"/>
  <c r="A276" i="11"/>
  <c r="F276" i="11" s="1"/>
  <c r="A275" i="11"/>
  <c r="D275" i="11" s="1"/>
  <c r="A274" i="11"/>
  <c r="G273" i="11"/>
  <c r="A273" i="11"/>
  <c r="E273" i="11" s="1"/>
  <c r="A272" i="11"/>
  <c r="E272" i="11" s="1"/>
  <c r="A271" i="11"/>
  <c r="D271" i="11" s="1"/>
  <c r="E270" i="11"/>
  <c r="A270" i="11"/>
  <c r="D270" i="11" s="1"/>
  <c r="A269" i="11"/>
  <c r="C269" i="11" s="1"/>
  <c r="A268" i="11"/>
  <c r="E268" i="11" s="1"/>
  <c r="A267" i="11"/>
  <c r="D267" i="11" s="1"/>
  <c r="A266" i="11"/>
  <c r="A265" i="11"/>
  <c r="E265" i="11" s="1"/>
  <c r="F264" i="11"/>
  <c r="B264" i="11"/>
  <c r="A264" i="11"/>
  <c r="G264" i="11" s="1"/>
  <c r="A263" i="11"/>
  <c r="D263" i="11" s="1"/>
  <c r="A262" i="11"/>
  <c r="B262" i="11" s="1"/>
  <c r="A261" i="11"/>
  <c r="B260" i="11"/>
  <c r="A260" i="11"/>
  <c r="E260" i="11" s="1"/>
  <c r="A259" i="11"/>
  <c r="D259" i="11" s="1"/>
  <c r="A258" i="11"/>
  <c r="E258" i="11" s="1"/>
  <c r="E257" i="11"/>
  <c r="A257" i="11"/>
  <c r="D257" i="11" s="1"/>
  <c r="E256" i="11"/>
  <c r="D256" i="11"/>
  <c r="A256" i="11"/>
  <c r="G256" i="11" s="1"/>
  <c r="A255" i="11"/>
  <c r="D255" i="11" s="1"/>
  <c r="A254" i="11"/>
  <c r="F254" i="11" s="1"/>
  <c r="A253" i="11"/>
  <c r="A252" i="11"/>
  <c r="E252" i="11" s="1"/>
  <c r="A251" i="11"/>
  <c r="D251" i="11" s="1"/>
  <c r="A250" i="11"/>
  <c r="D250" i="11" s="1"/>
  <c r="A249" i="11"/>
  <c r="D249" i="11" s="1"/>
  <c r="G248" i="11"/>
  <c r="A248" i="11"/>
  <c r="C248" i="11" s="1"/>
  <c r="A247" i="11"/>
  <c r="D247" i="11" s="1"/>
  <c r="A246" i="11"/>
  <c r="B246" i="11" s="1"/>
  <c r="A245" i="11"/>
  <c r="A244" i="11"/>
  <c r="E244" i="11" s="1"/>
  <c r="A243" i="11"/>
  <c r="D243" i="11" s="1"/>
  <c r="A242" i="11"/>
  <c r="F242" i="11" s="1"/>
  <c r="A241" i="11"/>
  <c r="B240" i="11"/>
  <c r="A240" i="11"/>
  <c r="E240" i="11" s="1"/>
  <c r="G239" i="11"/>
  <c r="F239" i="11"/>
  <c r="A239" i="11"/>
  <c r="D239" i="11" s="1"/>
  <c r="A238" i="11"/>
  <c r="A237" i="11"/>
  <c r="E237" i="11" s="1"/>
  <c r="A236" i="11"/>
  <c r="E236" i="11" s="1"/>
  <c r="A235" i="11"/>
  <c r="D235" i="11" s="1"/>
  <c r="A234" i="11"/>
  <c r="F234" i="11" s="1"/>
  <c r="A233" i="11"/>
  <c r="C233" i="11" s="1"/>
  <c r="A232" i="11"/>
  <c r="C232" i="11" s="1"/>
  <c r="A231" i="11"/>
  <c r="D231" i="11" s="1"/>
  <c r="A230" i="11"/>
  <c r="E230" i="11" s="1"/>
  <c r="A229" i="11"/>
  <c r="G229" i="11" s="1"/>
  <c r="A228" i="11"/>
  <c r="E228" i="11" s="1"/>
  <c r="A227" i="11"/>
  <c r="D227" i="11" s="1"/>
  <c r="D226" i="11"/>
  <c r="A226" i="11"/>
  <c r="B226" i="11" s="1"/>
  <c r="A225" i="11"/>
  <c r="A224" i="11"/>
  <c r="D224" i="11" s="1"/>
  <c r="A223" i="11"/>
  <c r="D223" i="11" s="1"/>
  <c r="E222" i="11"/>
  <c r="A222" i="11"/>
  <c r="D222" i="11" s="1"/>
  <c r="A221" i="11"/>
  <c r="E221" i="11" s="1"/>
  <c r="A220" i="11"/>
  <c r="E220" i="11" s="1"/>
  <c r="A219" i="11"/>
  <c r="D219" i="11" s="1"/>
  <c r="A218" i="11"/>
  <c r="C217" i="11"/>
  <c r="A217" i="11"/>
  <c r="E217" i="11" s="1"/>
  <c r="A216" i="11"/>
  <c r="F216" i="11" s="1"/>
  <c r="A215" i="11"/>
  <c r="D215" i="11" s="1"/>
  <c r="E214" i="11"/>
  <c r="A214" i="11"/>
  <c r="B214" i="11" s="1"/>
  <c r="E213" i="11"/>
  <c r="A213" i="11"/>
  <c r="D213" i="11" s="1"/>
  <c r="A212" i="11"/>
  <c r="A211" i="11"/>
  <c r="D211" i="11" s="1"/>
  <c r="A210" i="11"/>
  <c r="E210" i="11" s="1"/>
  <c r="A209" i="11"/>
  <c r="B209" i="11" s="1"/>
  <c r="A208" i="11"/>
  <c r="G208" i="11" s="1"/>
  <c r="A207" i="11"/>
  <c r="G207" i="11" s="1"/>
  <c r="A206" i="11"/>
  <c r="G206" i="11" s="1"/>
  <c r="A205" i="11"/>
  <c r="A204" i="11"/>
  <c r="D204" i="11" s="1"/>
  <c r="A203" i="11"/>
  <c r="B203" i="11" s="1"/>
  <c r="A202" i="11"/>
  <c r="G202" i="11" s="1"/>
  <c r="A201" i="11"/>
  <c r="E201" i="11" s="1"/>
  <c r="A200" i="11"/>
  <c r="G200" i="11" s="1"/>
  <c r="A199" i="11"/>
  <c r="F199" i="11" s="1"/>
  <c r="A198" i="11"/>
  <c r="E198" i="11" s="1"/>
  <c r="A197" i="11"/>
  <c r="D197" i="11" s="1"/>
  <c r="F196" i="11"/>
  <c r="E196" i="11"/>
  <c r="A196" i="11"/>
  <c r="D196" i="11" s="1"/>
  <c r="A195" i="11"/>
  <c r="B195" i="11" s="1"/>
  <c r="E194" i="11"/>
  <c r="A194" i="11"/>
  <c r="G194" i="11" s="1"/>
  <c r="A193" i="11"/>
  <c r="G193" i="11" s="1"/>
  <c r="A192" i="11"/>
  <c r="G192" i="11" s="1"/>
  <c r="A191" i="11"/>
  <c r="F191" i="11" s="1"/>
  <c r="A190" i="11"/>
  <c r="E190" i="11" s="1"/>
  <c r="A189" i="11"/>
  <c r="D189" i="11" s="1"/>
  <c r="C188" i="11"/>
  <c r="A188" i="11"/>
  <c r="D188" i="11" s="1"/>
  <c r="A187" i="11"/>
  <c r="B187" i="11" s="1"/>
  <c r="A186" i="11"/>
  <c r="G186" i="11" s="1"/>
  <c r="A185" i="11"/>
  <c r="G185" i="11" s="1"/>
  <c r="A184" i="11"/>
  <c r="G184" i="11" s="1"/>
  <c r="A183" i="11"/>
  <c r="F183" i="11" s="1"/>
  <c r="B182" i="11"/>
  <c r="A182" i="11"/>
  <c r="E182" i="11" s="1"/>
  <c r="A181" i="11"/>
  <c r="D181" i="11" s="1"/>
  <c r="A180" i="11"/>
  <c r="A179" i="11"/>
  <c r="B179" i="11" s="1"/>
  <c r="A178" i="11"/>
  <c r="A177" i="11"/>
  <c r="G177" i="11" s="1"/>
  <c r="A176" i="11"/>
  <c r="G176" i="11" s="1"/>
  <c r="A175" i="11"/>
  <c r="F175" i="11" s="1"/>
  <c r="A174" i="11"/>
  <c r="E174" i="11" s="1"/>
  <c r="A173" i="11"/>
  <c r="G172" i="11"/>
  <c r="A172" i="11"/>
  <c r="D172" i="11" s="1"/>
  <c r="A171" i="11"/>
  <c r="B171" i="11" s="1"/>
  <c r="A170" i="11"/>
  <c r="G170" i="11" s="1"/>
  <c r="F169" i="11"/>
  <c r="A169" i="11"/>
  <c r="E169" i="11" s="1"/>
  <c r="A168" i="11"/>
  <c r="G168" i="11" s="1"/>
  <c r="A167" i="11"/>
  <c r="F167" i="11" s="1"/>
  <c r="A166" i="11"/>
  <c r="E166" i="11" s="1"/>
  <c r="A165" i="11"/>
  <c r="D165" i="11" s="1"/>
  <c r="C164" i="11"/>
  <c r="A164" i="11"/>
  <c r="D164" i="11" s="1"/>
  <c r="D163" i="11"/>
  <c r="A163" i="11"/>
  <c r="B163" i="11" s="1"/>
  <c r="A162" i="11"/>
  <c r="G162" i="11" s="1"/>
  <c r="F161" i="11"/>
  <c r="D161" i="11"/>
  <c r="B161" i="11"/>
  <c r="A161" i="11"/>
  <c r="E161" i="11" s="1"/>
  <c r="A160" i="11"/>
  <c r="G160" i="11" s="1"/>
  <c r="A159" i="11"/>
  <c r="F159" i="11" s="1"/>
  <c r="A158" i="11"/>
  <c r="E158" i="11" s="1"/>
  <c r="A157" i="11"/>
  <c r="D157" i="11" s="1"/>
  <c r="A156" i="11"/>
  <c r="D156" i="11" s="1"/>
  <c r="A155" i="11"/>
  <c r="F154" i="11"/>
  <c r="D154" i="11"/>
  <c r="A154" i="11"/>
  <c r="G154" i="11" s="1"/>
  <c r="B153" i="11"/>
  <c r="A153" i="11"/>
  <c r="G153" i="11" s="1"/>
  <c r="A152" i="11"/>
  <c r="G152" i="11" s="1"/>
  <c r="A151" i="11"/>
  <c r="F151" i="11" s="1"/>
  <c r="A150" i="11"/>
  <c r="E150" i="11" s="1"/>
  <c r="F149" i="11"/>
  <c r="A149" i="11"/>
  <c r="D149" i="11" s="1"/>
  <c r="A148" i="11"/>
  <c r="A147" i="11"/>
  <c r="B147" i="11" s="1"/>
  <c r="A146" i="11"/>
  <c r="E146" i="11" s="1"/>
  <c r="A145" i="11"/>
  <c r="E145" i="11" s="1"/>
  <c r="A144" i="11"/>
  <c r="G144" i="11" s="1"/>
  <c r="A143" i="11"/>
  <c r="F143" i="11" s="1"/>
  <c r="A142" i="11"/>
  <c r="A141" i="11"/>
  <c r="D141" i="11" s="1"/>
  <c r="A140" i="11"/>
  <c r="D140" i="11" s="1"/>
  <c r="D139" i="11"/>
  <c r="A139" i="11"/>
  <c r="B139" i="11" s="1"/>
  <c r="E138" i="11"/>
  <c r="D138" i="11"/>
  <c r="A138" i="11"/>
  <c r="G138" i="11" s="1"/>
  <c r="A137" i="11"/>
  <c r="E137" i="11" s="1"/>
  <c r="A136" i="11"/>
  <c r="G136" i="11" s="1"/>
  <c r="A135" i="11"/>
  <c r="F135" i="11" s="1"/>
  <c r="A134" i="11"/>
  <c r="E134" i="11" s="1"/>
  <c r="A133" i="11"/>
  <c r="G133" i="11" s="1"/>
  <c r="A132" i="11"/>
  <c r="D132" i="11" s="1"/>
  <c r="A131" i="11"/>
  <c r="B131" i="11" s="1"/>
  <c r="A130" i="11"/>
  <c r="G130" i="11" s="1"/>
  <c r="A129" i="11"/>
  <c r="A128" i="11"/>
  <c r="G128" i="11" s="1"/>
  <c r="A127" i="11"/>
  <c r="F127" i="11" s="1"/>
  <c r="A126" i="11"/>
  <c r="E126" i="11" s="1"/>
  <c r="A125" i="11"/>
  <c r="D125" i="11" s="1"/>
  <c r="A124" i="11"/>
  <c r="A123" i="11"/>
  <c r="A122" i="11"/>
  <c r="D121" i="11"/>
  <c r="A121" i="11"/>
  <c r="B121" i="11" s="1"/>
  <c r="A120" i="11"/>
  <c r="G120" i="11" s="1"/>
  <c r="A119" i="11"/>
  <c r="F119" i="11" s="1"/>
  <c r="A118" i="11"/>
  <c r="E118" i="11" s="1"/>
  <c r="A117" i="11"/>
  <c r="E116" i="11"/>
  <c r="A116" i="11"/>
  <c r="D116" i="11" s="1"/>
  <c r="A115" i="11"/>
  <c r="B115" i="11" s="1"/>
  <c r="A114" i="11"/>
  <c r="G114" i="11" s="1"/>
  <c r="A113" i="11"/>
  <c r="B113" i="11" s="1"/>
  <c r="A112" i="11"/>
  <c r="G112" i="11" s="1"/>
  <c r="A111" i="11"/>
  <c r="F111" i="11" s="1"/>
  <c r="A110" i="11"/>
  <c r="A109" i="11"/>
  <c r="G108" i="11"/>
  <c r="F108" i="11"/>
  <c r="C108" i="11"/>
  <c r="B108" i="11"/>
  <c r="A108" i="11"/>
  <c r="D108" i="11" s="1"/>
  <c r="A107" i="11"/>
  <c r="B107" i="11" s="1"/>
  <c r="A106" i="11"/>
  <c r="G106" i="11" s="1"/>
  <c r="A105" i="11"/>
  <c r="D105" i="11" s="1"/>
  <c r="A104" i="11"/>
  <c r="F104" i="11" s="1"/>
  <c r="A103" i="11"/>
  <c r="F103" i="11" s="1"/>
  <c r="A102" i="11"/>
  <c r="A101" i="11"/>
  <c r="G101" i="11" s="1"/>
  <c r="B100" i="11"/>
  <c r="A100" i="11"/>
  <c r="A99" i="11"/>
  <c r="D98" i="11"/>
  <c r="A98" i="11"/>
  <c r="F98" i="11" s="1"/>
  <c r="A97" i="11"/>
  <c r="D97" i="11" s="1"/>
  <c r="A96" i="11"/>
  <c r="G96" i="11" s="1"/>
  <c r="A95" i="11"/>
  <c r="F95" i="11" s="1"/>
  <c r="A94" i="11"/>
  <c r="E94" i="11" s="1"/>
  <c r="G93" i="11"/>
  <c r="F93" i="11"/>
  <c r="C93" i="11"/>
  <c r="A93" i="11"/>
  <c r="D93" i="11" s="1"/>
  <c r="E92" i="11"/>
  <c r="A92" i="11"/>
  <c r="F92" i="11" s="1"/>
  <c r="A91" i="11"/>
  <c r="A90" i="11"/>
  <c r="A89" i="11"/>
  <c r="G89" i="11" s="1"/>
  <c r="A88" i="11"/>
  <c r="F88" i="11" s="1"/>
  <c r="A87" i="11"/>
  <c r="F87" i="11" s="1"/>
  <c r="A86" i="11"/>
  <c r="D86" i="11" s="1"/>
  <c r="A85" i="11"/>
  <c r="G85" i="11" s="1"/>
  <c r="A84" i="11"/>
  <c r="D84" i="11" s="1"/>
  <c r="D83" i="11"/>
  <c r="A83" i="11"/>
  <c r="G83" i="11" s="1"/>
  <c r="A82" i="11"/>
  <c r="G82" i="11" s="1"/>
  <c r="A81" i="11"/>
  <c r="D81" i="11" s="1"/>
  <c r="A80" i="11"/>
  <c r="G80" i="11" s="1"/>
  <c r="A79" i="11"/>
  <c r="E79" i="11" s="1"/>
  <c r="A78" i="11"/>
  <c r="E78" i="11" s="1"/>
  <c r="A77" i="11"/>
  <c r="B77" i="11" s="1"/>
  <c r="A76" i="11"/>
  <c r="G76" i="11" s="1"/>
  <c r="A75" i="11"/>
  <c r="G75" i="11" s="1"/>
  <c r="A74" i="11"/>
  <c r="G74" i="11" s="1"/>
  <c r="A73" i="11"/>
  <c r="B73" i="11" s="1"/>
  <c r="A72" i="11"/>
  <c r="G72" i="11" s="1"/>
  <c r="A71" i="11"/>
  <c r="F71" i="11" s="1"/>
  <c r="G70" i="11"/>
  <c r="A70" i="11"/>
  <c r="C70" i="11" s="1"/>
  <c r="G69" i="11"/>
  <c r="A69" i="11"/>
  <c r="D69" i="11" s="1"/>
  <c r="A68" i="11"/>
  <c r="D68" i="11" s="1"/>
  <c r="A67" i="11"/>
  <c r="G67" i="11" s="1"/>
  <c r="E66" i="11"/>
  <c r="A66" i="11"/>
  <c r="G66" i="11" s="1"/>
  <c r="A65" i="11"/>
  <c r="F65" i="11" s="1"/>
  <c r="A64" i="11"/>
  <c r="G64" i="11" s="1"/>
  <c r="A63" i="11"/>
  <c r="E63" i="11" s="1"/>
  <c r="A62" i="11"/>
  <c r="E62" i="11" s="1"/>
  <c r="A61" i="11"/>
  <c r="B61" i="11" s="1"/>
  <c r="A60" i="11"/>
  <c r="D60" i="11" s="1"/>
  <c r="A59" i="11"/>
  <c r="G59" i="11" s="1"/>
  <c r="A58" i="11"/>
  <c r="G58" i="11" s="1"/>
  <c r="F57" i="11"/>
  <c r="A57" i="11"/>
  <c r="D57" i="11" s="1"/>
  <c r="A56" i="11"/>
  <c r="G56" i="11" s="1"/>
  <c r="A55" i="11"/>
  <c r="E55" i="11" s="1"/>
  <c r="A54" i="11"/>
  <c r="C54" i="11" s="1"/>
  <c r="A53" i="11"/>
  <c r="D53" i="11" s="1"/>
  <c r="A52" i="11"/>
  <c r="D52" i="11" s="1"/>
  <c r="E51" i="11"/>
  <c r="A51" i="11"/>
  <c r="B51" i="11" s="1"/>
  <c r="A50" i="11"/>
  <c r="G50" i="11" s="1"/>
  <c r="C49" i="11"/>
  <c r="A49" i="11"/>
  <c r="B49" i="11" s="1"/>
  <c r="A48" i="11"/>
  <c r="F48" i="11" s="1"/>
  <c r="A47" i="11"/>
  <c r="D47" i="11" s="1"/>
  <c r="A46" i="11"/>
  <c r="C46" i="11" s="1"/>
  <c r="G45" i="11"/>
  <c r="A45" i="11"/>
  <c r="D45" i="11" s="1"/>
  <c r="E44" i="11"/>
  <c r="C44" i="11"/>
  <c r="A44" i="11"/>
  <c r="D44" i="11" s="1"/>
  <c r="A43" i="11"/>
  <c r="B43" i="11" s="1"/>
  <c r="A42" i="11"/>
  <c r="G42" i="11" s="1"/>
  <c r="A41" i="11"/>
  <c r="B41" i="11" s="1"/>
  <c r="A40" i="11"/>
  <c r="G40" i="11" s="1"/>
  <c r="A39" i="11"/>
  <c r="F39" i="11" s="1"/>
  <c r="G38" i="11"/>
  <c r="D38" i="11"/>
  <c r="A38" i="11"/>
  <c r="C38" i="11" s="1"/>
  <c r="A37" i="11"/>
  <c r="B37" i="11" s="1"/>
  <c r="A36" i="11"/>
  <c r="D36" i="11" s="1"/>
  <c r="A35" i="11"/>
  <c r="G35" i="11" s="1"/>
  <c r="A34" i="11"/>
  <c r="G34" i="11" s="1"/>
  <c r="A33" i="11"/>
  <c r="F33" i="11" s="1"/>
  <c r="A32" i="11"/>
  <c r="G32" i="11" s="1"/>
  <c r="A31" i="11"/>
  <c r="D31" i="11" s="1"/>
  <c r="A30" i="11"/>
  <c r="E30" i="11" s="1"/>
  <c r="G29" i="11"/>
  <c r="F29" i="11"/>
  <c r="A29" i="11"/>
  <c r="B29" i="11" s="1"/>
  <c r="A28" i="11"/>
  <c r="D28" i="11" s="1"/>
  <c r="A27" i="11"/>
  <c r="G27" i="11" s="1"/>
  <c r="A26" i="11"/>
  <c r="G26" i="11" s="1"/>
  <c r="A25" i="11"/>
  <c r="C25" i="11" s="1"/>
  <c r="A24" i="11"/>
  <c r="G24" i="11" s="1"/>
  <c r="A23" i="11"/>
  <c r="E23" i="11" s="1"/>
  <c r="A22" i="11"/>
  <c r="E22" i="11" s="1"/>
  <c r="A21" i="11"/>
  <c r="B21" i="11" s="1"/>
  <c r="A20" i="11"/>
  <c r="D20" i="11" s="1"/>
  <c r="E19" i="11"/>
  <c r="D19" i="11"/>
  <c r="A19" i="11"/>
  <c r="G19" i="11" s="1"/>
  <c r="E18" i="11"/>
  <c r="D18" i="11"/>
  <c r="A18" i="11"/>
  <c r="G18" i="11" s="1"/>
  <c r="A17" i="11"/>
  <c r="E17" i="11" s="1"/>
  <c r="A16" i="11"/>
  <c r="F16" i="11" s="1"/>
  <c r="A15" i="11"/>
  <c r="F15" i="11" s="1"/>
  <c r="A14" i="11"/>
  <c r="D14" i="11" s="1"/>
  <c r="A13" i="11"/>
  <c r="B13" i="11" s="1"/>
  <c r="E12" i="11"/>
  <c r="A12" i="11"/>
  <c r="D12" i="11" s="1"/>
  <c r="A11" i="11"/>
  <c r="G11" i="11" s="1"/>
  <c r="A10" i="11"/>
  <c r="G10" i="11" s="1"/>
  <c r="A9" i="11"/>
  <c r="G9" i="11" s="1"/>
  <c r="A8" i="11"/>
  <c r="G8" i="11" s="1"/>
  <c r="A7" i="11"/>
  <c r="D7" i="11" s="1"/>
  <c r="A6" i="11"/>
  <c r="E6" i="11" s="1"/>
  <c r="A5" i="11"/>
  <c r="B5" i="11" s="1"/>
  <c r="F162" i="11" l="1"/>
  <c r="B198" i="11"/>
  <c r="B438" i="11"/>
  <c r="F19" i="11"/>
  <c r="C37" i="11"/>
  <c r="F52" i="11"/>
  <c r="C74" i="11"/>
  <c r="C84" i="11"/>
  <c r="E89" i="11"/>
  <c r="D113" i="11"/>
  <c r="D147" i="11"/>
  <c r="G166" i="11"/>
  <c r="E185" i="11"/>
  <c r="B190" i="11"/>
  <c r="D195" i="11"/>
  <c r="D198" i="11"/>
  <c r="B204" i="11"/>
  <c r="F215" i="11"/>
  <c r="C221" i="11"/>
  <c r="C236" i="11"/>
  <c r="E246" i="11"/>
  <c r="F267" i="11"/>
  <c r="E278" i="11"/>
  <c r="D288" i="11"/>
  <c r="B312" i="11"/>
  <c r="D330" i="11"/>
  <c r="C347" i="11"/>
  <c r="G356" i="11"/>
  <c r="G360" i="11"/>
  <c r="E397" i="11"/>
  <c r="C427" i="11"/>
  <c r="D442" i="11"/>
  <c r="D447" i="11"/>
  <c r="C455" i="11"/>
  <c r="B460" i="11"/>
  <c r="B467" i="11"/>
  <c r="E478" i="11"/>
  <c r="G502" i="11"/>
  <c r="E68" i="11"/>
  <c r="G150" i="11"/>
  <c r="B84" i="11"/>
  <c r="C113" i="11"/>
  <c r="D171" i="11"/>
  <c r="B230" i="11"/>
  <c r="D340" i="11"/>
  <c r="E84" i="11"/>
  <c r="E195" i="11"/>
  <c r="E347" i="11"/>
  <c r="G397" i="11"/>
  <c r="C460" i="11"/>
  <c r="B20" i="11"/>
  <c r="B60" i="11"/>
  <c r="C65" i="11"/>
  <c r="C82" i="11"/>
  <c r="G84" i="11"/>
  <c r="B94" i="11"/>
  <c r="F105" i="11"/>
  <c r="F114" i="11"/>
  <c r="F125" i="11"/>
  <c r="B137" i="11"/>
  <c r="E139" i="11"/>
  <c r="B145" i="11"/>
  <c r="B156" i="11"/>
  <c r="C161" i="11"/>
  <c r="G232" i="11"/>
  <c r="G236" i="11"/>
  <c r="G257" i="11"/>
  <c r="G288" i="11"/>
  <c r="C301" i="11"/>
  <c r="G325" i="11"/>
  <c r="G337" i="11"/>
  <c r="B372" i="11"/>
  <c r="B382" i="11"/>
  <c r="F393" i="11"/>
  <c r="E428" i="11"/>
  <c r="B448" i="11"/>
  <c r="D464" i="11"/>
  <c r="B491" i="11"/>
  <c r="D236" i="11"/>
  <c r="C20" i="11"/>
  <c r="C60" i="11"/>
  <c r="D94" i="11"/>
  <c r="G125" i="11"/>
  <c r="F137" i="11"/>
  <c r="C145" i="11"/>
  <c r="D372" i="11"/>
  <c r="D448" i="11"/>
  <c r="D461" i="11"/>
  <c r="E60" i="11"/>
  <c r="G94" i="11"/>
  <c r="G137" i="11"/>
  <c r="F145" i="11"/>
  <c r="G372" i="11"/>
  <c r="D166" i="11"/>
  <c r="B236" i="11"/>
  <c r="B251" i="11"/>
  <c r="B288" i="11"/>
  <c r="B366" i="11"/>
  <c r="D432" i="11"/>
  <c r="B483" i="11"/>
  <c r="F37" i="11"/>
  <c r="D74" i="11"/>
  <c r="E147" i="11"/>
  <c r="G190" i="11"/>
  <c r="F288" i="11"/>
  <c r="G21" i="11"/>
  <c r="E83" i="11"/>
  <c r="C116" i="11"/>
  <c r="E121" i="11"/>
  <c r="G126" i="11"/>
  <c r="C141" i="11"/>
  <c r="G145" i="11"/>
  <c r="G149" i="11"/>
  <c r="C154" i="11"/>
  <c r="G158" i="11"/>
  <c r="G161" i="11"/>
  <c r="F165" i="11"/>
  <c r="F188" i="11"/>
  <c r="C202" i="11"/>
  <c r="E208" i="11"/>
  <c r="F223" i="11"/>
  <c r="C229" i="11"/>
  <c r="B256" i="11"/>
  <c r="F270" i="11"/>
  <c r="D281" i="11"/>
  <c r="B360" i="11"/>
  <c r="C425" i="11"/>
  <c r="F437" i="11"/>
  <c r="B449" i="11"/>
  <c r="F453" i="11"/>
  <c r="D462" i="11"/>
  <c r="B476" i="11"/>
  <c r="B500" i="11"/>
  <c r="C13" i="11"/>
  <c r="B17" i="11"/>
  <c r="F18" i="11"/>
  <c r="E20" i="11"/>
  <c r="D25" i="11"/>
  <c r="E34" i="11"/>
  <c r="G37" i="11"/>
  <c r="C42" i="11"/>
  <c r="G44" i="11"/>
  <c r="D49" i="11"/>
  <c r="D54" i="11"/>
  <c r="C58" i="11"/>
  <c r="D65" i="11"/>
  <c r="B76" i="11"/>
  <c r="D78" i="11"/>
  <c r="D82" i="11"/>
  <c r="D107" i="11"/>
  <c r="E113" i="11"/>
  <c r="D115" i="11"/>
  <c r="B118" i="11"/>
  <c r="G121" i="11"/>
  <c r="C130" i="11"/>
  <c r="E153" i="11"/>
  <c r="C156" i="11"/>
  <c r="E164" i="11"/>
  <c r="B177" i="11"/>
  <c r="D179" i="11"/>
  <c r="D182" i="11"/>
  <c r="C186" i="11"/>
  <c r="G188" i="11"/>
  <c r="B193" i="11"/>
  <c r="F194" i="11"/>
  <c r="G204" i="11"/>
  <c r="D209" i="11"/>
  <c r="G213" i="11"/>
  <c r="B216" i="11"/>
  <c r="C219" i="11"/>
  <c r="B224" i="11"/>
  <c r="E226" i="11"/>
  <c r="C237" i="11"/>
  <c r="C240" i="11"/>
  <c r="B244" i="11"/>
  <c r="F246" i="11"/>
  <c r="B272" i="11"/>
  <c r="B280" i="11"/>
  <c r="C283" i="11"/>
  <c r="D290" i="11"/>
  <c r="E293" i="11"/>
  <c r="D298" i="11"/>
  <c r="C304" i="11"/>
  <c r="C308" i="11"/>
  <c r="C312" i="11"/>
  <c r="F322" i="11"/>
  <c r="B328" i="11"/>
  <c r="E339" i="11"/>
  <c r="E351" i="11"/>
  <c r="B362" i="11"/>
  <c r="B374" i="11"/>
  <c r="E377" i="11"/>
  <c r="B380" i="11"/>
  <c r="D382" i="11"/>
  <c r="B390" i="11"/>
  <c r="C398" i="11"/>
  <c r="E405" i="11"/>
  <c r="B414" i="11"/>
  <c r="E419" i="11"/>
  <c r="C429" i="11"/>
  <c r="F433" i="11"/>
  <c r="F444" i="11"/>
  <c r="G449" i="11"/>
  <c r="E457" i="11"/>
  <c r="G462" i="11"/>
  <c r="C476" i="11"/>
  <c r="C481" i="11"/>
  <c r="B484" i="11"/>
  <c r="D488" i="11"/>
  <c r="E491" i="11"/>
  <c r="C495" i="11"/>
  <c r="D9" i="11"/>
  <c r="F13" i="11"/>
  <c r="C17" i="11"/>
  <c r="G20" i="11"/>
  <c r="E25" i="11"/>
  <c r="D42" i="11"/>
  <c r="E49" i="11"/>
  <c r="E52" i="11"/>
  <c r="G54" i="11"/>
  <c r="D58" i="11"/>
  <c r="G60" i="11"/>
  <c r="G65" i="11"/>
  <c r="C69" i="11"/>
  <c r="E76" i="11"/>
  <c r="G78" i="11"/>
  <c r="E82" i="11"/>
  <c r="F84" i="11"/>
  <c r="C89" i="11"/>
  <c r="E105" i="11"/>
  <c r="E107" i="11"/>
  <c r="F113" i="11"/>
  <c r="E115" i="11"/>
  <c r="D118" i="11"/>
  <c r="B126" i="11"/>
  <c r="D134" i="11"/>
  <c r="B140" i="11"/>
  <c r="B150" i="11"/>
  <c r="F156" i="11"/>
  <c r="E162" i="11"/>
  <c r="F164" i="11"/>
  <c r="B172" i="11"/>
  <c r="C177" i="11"/>
  <c r="E179" i="11"/>
  <c r="G182" i="11"/>
  <c r="D186" i="11"/>
  <c r="C193" i="11"/>
  <c r="F197" i="11"/>
  <c r="F201" i="11"/>
  <c r="E209" i="11"/>
  <c r="G216" i="11"/>
  <c r="E219" i="11"/>
  <c r="C224" i="11"/>
  <c r="G237" i="11"/>
  <c r="D240" i="11"/>
  <c r="C244" i="11"/>
  <c r="B258" i="11"/>
  <c r="C265" i="11"/>
  <c r="B268" i="11"/>
  <c r="F272" i="11"/>
  <c r="G280" i="11"/>
  <c r="E290" i="11"/>
  <c r="G304" i="11"/>
  <c r="D308" i="11"/>
  <c r="D312" i="11"/>
  <c r="B316" i="11"/>
  <c r="C328" i="11"/>
  <c r="G339" i="11"/>
  <c r="G351" i="11"/>
  <c r="F362" i="11"/>
  <c r="D374" i="11"/>
  <c r="C380" i="11"/>
  <c r="D398" i="11"/>
  <c r="F414" i="11"/>
  <c r="F457" i="11"/>
  <c r="E481" i="11"/>
  <c r="C503" i="11"/>
  <c r="G13" i="11"/>
  <c r="D17" i="11"/>
  <c r="E35" i="11"/>
  <c r="E42" i="11"/>
  <c r="G49" i="11"/>
  <c r="E58" i="11"/>
  <c r="F69" i="11"/>
  <c r="F76" i="11"/>
  <c r="D89" i="11"/>
  <c r="G113" i="11"/>
  <c r="D126" i="11"/>
  <c r="D131" i="11"/>
  <c r="G134" i="11"/>
  <c r="C138" i="11"/>
  <c r="C140" i="11"/>
  <c r="D150" i="11"/>
  <c r="G156" i="11"/>
  <c r="D177" i="11"/>
  <c r="F186" i="11"/>
  <c r="D193" i="11"/>
  <c r="G209" i="11"/>
  <c r="G219" i="11"/>
  <c r="F222" i="11"/>
  <c r="E224" i="11"/>
  <c r="G227" i="11"/>
  <c r="F240" i="11"/>
  <c r="F244" i="11"/>
  <c r="C247" i="11"/>
  <c r="C288" i="11"/>
  <c r="G308" i="11"/>
  <c r="F312" i="11"/>
  <c r="C316" i="11"/>
  <c r="F328" i="11"/>
  <c r="G349" i="11"/>
  <c r="C356" i="11"/>
  <c r="C360" i="11"/>
  <c r="C372" i="11"/>
  <c r="B378" i="11"/>
  <c r="D380" i="11"/>
  <c r="E383" i="11"/>
  <c r="D386" i="11"/>
  <c r="F398" i="11"/>
  <c r="C402" i="11"/>
  <c r="B406" i="11"/>
  <c r="B430" i="11"/>
  <c r="C434" i="11"/>
  <c r="F438" i="11"/>
  <c r="G441" i="11"/>
  <c r="B445" i="11"/>
  <c r="G457" i="11"/>
  <c r="E467" i="11"/>
  <c r="B470" i="11"/>
  <c r="F473" i="11"/>
  <c r="G481" i="11"/>
  <c r="B489" i="11"/>
  <c r="B492" i="11"/>
  <c r="B496" i="11"/>
  <c r="F17" i="11"/>
  <c r="E140" i="11"/>
  <c r="E177" i="11"/>
  <c r="E193" i="11"/>
  <c r="F224" i="11"/>
  <c r="G240" i="11"/>
  <c r="G244" i="11"/>
  <c r="G247" i="11"/>
  <c r="G312" i="11"/>
  <c r="G328" i="11"/>
  <c r="D378" i="11"/>
  <c r="G380" i="11"/>
  <c r="C397" i="11"/>
  <c r="G398" i="11"/>
  <c r="F402" i="11"/>
  <c r="C406" i="11"/>
  <c r="F410" i="11"/>
  <c r="F430" i="11"/>
  <c r="G445" i="11"/>
  <c r="E448" i="11"/>
  <c r="B456" i="11"/>
  <c r="B462" i="11"/>
  <c r="C470" i="11"/>
  <c r="E486" i="11"/>
  <c r="F489" i="11"/>
  <c r="C492" i="11"/>
  <c r="G5" i="11"/>
  <c r="F11" i="11"/>
  <c r="G14" i="11"/>
  <c r="G17" i="11"/>
  <c r="C33" i="11"/>
  <c r="E36" i="11"/>
  <c r="E50" i="11"/>
  <c r="C53" i="11"/>
  <c r="D59" i="11"/>
  <c r="C77" i="11"/>
  <c r="E97" i="11"/>
  <c r="C106" i="11"/>
  <c r="D114" i="11"/>
  <c r="B132" i="11"/>
  <c r="G140" i="11"/>
  <c r="F177" i="11"/>
  <c r="F181" i="11"/>
  <c r="F193" i="11"/>
  <c r="D217" i="11"/>
  <c r="G220" i="11"/>
  <c r="B223" i="11"/>
  <c r="G224" i="11"/>
  <c r="D228" i="11"/>
  <c r="D232" i="11"/>
  <c r="E259" i="11"/>
  <c r="B350" i="11"/>
  <c r="B376" i="11"/>
  <c r="F378" i="11"/>
  <c r="F384" i="11"/>
  <c r="F456" i="11"/>
  <c r="F468" i="11"/>
  <c r="D470" i="11"/>
  <c r="C482" i="11"/>
  <c r="G489" i="11"/>
  <c r="B502" i="11"/>
  <c r="D33" i="11"/>
  <c r="B44" i="11"/>
  <c r="F50" i="11"/>
  <c r="F53" i="11"/>
  <c r="E57" i="11"/>
  <c r="E67" i="11"/>
  <c r="D70" i="11"/>
  <c r="E74" i="11"/>
  <c r="F77" i="11"/>
  <c r="E81" i="11"/>
  <c r="F97" i="11"/>
  <c r="D106" i="11"/>
  <c r="E108" i="11"/>
  <c r="E114" i="11"/>
  <c r="F116" i="11"/>
  <c r="C121" i="11"/>
  <c r="C125" i="11"/>
  <c r="G132" i="11"/>
  <c r="D145" i="11"/>
  <c r="B158" i="11"/>
  <c r="E163" i="11"/>
  <c r="B166" i="11"/>
  <c r="C170" i="11"/>
  <c r="G181" i="11"/>
  <c r="B185" i="11"/>
  <c r="B188" i="11"/>
  <c r="C196" i="11"/>
  <c r="G198" i="11"/>
  <c r="D203" i="11"/>
  <c r="B208" i="11"/>
  <c r="E215" i="11"/>
  <c r="G217" i="11"/>
  <c r="C223" i="11"/>
  <c r="F228" i="11"/>
  <c r="E232" i="11"/>
  <c r="D248" i="11"/>
  <c r="B252" i="11"/>
  <c r="F259" i="11"/>
  <c r="C264" i="11"/>
  <c r="B267" i="11"/>
  <c r="C279" i="11"/>
  <c r="D297" i="11"/>
  <c r="F376" i="11"/>
  <c r="C381" i="11"/>
  <c r="F388" i="11"/>
  <c r="F406" i="11"/>
  <c r="D423" i="11"/>
  <c r="C436" i="11"/>
  <c r="F470" i="11"/>
  <c r="C502" i="11"/>
  <c r="G33" i="11"/>
  <c r="G53" i="11"/>
  <c r="G77" i="11"/>
  <c r="E106" i="11"/>
  <c r="D246" i="11"/>
  <c r="E248" i="11"/>
  <c r="E264" i="11"/>
  <c r="C267" i="11"/>
  <c r="E279" i="11"/>
  <c r="B286" i="11"/>
  <c r="C293" i="11"/>
  <c r="E297" i="11"/>
  <c r="B322" i="11"/>
  <c r="B330" i="11"/>
  <c r="B342" i="11"/>
  <c r="F350" i="11"/>
  <c r="B354" i="11"/>
  <c r="E494" i="11"/>
  <c r="F502" i="11"/>
  <c r="G28" i="11"/>
  <c r="C5" i="11"/>
  <c r="B9" i="11"/>
  <c r="B12" i="11"/>
  <c r="G22" i="11"/>
  <c r="F25" i="11"/>
  <c r="D27" i="11"/>
  <c r="C34" i="11"/>
  <c r="B36" i="11"/>
  <c r="C41" i="11"/>
  <c r="D46" i="11"/>
  <c r="G52" i="11"/>
  <c r="G57" i="11"/>
  <c r="E59" i="11"/>
  <c r="C61" i="11"/>
  <c r="C66" i="11"/>
  <c r="B68" i="11"/>
  <c r="C73" i="11"/>
  <c r="G81" i="11"/>
  <c r="D92" i="11"/>
  <c r="C92" i="11"/>
  <c r="B97" i="11"/>
  <c r="B99" i="11"/>
  <c r="E99" i="11"/>
  <c r="F101" i="11"/>
  <c r="B105" i="11"/>
  <c r="D124" i="11"/>
  <c r="F124" i="11"/>
  <c r="E124" i="11"/>
  <c r="C124" i="11"/>
  <c r="B124" i="11"/>
  <c r="G454" i="11"/>
  <c r="F454" i="11"/>
  <c r="E454" i="11"/>
  <c r="D454" i="11"/>
  <c r="C454" i="11"/>
  <c r="B454" i="11"/>
  <c r="D10" i="11"/>
  <c r="F5" i="11"/>
  <c r="C9" i="11"/>
  <c r="E10" i="11"/>
  <c r="C12" i="11"/>
  <c r="F20" i="11"/>
  <c r="G25" i="11"/>
  <c r="E27" i="11"/>
  <c r="C29" i="11"/>
  <c r="B33" i="11"/>
  <c r="D34" i="11"/>
  <c r="C36" i="11"/>
  <c r="D41" i="11"/>
  <c r="F42" i="11"/>
  <c r="F44" i="11"/>
  <c r="G46" i="11"/>
  <c r="F49" i="11"/>
  <c r="D51" i="11"/>
  <c r="F61" i="11"/>
  <c r="B65" i="11"/>
  <c r="D66" i="11"/>
  <c r="C68" i="11"/>
  <c r="D73" i="11"/>
  <c r="F74" i="11"/>
  <c r="E86" i="11"/>
  <c r="G86" i="11"/>
  <c r="B92" i="11"/>
  <c r="D99" i="11"/>
  <c r="C105" i="11"/>
  <c r="G124" i="11"/>
  <c r="G261" i="11"/>
  <c r="D261" i="11"/>
  <c r="D277" i="11"/>
  <c r="G277" i="11"/>
  <c r="E277" i="11"/>
  <c r="F10" i="11"/>
  <c r="E41" i="11"/>
  <c r="G61" i="11"/>
  <c r="E73" i="11"/>
  <c r="G90" i="11"/>
  <c r="D90" i="11"/>
  <c r="D100" i="11"/>
  <c r="E100" i="11"/>
  <c r="E102" i="11"/>
  <c r="B102" i="11"/>
  <c r="D109" i="11"/>
  <c r="G109" i="11"/>
  <c r="F109" i="11"/>
  <c r="C109" i="11"/>
  <c r="D117" i="11"/>
  <c r="G117" i="11"/>
  <c r="F117" i="11"/>
  <c r="D205" i="11"/>
  <c r="G205" i="11"/>
  <c r="F205" i="11"/>
  <c r="D43" i="11"/>
  <c r="C90" i="11"/>
  <c r="D102" i="11"/>
  <c r="E110" i="11"/>
  <c r="D110" i="11"/>
  <c r="C117" i="11"/>
  <c r="D180" i="11"/>
  <c r="G180" i="11"/>
  <c r="F180" i="11"/>
  <c r="E180" i="11"/>
  <c r="C180" i="11"/>
  <c r="B180" i="11"/>
  <c r="E284" i="11"/>
  <c r="D284" i="11"/>
  <c r="G284" i="11"/>
  <c r="F284" i="11"/>
  <c r="C284" i="11"/>
  <c r="B284" i="11"/>
  <c r="C26" i="11"/>
  <c r="F36" i="11"/>
  <c r="F41" i="11"/>
  <c r="F68" i="11"/>
  <c r="F73" i="11"/>
  <c r="G6" i="11"/>
  <c r="F9" i="11"/>
  <c r="D11" i="11"/>
  <c r="G12" i="11"/>
  <c r="C21" i="11"/>
  <c r="B25" i="11"/>
  <c r="D26" i="11"/>
  <c r="C28" i="11"/>
  <c r="E33" i="11"/>
  <c r="G36" i="11"/>
  <c r="G41" i="11"/>
  <c r="E43" i="11"/>
  <c r="C45" i="11"/>
  <c r="C50" i="11"/>
  <c r="B52" i="11"/>
  <c r="C57" i="11"/>
  <c r="D62" i="11"/>
  <c r="E65" i="11"/>
  <c r="G68" i="11"/>
  <c r="G73" i="11"/>
  <c r="E75" i="11"/>
  <c r="B81" i="11"/>
  <c r="E90" i="11"/>
  <c r="G92" i="11"/>
  <c r="G98" i="11"/>
  <c r="E98" i="11"/>
  <c r="C100" i="11"/>
  <c r="G102" i="11"/>
  <c r="G105" i="11"/>
  <c r="B110" i="11"/>
  <c r="E129" i="11"/>
  <c r="D129" i="11"/>
  <c r="C129" i="11"/>
  <c r="B129" i="11"/>
  <c r="G129" i="11"/>
  <c r="D148" i="11"/>
  <c r="G148" i="11"/>
  <c r="F148" i="11"/>
  <c r="C148" i="11"/>
  <c r="B148" i="11"/>
  <c r="D173" i="11"/>
  <c r="G173" i="11"/>
  <c r="F173" i="11"/>
  <c r="F266" i="11"/>
  <c r="E266" i="11"/>
  <c r="D266" i="11"/>
  <c r="B266" i="11"/>
  <c r="G296" i="11"/>
  <c r="C296" i="11"/>
  <c r="F296" i="11"/>
  <c r="E296" i="11"/>
  <c r="D296" i="11"/>
  <c r="B296" i="11"/>
  <c r="E9" i="11"/>
  <c r="F12" i="11"/>
  <c r="B28" i="11"/>
  <c r="F34" i="11"/>
  <c r="B57" i="11"/>
  <c r="F66" i="11"/>
  <c r="D75" i="11"/>
  <c r="E11" i="11"/>
  <c r="C18" i="11"/>
  <c r="F21" i="11"/>
  <c r="E26" i="11"/>
  <c r="E28" i="11"/>
  <c r="G30" i="11"/>
  <c r="D35" i="11"/>
  <c r="F45" i="11"/>
  <c r="D50" i="11"/>
  <c r="C52" i="11"/>
  <c r="F58" i="11"/>
  <c r="F60" i="11"/>
  <c r="G62" i="11"/>
  <c r="D67" i="11"/>
  <c r="D76" i="11"/>
  <c r="C76" i="11"/>
  <c r="C81" i="11"/>
  <c r="F89" i="11"/>
  <c r="B89" i="11"/>
  <c r="F90" i="11"/>
  <c r="C98" i="11"/>
  <c r="F100" i="11"/>
  <c r="G110" i="11"/>
  <c r="F129" i="11"/>
  <c r="D133" i="11"/>
  <c r="F133" i="11"/>
  <c r="C133" i="11"/>
  <c r="E148" i="11"/>
  <c r="G241" i="11"/>
  <c r="D241" i="11"/>
  <c r="E274" i="11"/>
  <c r="D274" i="11"/>
  <c r="F274" i="11"/>
  <c r="B274" i="11"/>
  <c r="G310" i="11"/>
  <c r="D310" i="11"/>
  <c r="B310" i="11"/>
  <c r="F310" i="11"/>
  <c r="F26" i="11"/>
  <c r="F28" i="11"/>
  <c r="B85" i="11"/>
  <c r="F85" i="11"/>
  <c r="B91" i="11"/>
  <c r="D91" i="11"/>
  <c r="G100" i="11"/>
  <c r="G122" i="11"/>
  <c r="F122" i="11"/>
  <c r="E122" i="11"/>
  <c r="D122" i="11"/>
  <c r="C122" i="11"/>
  <c r="E142" i="11"/>
  <c r="G142" i="11"/>
  <c r="D142" i="11"/>
  <c r="B142" i="11"/>
  <c r="B155" i="11"/>
  <c r="E155" i="11"/>
  <c r="D155" i="11"/>
  <c r="E212" i="11"/>
  <c r="G212" i="11"/>
  <c r="F212" i="11"/>
  <c r="D212" i="11"/>
  <c r="C212" i="11"/>
  <c r="B212" i="11"/>
  <c r="G326" i="11"/>
  <c r="D326" i="11"/>
  <c r="B326" i="11"/>
  <c r="F326" i="11"/>
  <c r="C10" i="11"/>
  <c r="F81" i="11"/>
  <c r="C85" i="11"/>
  <c r="E91" i="11"/>
  <c r="G97" i="11"/>
  <c r="C97" i="11"/>
  <c r="D101" i="11"/>
  <c r="C101" i="11"/>
  <c r="B123" i="11"/>
  <c r="E123" i="11"/>
  <c r="D123" i="11"/>
  <c r="G146" i="11"/>
  <c r="F146" i="11"/>
  <c r="D146" i="11"/>
  <c r="C146" i="11"/>
  <c r="G178" i="11"/>
  <c r="F178" i="11"/>
  <c r="E178" i="11"/>
  <c r="D178" i="11"/>
  <c r="C178" i="11"/>
  <c r="C253" i="11"/>
  <c r="G253" i="11"/>
  <c r="E253" i="11"/>
  <c r="D253" i="11"/>
  <c r="F106" i="11"/>
  <c r="G116" i="11"/>
  <c r="G118" i="11"/>
  <c r="F121" i="11"/>
  <c r="E131" i="11"/>
  <c r="F141" i="11"/>
  <c r="C153" i="11"/>
  <c r="E154" i="11"/>
  <c r="E156" i="11"/>
  <c r="D158" i="11"/>
  <c r="G164" i="11"/>
  <c r="G169" i="11"/>
  <c r="E171" i="11"/>
  <c r="C185" i="11"/>
  <c r="E186" i="11"/>
  <c r="E188" i="11"/>
  <c r="D190" i="11"/>
  <c r="G196" i="11"/>
  <c r="G201" i="11"/>
  <c r="E203" i="11"/>
  <c r="C208" i="11"/>
  <c r="F209" i="11"/>
  <c r="G215" i="11"/>
  <c r="F219" i="11"/>
  <c r="F226" i="11"/>
  <c r="G228" i="11"/>
  <c r="D230" i="11"/>
  <c r="F232" i="11"/>
  <c r="D237" i="11"/>
  <c r="D244" i="11"/>
  <c r="F248" i="11"/>
  <c r="E251" i="11"/>
  <c r="C256" i="11"/>
  <c r="G259" i="11"/>
  <c r="D264" i="11"/>
  <c r="G267" i="11"/>
  <c r="D272" i="11"/>
  <c r="E286" i="11"/>
  <c r="D291" i="11"/>
  <c r="C291" i="11"/>
  <c r="D304" i="11"/>
  <c r="F307" i="11"/>
  <c r="G313" i="11"/>
  <c r="C313" i="11"/>
  <c r="G320" i="11"/>
  <c r="F320" i="11"/>
  <c r="C320" i="11"/>
  <c r="B320" i="11"/>
  <c r="G334" i="11"/>
  <c r="F334" i="11"/>
  <c r="D334" i="11"/>
  <c r="C338" i="11"/>
  <c r="D338" i="11"/>
  <c r="B338" i="11"/>
  <c r="C346" i="11"/>
  <c r="E346" i="11"/>
  <c r="D346" i="11"/>
  <c r="B346" i="11"/>
  <c r="D368" i="11"/>
  <c r="C368" i="11"/>
  <c r="B368" i="11"/>
  <c r="G368" i="11"/>
  <c r="F368" i="11"/>
  <c r="F472" i="11"/>
  <c r="D472" i="11"/>
  <c r="B472" i="11"/>
  <c r="G141" i="11"/>
  <c r="D153" i="11"/>
  <c r="D185" i="11"/>
  <c r="D208" i="11"/>
  <c r="F230" i="11"/>
  <c r="F286" i="11"/>
  <c r="E327" i="11"/>
  <c r="G327" i="11"/>
  <c r="E352" i="11"/>
  <c r="D352" i="11"/>
  <c r="C352" i="11"/>
  <c r="B352" i="11"/>
  <c r="G352" i="11"/>
  <c r="G363" i="11"/>
  <c r="E363" i="11"/>
  <c r="C363" i="11"/>
  <c r="D409" i="11"/>
  <c r="C409" i="11"/>
  <c r="F450" i="11"/>
  <c r="D450" i="11"/>
  <c r="C450" i="11"/>
  <c r="G485" i="11"/>
  <c r="F485" i="11"/>
  <c r="C485" i="11"/>
  <c r="D287" i="11"/>
  <c r="B287" i="11"/>
  <c r="E292" i="11"/>
  <c r="C292" i="11"/>
  <c r="E300" i="11"/>
  <c r="B300" i="11"/>
  <c r="G300" i="11"/>
  <c r="D303" i="11"/>
  <c r="E303" i="11"/>
  <c r="C314" i="11"/>
  <c r="E314" i="11"/>
  <c r="D314" i="11"/>
  <c r="E317" i="11"/>
  <c r="C317" i="11"/>
  <c r="E324" i="11"/>
  <c r="G324" i="11"/>
  <c r="C324" i="11"/>
  <c r="B324" i="11"/>
  <c r="E364" i="11"/>
  <c r="G364" i="11"/>
  <c r="D364" i="11"/>
  <c r="C364" i="11"/>
  <c r="B364" i="11"/>
  <c r="E392" i="11"/>
  <c r="G392" i="11"/>
  <c r="F392" i="11"/>
  <c r="D392" i="11"/>
  <c r="C392" i="11"/>
  <c r="B392" i="11"/>
  <c r="D130" i="11"/>
  <c r="C132" i="11"/>
  <c r="C137" i="11"/>
  <c r="F153" i="11"/>
  <c r="G165" i="11"/>
  <c r="B169" i="11"/>
  <c r="D170" i="11"/>
  <c r="C172" i="11"/>
  <c r="B174" i="11"/>
  <c r="F185" i="11"/>
  <c r="D187" i="11"/>
  <c r="G197" i="11"/>
  <c r="B201" i="11"/>
  <c r="D202" i="11"/>
  <c r="C204" i="11"/>
  <c r="B206" i="11"/>
  <c r="F208" i="11"/>
  <c r="B210" i="11"/>
  <c r="C216" i="11"/>
  <c r="B220" i="11"/>
  <c r="D229" i="11"/>
  <c r="D233" i="11"/>
  <c r="E243" i="11"/>
  <c r="C252" i="11"/>
  <c r="F256" i="11"/>
  <c r="C260" i="11"/>
  <c r="E263" i="11"/>
  <c r="C268" i="11"/>
  <c r="E276" i="11"/>
  <c r="B276" i="11"/>
  <c r="G276" i="11"/>
  <c r="C280" i="11"/>
  <c r="C287" i="11"/>
  <c r="B292" i="11"/>
  <c r="E294" i="11"/>
  <c r="F294" i="11"/>
  <c r="C300" i="11"/>
  <c r="C303" i="11"/>
  <c r="B314" i="11"/>
  <c r="G317" i="11"/>
  <c r="D324" i="11"/>
  <c r="E336" i="11"/>
  <c r="G336" i="11"/>
  <c r="C336" i="11"/>
  <c r="B336" i="11"/>
  <c r="F364" i="11"/>
  <c r="G422" i="11"/>
  <c r="F422" i="11"/>
  <c r="E422" i="11"/>
  <c r="D422" i="11"/>
  <c r="C422" i="11"/>
  <c r="B422" i="11"/>
  <c r="G452" i="11"/>
  <c r="F452" i="11"/>
  <c r="E452" i="11"/>
  <c r="C452" i="11"/>
  <c r="B452" i="11"/>
  <c r="C504" i="11"/>
  <c r="G504" i="11"/>
  <c r="F504" i="11"/>
  <c r="D504" i="11"/>
  <c r="B504" i="11"/>
  <c r="F82" i="11"/>
  <c r="C114" i="11"/>
  <c r="B116" i="11"/>
  <c r="E130" i="11"/>
  <c r="E132" i="11"/>
  <c r="B134" i="11"/>
  <c r="D137" i="11"/>
  <c r="F138" i="11"/>
  <c r="F140" i="11"/>
  <c r="F157" i="11"/>
  <c r="C162" i="11"/>
  <c r="B164" i="11"/>
  <c r="C169" i="11"/>
  <c r="E170" i="11"/>
  <c r="E172" i="11"/>
  <c r="D174" i="11"/>
  <c r="E187" i="11"/>
  <c r="F189" i="11"/>
  <c r="C194" i="11"/>
  <c r="B196" i="11"/>
  <c r="C201" i="11"/>
  <c r="E202" i="11"/>
  <c r="E204" i="11"/>
  <c r="D206" i="11"/>
  <c r="D210" i="11"/>
  <c r="B215" i="11"/>
  <c r="D216" i="11"/>
  <c r="C220" i="11"/>
  <c r="B222" i="11"/>
  <c r="G223" i="11"/>
  <c r="B228" i="11"/>
  <c r="E229" i="11"/>
  <c r="B232" i="11"/>
  <c r="E233" i="11"/>
  <c r="F236" i="11"/>
  <c r="C239" i="11"/>
  <c r="F243" i="11"/>
  <c r="B248" i="11"/>
  <c r="E250" i="11"/>
  <c r="D252" i="11"/>
  <c r="D254" i="11"/>
  <c r="B259" i="11"/>
  <c r="D260" i="11"/>
  <c r="F263" i="11"/>
  <c r="D268" i="11"/>
  <c r="B271" i="11"/>
  <c r="C273" i="11"/>
  <c r="C276" i="11"/>
  <c r="E280" i="11"/>
  <c r="D283" i="11"/>
  <c r="G283" i="11"/>
  <c r="F287" i="11"/>
  <c r="D292" i="11"/>
  <c r="B294" i="11"/>
  <c r="D300" i="11"/>
  <c r="F303" i="11"/>
  <c r="D305" i="11"/>
  <c r="F314" i="11"/>
  <c r="G318" i="11"/>
  <c r="D318" i="11"/>
  <c r="B318" i="11"/>
  <c r="C321" i="11"/>
  <c r="F324" i="11"/>
  <c r="E332" i="11"/>
  <c r="C332" i="11"/>
  <c r="B332" i="11"/>
  <c r="G332" i="11"/>
  <c r="D336" i="11"/>
  <c r="D465" i="11"/>
  <c r="G465" i="11"/>
  <c r="F465" i="11"/>
  <c r="E465" i="11"/>
  <c r="C465" i="11"/>
  <c r="B465" i="11"/>
  <c r="F130" i="11"/>
  <c r="F132" i="11"/>
  <c r="G157" i="11"/>
  <c r="D162" i="11"/>
  <c r="D169" i="11"/>
  <c r="F170" i="11"/>
  <c r="F172" i="11"/>
  <c r="G174" i="11"/>
  <c r="G189" i="11"/>
  <c r="D194" i="11"/>
  <c r="D201" i="11"/>
  <c r="F202" i="11"/>
  <c r="F204" i="11"/>
  <c r="F210" i="11"/>
  <c r="C215" i="11"/>
  <c r="E216" i="11"/>
  <c r="D220" i="11"/>
  <c r="C228" i="11"/>
  <c r="G233" i="11"/>
  <c r="E239" i="11"/>
  <c r="F250" i="11"/>
  <c r="F252" i="11"/>
  <c r="C259" i="11"/>
  <c r="F260" i="11"/>
  <c r="F268" i="11"/>
  <c r="E271" i="11"/>
  <c r="D273" i="11"/>
  <c r="D276" i="11"/>
  <c r="D279" i="11"/>
  <c r="G279" i="11"/>
  <c r="B279" i="11"/>
  <c r="F280" i="11"/>
  <c r="G287" i="11"/>
  <c r="F292" i="11"/>
  <c r="D294" i="11"/>
  <c r="F300" i="11"/>
  <c r="G303" i="11"/>
  <c r="E315" i="11"/>
  <c r="G315" i="11"/>
  <c r="D344" i="11"/>
  <c r="C344" i="11"/>
  <c r="B344" i="11"/>
  <c r="G344" i="11"/>
  <c r="F344" i="11"/>
  <c r="E348" i="11"/>
  <c r="D348" i="11"/>
  <c r="C348" i="11"/>
  <c r="B348" i="11"/>
  <c r="G348" i="11"/>
  <c r="G358" i="11"/>
  <c r="F358" i="11"/>
  <c r="D358" i="11"/>
  <c r="B358" i="11"/>
  <c r="C361" i="11"/>
  <c r="G361" i="11"/>
  <c r="E361" i="11"/>
  <c r="F220" i="11"/>
  <c r="G252" i="11"/>
  <c r="G260" i="11"/>
  <c r="G268" i="11"/>
  <c r="C272" i="11"/>
  <c r="G272" i="11"/>
  <c r="G292" i="11"/>
  <c r="E301" i="11"/>
  <c r="G301" i="11"/>
  <c r="B304" i="11"/>
  <c r="F304" i="11"/>
  <c r="E319" i="11"/>
  <c r="C319" i="11"/>
  <c r="E340" i="11"/>
  <c r="G340" i="11"/>
  <c r="C340" i="11"/>
  <c r="B340" i="11"/>
  <c r="E344" i="11"/>
  <c r="F348" i="11"/>
  <c r="F413" i="11"/>
  <c r="G413" i="11"/>
  <c r="C413" i="11"/>
  <c r="E418" i="11"/>
  <c r="C418" i="11"/>
  <c r="G443" i="11"/>
  <c r="E443" i="11"/>
  <c r="D443" i="11"/>
  <c r="B443" i="11"/>
  <c r="D316" i="11"/>
  <c r="D328" i="11"/>
  <c r="E330" i="11"/>
  <c r="D342" i="11"/>
  <c r="D362" i="11"/>
  <c r="D366" i="11"/>
  <c r="D370" i="11"/>
  <c r="F372" i="11"/>
  <c r="F374" i="11"/>
  <c r="G376" i="11"/>
  <c r="E378" i="11"/>
  <c r="F380" i="11"/>
  <c r="F382" i="11"/>
  <c r="G384" i="11"/>
  <c r="E386" i="11"/>
  <c r="G388" i="11"/>
  <c r="G414" i="11"/>
  <c r="C430" i="11"/>
  <c r="G438" i="11"/>
  <c r="C441" i="11"/>
  <c r="D445" i="11"/>
  <c r="F446" i="11"/>
  <c r="G448" i="11"/>
  <c r="E460" i="11"/>
  <c r="G473" i="11"/>
  <c r="E476" i="11"/>
  <c r="F478" i="11"/>
  <c r="F481" i="11"/>
  <c r="D483" i="11"/>
  <c r="F486" i="11"/>
  <c r="F488" i="11"/>
  <c r="E492" i="11"/>
  <c r="F494" i="11"/>
  <c r="D496" i="11"/>
  <c r="G497" i="11"/>
  <c r="C500" i="11"/>
  <c r="D502" i="11"/>
  <c r="F316" i="11"/>
  <c r="F330" i="11"/>
  <c r="F342" i="11"/>
  <c r="E362" i="11"/>
  <c r="F366" i="11"/>
  <c r="E370" i="11"/>
  <c r="F386" i="11"/>
  <c r="D430" i="11"/>
  <c r="E441" i="11"/>
  <c r="F445" i="11"/>
  <c r="G446" i="11"/>
  <c r="F460" i="11"/>
  <c r="F476" i="11"/>
  <c r="G478" i="11"/>
  <c r="G486" i="11"/>
  <c r="G488" i="11"/>
  <c r="F492" i="11"/>
  <c r="G494" i="11"/>
  <c r="F496" i="11"/>
  <c r="E500" i="11"/>
  <c r="E430" i="11"/>
  <c r="F441" i="11"/>
  <c r="G496" i="11"/>
  <c r="F500" i="11"/>
  <c r="F308" i="11"/>
  <c r="E322" i="11"/>
  <c r="D354" i="11"/>
  <c r="F356" i="11"/>
  <c r="E369" i="11"/>
  <c r="C376" i="11"/>
  <c r="G377" i="11"/>
  <c r="B384" i="11"/>
  <c r="G385" i="11"/>
  <c r="B388" i="11"/>
  <c r="D390" i="11"/>
  <c r="D407" i="11"/>
  <c r="C411" i="11"/>
  <c r="C414" i="11"/>
  <c r="D416" i="11"/>
  <c r="C420" i="11"/>
  <c r="F425" i="11"/>
  <c r="E429" i="11"/>
  <c r="F434" i="11"/>
  <c r="C438" i="11"/>
  <c r="B446" i="11"/>
  <c r="E449" i="11"/>
  <c r="B451" i="11"/>
  <c r="G459" i="11"/>
  <c r="B468" i="11"/>
  <c r="C471" i="11"/>
  <c r="B473" i="11"/>
  <c r="D475" i="11"/>
  <c r="B478" i="11"/>
  <c r="D482" i="11"/>
  <c r="C484" i="11"/>
  <c r="B486" i="11"/>
  <c r="F487" i="11"/>
  <c r="C489" i="11"/>
  <c r="B494" i="11"/>
  <c r="E495" i="11"/>
  <c r="B497" i="11"/>
  <c r="B499" i="11"/>
  <c r="D501" i="11"/>
  <c r="E354" i="11"/>
  <c r="G369" i="11"/>
  <c r="D376" i="11"/>
  <c r="C384" i="11"/>
  <c r="C388" i="11"/>
  <c r="F390" i="11"/>
  <c r="F407" i="11"/>
  <c r="E411" i="11"/>
  <c r="D414" i="11"/>
  <c r="F416" i="11"/>
  <c r="E420" i="11"/>
  <c r="G429" i="11"/>
  <c r="D438" i="11"/>
  <c r="C446" i="11"/>
  <c r="D451" i="11"/>
  <c r="C468" i="11"/>
  <c r="E471" i="11"/>
  <c r="C473" i="11"/>
  <c r="C478" i="11"/>
  <c r="E484" i="11"/>
  <c r="C486" i="11"/>
  <c r="E489" i="11"/>
  <c r="C494" i="11"/>
  <c r="C497" i="11"/>
  <c r="G499" i="11"/>
  <c r="F354" i="11"/>
  <c r="D384" i="11"/>
  <c r="D388" i="11"/>
  <c r="E451" i="11"/>
  <c r="E468" i="11"/>
  <c r="E473" i="11"/>
  <c r="F484" i="11"/>
  <c r="E497" i="11"/>
  <c r="G396" i="11"/>
  <c r="B396" i="11"/>
  <c r="F396" i="11"/>
  <c r="D396" i="11"/>
  <c r="B88" i="11"/>
  <c r="E7" i="11"/>
  <c r="F8" i="11"/>
  <c r="E31" i="11"/>
  <c r="F32" i="11"/>
  <c r="E39" i="11"/>
  <c r="F40" i="11"/>
  <c r="E47" i="11"/>
  <c r="D5" i="11"/>
  <c r="F7" i="11"/>
  <c r="B11" i="11"/>
  <c r="D13" i="11"/>
  <c r="E14" i="11"/>
  <c r="G16" i="11"/>
  <c r="B19" i="11"/>
  <c r="D21" i="11"/>
  <c r="F23" i="11"/>
  <c r="B27" i="11"/>
  <c r="D29" i="11"/>
  <c r="F31" i="11"/>
  <c r="B35" i="11"/>
  <c r="D37" i="11"/>
  <c r="E38" i="11"/>
  <c r="E46" i="11"/>
  <c r="F47" i="11"/>
  <c r="G48" i="11"/>
  <c r="E54" i="11"/>
  <c r="F55" i="11"/>
  <c r="B59" i="11"/>
  <c r="D61" i="11"/>
  <c r="F63" i="11"/>
  <c r="B67" i="11"/>
  <c r="E70" i="11"/>
  <c r="B75" i="11"/>
  <c r="D77" i="11"/>
  <c r="F79" i="11"/>
  <c r="B83" i="11"/>
  <c r="D85" i="11"/>
  <c r="G88" i="11"/>
  <c r="G104" i="11"/>
  <c r="E5" i="11"/>
  <c r="F6" i="11"/>
  <c r="G7" i="11"/>
  <c r="B10" i="11"/>
  <c r="C11" i="11"/>
  <c r="E13" i="11"/>
  <c r="F14" i="11"/>
  <c r="G15" i="11"/>
  <c r="B18" i="11"/>
  <c r="C19" i="11"/>
  <c r="E21" i="11"/>
  <c r="F22" i="11"/>
  <c r="G23" i="11"/>
  <c r="B26" i="11"/>
  <c r="C27" i="11"/>
  <c r="E29" i="11"/>
  <c r="F30" i="11"/>
  <c r="G31" i="11"/>
  <c r="B34" i="11"/>
  <c r="C35" i="11"/>
  <c r="E37" i="11"/>
  <c r="F38" i="11"/>
  <c r="G39" i="11"/>
  <c r="B42" i="11"/>
  <c r="C43" i="11"/>
  <c r="E45" i="11"/>
  <c r="F46" i="11"/>
  <c r="G47" i="11"/>
  <c r="B50" i="11"/>
  <c r="C51" i="11"/>
  <c r="E53" i="11"/>
  <c r="F54" i="11"/>
  <c r="G55" i="11"/>
  <c r="B58" i="11"/>
  <c r="C59" i="11"/>
  <c r="E61" i="11"/>
  <c r="F62" i="11"/>
  <c r="G63" i="11"/>
  <c r="B66" i="11"/>
  <c r="C67" i="11"/>
  <c r="E69" i="11"/>
  <c r="F70" i="11"/>
  <c r="G71" i="11"/>
  <c r="B74" i="11"/>
  <c r="C75" i="11"/>
  <c r="E77" i="11"/>
  <c r="F78" i="11"/>
  <c r="G79" i="11"/>
  <c r="B82" i="11"/>
  <c r="C83" i="11"/>
  <c r="E85" i="11"/>
  <c r="F86" i="11"/>
  <c r="G87" i="11"/>
  <c r="B90" i="11"/>
  <c r="C91" i="11"/>
  <c r="E93" i="11"/>
  <c r="F94" i="11"/>
  <c r="G95" i="11"/>
  <c r="B98" i="11"/>
  <c r="C99" i="11"/>
  <c r="E101" i="11"/>
  <c r="F102" i="11"/>
  <c r="G103" i="11"/>
  <c r="B106" i="11"/>
  <c r="C107" i="11"/>
  <c r="E109" i="11"/>
  <c r="F110" i="11"/>
  <c r="G111" i="11"/>
  <c r="B114" i="11"/>
  <c r="C115" i="11"/>
  <c r="E117" i="11"/>
  <c r="F118" i="11"/>
  <c r="G119" i="11"/>
  <c r="B122" i="11"/>
  <c r="C123" i="11"/>
  <c r="E125" i="11"/>
  <c r="F126" i="11"/>
  <c r="G127" i="11"/>
  <c r="B130" i="11"/>
  <c r="C131" i="11"/>
  <c r="E133" i="11"/>
  <c r="F134" i="11"/>
  <c r="G135" i="11"/>
  <c r="B138" i="11"/>
  <c r="C139" i="11"/>
  <c r="E141" i="11"/>
  <c r="F142" i="11"/>
  <c r="G143" i="11"/>
  <c r="B146" i="11"/>
  <c r="C147" i="11"/>
  <c r="E149" i="11"/>
  <c r="F150" i="11"/>
  <c r="G151" i="11"/>
  <c r="B154" i="11"/>
  <c r="C155" i="11"/>
  <c r="E157" i="11"/>
  <c r="F158" i="11"/>
  <c r="G159" i="11"/>
  <c r="B162" i="11"/>
  <c r="C163" i="11"/>
  <c r="E165" i="11"/>
  <c r="F166" i="11"/>
  <c r="G167" i="11"/>
  <c r="B170" i="11"/>
  <c r="C171" i="11"/>
  <c r="E173" i="11"/>
  <c r="F174" i="11"/>
  <c r="G175" i="11"/>
  <c r="B178" i="11"/>
  <c r="C179" i="11"/>
  <c r="E181" i="11"/>
  <c r="F182" i="11"/>
  <c r="G183" i="11"/>
  <c r="B186" i="11"/>
  <c r="C187" i="11"/>
  <c r="E189" i="11"/>
  <c r="F190" i="11"/>
  <c r="G191" i="11"/>
  <c r="B194" i="11"/>
  <c r="C195" i="11"/>
  <c r="E197" i="11"/>
  <c r="F198" i="11"/>
  <c r="G199" i="11"/>
  <c r="B202" i="11"/>
  <c r="C203" i="11"/>
  <c r="E205" i="11"/>
  <c r="F206" i="11"/>
  <c r="C209" i="11"/>
  <c r="B219" i="11"/>
  <c r="G222" i="11"/>
  <c r="C222" i="11"/>
  <c r="E223" i="11"/>
  <c r="F227" i="11"/>
  <c r="F229" i="11"/>
  <c r="B229" i="11"/>
  <c r="B239" i="11"/>
  <c r="C243" i="11"/>
  <c r="F247" i="11"/>
  <c r="G251" i="11"/>
  <c r="C263" i="11"/>
  <c r="C266" i="11"/>
  <c r="G266" i="11"/>
  <c r="E267" i="11"/>
  <c r="G271" i="11"/>
  <c r="B273" i="11"/>
  <c r="F273" i="11"/>
  <c r="B283" i="11"/>
  <c r="G286" i="11"/>
  <c r="C286" i="11"/>
  <c r="E287" i="11"/>
  <c r="B290" i="11"/>
  <c r="F291" i="11"/>
  <c r="F293" i="11"/>
  <c r="B293" i="11"/>
  <c r="C297" i="11"/>
  <c r="B303" i="11"/>
  <c r="C307" i="11"/>
  <c r="F317" i="11"/>
  <c r="D317" i="11"/>
  <c r="B317" i="11"/>
  <c r="B319" i="11"/>
  <c r="F319" i="11"/>
  <c r="D319" i="11"/>
  <c r="F363" i="11"/>
  <c r="D363" i="11"/>
  <c r="B363" i="11"/>
  <c r="F381" i="11"/>
  <c r="E381" i="11"/>
  <c r="D381" i="11"/>
  <c r="B381" i="11"/>
  <c r="F403" i="11"/>
  <c r="G403" i="11"/>
  <c r="E403" i="11"/>
  <c r="D403" i="11"/>
  <c r="C403" i="11"/>
  <c r="B403" i="11"/>
  <c r="B40" i="11"/>
  <c r="B48" i="11"/>
  <c r="B64" i="11"/>
  <c r="B72" i="11"/>
  <c r="B104" i="11"/>
  <c r="B112" i="11"/>
  <c r="B128" i="11"/>
  <c r="B136" i="11"/>
  <c r="B144" i="11"/>
  <c r="B152" i="11"/>
  <c r="B160" i="11"/>
  <c r="B168" i="11"/>
  <c r="B176" i="11"/>
  <c r="B184" i="11"/>
  <c r="B192" i="11"/>
  <c r="B200" i="11"/>
  <c r="B207" i="11"/>
  <c r="C218" i="11"/>
  <c r="G218" i="11"/>
  <c r="B225" i="11"/>
  <c r="F225" i="11"/>
  <c r="B235" i="11"/>
  <c r="G238" i="11"/>
  <c r="C238" i="11"/>
  <c r="B242" i="11"/>
  <c r="F245" i="11"/>
  <c r="B245" i="11"/>
  <c r="C249" i="11"/>
  <c r="B255" i="11"/>
  <c r="C282" i="11"/>
  <c r="G282" i="11"/>
  <c r="B289" i="11"/>
  <c r="F289" i="11"/>
  <c r="B299" i="11"/>
  <c r="G302" i="11"/>
  <c r="C302" i="11"/>
  <c r="F309" i="11"/>
  <c r="D309" i="11"/>
  <c r="B309" i="11"/>
  <c r="B311" i="11"/>
  <c r="F311" i="11"/>
  <c r="D311" i="11"/>
  <c r="C329" i="11"/>
  <c r="F331" i="11"/>
  <c r="D331" i="11"/>
  <c r="B331" i="11"/>
  <c r="C341" i="11"/>
  <c r="C343" i="11"/>
  <c r="C353" i="11"/>
  <c r="F355" i="11"/>
  <c r="D355" i="11"/>
  <c r="B355" i="11"/>
  <c r="F365" i="11"/>
  <c r="E365" i="11"/>
  <c r="D365" i="11"/>
  <c r="B365" i="11"/>
  <c r="C367" i="11"/>
  <c r="F389" i="11"/>
  <c r="E389" i="11"/>
  <c r="D389" i="11"/>
  <c r="B389" i="11"/>
  <c r="C391" i="11"/>
  <c r="C396" i="11"/>
  <c r="H7" i="12"/>
  <c r="I7" i="12"/>
  <c r="H408" i="12"/>
  <c r="I408" i="12"/>
  <c r="G262" i="11"/>
  <c r="C262" i="11"/>
  <c r="F269" i="11"/>
  <c r="B269" i="11"/>
  <c r="C306" i="11"/>
  <c r="G306" i="11"/>
  <c r="F387" i="11"/>
  <c r="D387" i="11"/>
  <c r="C387" i="11"/>
  <c r="B387" i="11"/>
  <c r="B80" i="11"/>
  <c r="B23" i="11"/>
  <c r="C24" i="11"/>
  <c r="F27" i="11"/>
  <c r="B31" i="11"/>
  <c r="F35" i="11"/>
  <c r="B39" i="11"/>
  <c r="C40" i="11"/>
  <c r="F43" i="11"/>
  <c r="B47" i="11"/>
  <c r="C48" i="11"/>
  <c r="F51" i="11"/>
  <c r="B55" i="11"/>
  <c r="C56" i="11"/>
  <c r="F59" i="11"/>
  <c r="B63" i="11"/>
  <c r="C64" i="11"/>
  <c r="F67" i="11"/>
  <c r="B71" i="11"/>
  <c r="C72" i="11"/>
  <c r="F75" i="11"/>
  <c r="B79" i="11"/>
  <c r="C80" i="11"/>
  <c r="F83" i="11"/>
  <c r="B87" i="11"/>
  <c r="C88" i="11"/>
  <c r="F91" i="11"/>
  <c r="B95" i="11"/>
  <c r="C96" i="11"/>
  <c r="F99" i="11"/>
  <c r="B103" i="11"/>
  <c r="C104" i="11"/>
  <c r="F107" i="11"/>
  <c r="B111" i="11"/>
  <c r="C112" i="11"/>
  <c r="F115" i="11"/>
  <c r="B119" i="11"/>
  <c r="C120" i="11"/>
  <c r="F123" i="11"/>
  <c r="B127" i="11"/>
  <c r="C128" i="11"/>
  <c r="F131" i="11"/>
  <c r="B135" i="11"/>
  <c r="C136" i="11"/>
  <c r="F139" i="11"/>
  <c r="B143" i="11"/>
  <c r="C144" i="11"/>
  <c r="F147" i="11"/>
  <c r="B151" i="11"/>
  <c r="C152" i="11"/>
  <c r="F155" i="11"/>
  <c r="B159" i="11"/>
  <c r="C160" i="11"/>
  <c r="F163" i="11"/>
  <c r="B167" i="11"/>
  <c r="C168" i="11"/>
  <c r="F171" i="11"/>
  <c r="B175" i="11"/>
  <c r="C176" i="11"/>
  <c r="F179" i="11"/>
  <c r="B183" i="11"/>
  <c r="C184" i="11"/>
  <c r="F187" i="11"/>
  <c r="B191" i="11"/>
  <c r="C192" i="11"/>
  <c r="F195" i="11"/>
  <c r="B199" i="11"/>
  <c r="C200" i="11"/>
  <c r="F203" i="11"/>
  <c r="C207" i="11"/>
  <c r="B211" i="11"/>
  <c r="G214" i="11"/>
  <c r="C214" i="11"/>
  <c r="B218" i="11"/>
  <c r="F221" i="11"/>
  <c r="B221" i="11"/>
  <c r="C225" i="11"/>
  <c r="B231" i="11"/>
  <c r="C235" i="11"/>
  <c r="B238" i="11"/>
  <c r="D242" i="11"/>
  <c r="G243" i="11"/>
  <c r="C245" i="11"/>
  <c r="C255" i="11"/>
  <c r="C258" i="11"/>
  <c r="G258" i="11"/>
  <c r="D262" i="11"/>
  <c r="G263" i="11"/>
  <c r="B265" i="11"/>
  <c r="F265" i="11"/>
  <c r="D269" i="11"/>
  <c r="B275" i="11"/>
  <c r="G278" i="11"/>
  <c r="C278" i="11"/>
  <c r="B282" i="11"/>
  <c r="F283" i="11"/>
  <c r="F285" i="11"/>
  <c r="B285" i="11"/>
  <c r="C289" i="11"/>
  <c r="B295" i="11"/>
  <c r="C299" i="11"/>
  <c r="B302" i="11"/>
  <c r="D306" i="11"/>
  <c r="G307" i="11"/>
  <c r="C309" i="11"/>
  <c r="C311" i="11"/>
  <c r="D321" i="11"/>
  <c r="B321" i="11"/>
  <c r="F321" i="11"/>
  <c r="E329" i="11"/>
  <c r="C331" i="11"/>
  <c r="E341" i="11"/>
  <c r="E343" i="11"/>
  <c r="E353" i="11"/>
  <c r="C355" i="11"/>
  <c r="C365" i="11"/>
  <c r="G387" i="11"/>
  <c r="C389" i="11"/>
  <c r="E396" i="11"/>
  <c r="D401" i="11"/>
  <c r="C401" i="11"/>
  <c r="B401" i="11"/>
  <c r="G401" i="11"/>
  <c r="E401" i="11"/>
  <c r="E458" i="11"/>
  <c r="B458" i="11"/>
  <c r="G458" i="11"/>
  <c r="F458" i="11"/>
  <c r="D458" i="11"/>
  <c r="C458" i="11"/>
  <c r="E477" i="11"/>
  <c r="B477" i="11"/>
  <c r="G477" i="11"/>
  <c r="F477" i="11"/>
  <c r="D477" i="11"/>
  <c r="C477" i="11"/>
  <c r="F493" i="11"/>
  <c r="E493" i="11"/>
  <c r="B493" i="11"/>
  <c r="G493" i="11"/>
  <c r="D493" i="11"/>
  <c r="C493" i="11"/>
  <c r="H17" i="12"/>
  <c r="I17" i="12"/>
  <c r="B249" i="11"/>
  <c r="F249" i="11"/>
  <c r="B24" i="11"/>
  <c r="B56" i="11"/>
  <c r="B7" i="11"/>
  <c r="C8" i="11"/>
  <c r="B6" i="11"/>
  <c r="D8" i="11"/>
  <c r="B14" i="11"/>
  <c r="C23" i="11"/>
  <c r="D24" i="11"/>
  <c r="B30" i="11"/>
  <c r="D32" i="11"/>
  <c r="B38" i="11"/>
  <c r="C47" i="11"/>
  <c r="G51" i="11"/>
  <c r="B54" i="11"/>
  <c r="D56" i="11"/>
  <c r="B62" i="11"/>
  <c r="D64" i="11"/>
  <c r="C79" i="11"/>
  <c r="B86" i="11"/>
  <c r="G91" i="11"/>
  <c r="D96" i="11"/>
  <c r="C103" i="11"/>
  <c r="D112" i="11"/>
  <c r="D120" i="11"/>
  <c r="C127" i="11"/>
  <c r="D128" i="11"/>
  <c r="G131" i="11"/>
  <c r="C135" i="11"/>
  <c r="D136" i="11"/>
  <c r="G139" i="11"/>
  <c r="C143" i="11"/>
  <c r="D144" i="11"/>
  <c r="G147" i="11"/>
  <c r="C151" i="11"/>
  <c r="D152" i="11"/>
  <c r="G155" i="11"/>
  <c r="C159" i="11"/>
  <c r="D160" i="11"/>
  <c r="G163" i="11"/>
  <c r="C167" i="11"/>
  <c r="D168" i="11"/>
  <c r="G171" i="11"/>
  <c r="C175" i="11"/>
  <c r="D176" i="11"/>
  <c r="G179" i="11"/>
  <c r="C183" i="11"/>
  <c r="D184" i="11"/>
  <c r="G187" i="11"/>
  <c r="C191" i="11"/>
  <c r="D192" i="11"/>
  <c r="G195" i="11"/>
  <c r="C199" i="11"/>
  <c r="D200" i="11"/>
  <c r="G203" i="11"/>
  <c r="D207" i="11"/>
  <c r="C211" i="11"/>
  <c r="D218" i="11"/>
  <c r="D225" i="11"/>
  <c r="C231" i="11"/>
  <c r="C234" i="11"/>
  <c r="G234" i="11"/>
  <c r="E235" i="11"/>
  <c r="D238" i="11"/>
  <c r="B241" i="11"/>
  <c r="F241" i="11"/>
  <c r="E242" i="11"/>
  <c r="D245" i="11"/>
  <c r="E249" i="11"/>
  <c r="G254" i="11"/>
  <c r="C254" i="11"/>
  <c r="E255" i="11"/>
  <c r="F261" i="11"/>
  <c r="B261" i="11"/>
  <c r="E262" i="11"/>
  <c r="E269" i="11"/>
  <c r="C275" i="11"/>
  <c r="D282" i="11"/>
  <c r="D289" i="11"/>
  <c r="C295" i="11"/>
  <c r="C298" i="11"/>
  <c r="G298" i="11"/>
  <c r="E299" i="11"/>
  <c r="D302" i="11"/>
  <c r="B305" i="11"/>
  <c r="F305" i="11"/>
  <c r="E306" i="11"/>
  <c r="E309" i="11"/>
  <c r="E311" i="11"/>
  <c r="F323" i="11"/>
  <c r="D323" i="11"/>
  <c r="B323" i="11"/>
  <c r="E331" i="11"/>
  <c r="F333" i="11"/>
  <c r="D333" i="11"/>
  <c r="B333" i="11"/>
  <c r="B335" i="11"/>
  <c r="F335" i="11"/>
  <c r="D335" i="11"/>
  <c r="D345" i="11"/>
  <c r="B345" i="11"/>
  <c r="F345" i="11"/>
  <c r="E355" i="11"/>
  <c r="F357" i="11"/>
  <c r="D357" i="11"/>
  <c r="B357" i="11"/>
  <c r="B359" i="11"/>
  <c r="F359" i="11"/>
  <c r="D359" i="11"/>
  <c r="G365" i="11"/>
  <c r="F371" i="11"/>
  <c r="D371" i="11"/>
  <c r="C371" i="11"/>
  <c r="B371" i="11"/>
  <c r="B375" i="11"/>
  <c r="G375" i="11"/>
  <c r="F375" i="11"/>
  <c r="D375" i="11"/>
  <c r="G389" i="11"/>
  <c r="C480" i="11"/>
  <c r="E480" i="11"/>
  <c r="G480" i="11"/>
  <c r="F480" i="11"/>
  <c r="D480" i="11"/>
  <c r="B480" i="11"/>
  <c r="F341" i="11"/>
  <c r="D341" i="11"/>
  <c r="B341" i="11"/>
  <c r="D353" i="11"/>
  <c r="B353" i="11"/>
  <c r="F353" i="11"/>
  <c r="B391" i="11"/>
  <c r="G391" i="11"/>
  <c r="F391" i="11"/>
  <c r="D391" i="11"/>
  <c r="B96" i="11"/>
  <c r="B120" i="11"/>
  <c r="B15" i="11"/>
  <c r="C16" i="11"/>
  <c r="C32" i="11"/>
  <c r="C7" i="11"/>
  <c r="C15" i="11"/>
  <c r="D16" i="11"/>
  <c r="B22" i="11"/>
  <c r="C31" i="11"/>
  <c r="C39" i="11"/>
  <c r="D40" i="11"/>
  <c r="G43" i="11"/>
  <c r="B46" i="11"/>
  <c r="D48" i="11"/>
  <c r="C55" i="11"/>
  <c r="C63" i="11"/>
  <c r="B70" i="11"/>
  <c r="C71" i="11"/>
  <c r="D72" i="11"/>
  <c r="B78" i="11"/>
  <c r="D80" i="11"/>
  <c r="C87" i="11"/>
  <c r="D88" i="11"/>
  <c r="C95" i="11"/>
  <c r="G99" i="11"/>
  <c r="D104" i="11"/>
  <c r="G107" i="11"/>
  <c r="C111" i="11"/>
  <c r="G115" i="11"/>
  <c r="C119" i="11"/>
  <c r="G123" i="11"/>
  <c r="C6" i="11"/>
  <c r="E8" i="11"/>
  <c r="C14" i="11"/>
  <c r="D15" i="11"/>
  <c r="E16" i="11"/>
  <c r="C22" i="11"/>
  <c r="D23" i="11"/>
  <c r="E24" i="11"/>
  <c r="C30" i="11"/>
  <c r="E32" i="11"/>
  <c r="D39" i="11"/>
  <c r="E40" i="11"/>
  <c r="B45" i="11"/>
  <c r="E48" i="11"/>
  <c r="B53" i="11"/>
  <c r="D55" i="11"/>
  <c r="E56" i="11"/>
  <c r="C62" i="11"/>
  <c r="D63" i="11"/>
  <c r="E64" i="11"/>
  <c r="B69" i="11"/>
  <c r="D71" i="11"/>
  <c r="E72" i="11"/>
  <c r="C78" i="11"/>
  <c r="D79" i="11"/>
  <c r="E80" i="11"/>
  <c r="C86" i="11"/>
  <c r="D87" i="11"/>
  <c r="E88" i="11"/>
  <c r="B93" i="11"/>
  <c r="C94" i="11"/>
  <c r="D95" i="11"/>
  <c r="E96" i="11"/>
  <c r="B101" i="11"/>
  <c r="C102" i="11"/>
  <c r="D103" i="11"/>
  <c r="E104" i="11"/>
  <c r="B109" i="11"/>
  <c r="C110" i="11"/>
  <c r="D111" i="11"/>
  <c r="E112" i="11"/>
  <c r="B117" i="11"/>
  <c r="C118" i="11"/>
  <c r="D119" i="11"/>
  <c r="E120" i="11"/>
  <c r="B125" i="11"/>
  <c r="C126" i="11"/>
  <c r="D127" i="11"/>
  <c r="E128" i="11"/>
  <c r="B133" i="11"/>
  <c r="C134" i="11"/>
  <c r="D135" i="11"/>
  <c r="E136" i="11"/>
  <c r="B141" i="11"/>
  <c r="C142" i="11"/>
  <c r="D143" i="11"/>
  <c r="E144" i="11"/>
  <c r="B149" i="11"/>
  <c r="C150" i="11"/>
  <c r="D151" i="11"/>
  <c r="E152" i="11"/>
  <c r="B157" i="11"/>
  <c r="C158" i="11"/>
  <c r="D159" i="11"/>
  <c r="E160" i="11"/>
  <c r="B165" i="11"/>
  <c r="C166" i="11"/>
  <c r="D167" i="11"/>
  <c r="E168" i="11"/>
  <c r="B173" i="11"/>
  <c r="C174" i="11"/>
  <c r="D175" i="11"/>
  <c r="E176" i="11"/>
  <c r="B181" i="11"/>
  <c r="C182" i="11"/>
  <c r="D183" i="11"/>
  <c r="E184" i="11"/>
  <c r="B189" i="11"/>
  <c r="C190" i="11"/>
  <c r="D191" i="11"/>
  <c r="E192" i="11"/>
  <c r="B197" i="11"/>
  <c r="C198" i="11"/>
  <c r="D199" i="11"/>
  <c r="E200" i="11"/>
  <c r="B205" i="11"/>
  <c r="C206" i="11"/>
  <c r="E207" i="11"/>
  <c r="C210" i="11"/>
  <c r="G210" i="11"/>
  <c r="E211" i="11"/>
  <c r="D214" i="11"/>
  <c r="B217" i="11"/>
  <c r="F217" i="11"/>
  <c r="E218" i="11"/>
  <c r="D221" i="11"/>
  <c r="E225" i="11"/>
  <c r="B227" i="11"/>
  <c r="G230" i="11"/>
  <c r="C230" i="11"/>
  <c r="E231" i="11"/>
  <c r="B234" i="11"/>
  <c r="F235" i="11"/>
  <c r="F237" i="11"/>
  <c r="B237" i="11"/>
  <c r="E238" i="11"/>
  <c r="C241" i="11"/>
  <c r="E245" i="11"/>
  <c r="B247" i="11"/>
  <c r="G249" i="11"/>
  <c r="C251" i="11"/>
  <c r="B254" i="11"/>
  <c r="F255" i="11"/>
  <c r="D258" i="11"/>
  <c r="C261" i="11"/>
  <c r="F262" i="11"/>
  <c r="D265" i="11"/>
  <c r="G269" i="11"/>
  <c r="C271" i="11"/>
  <c r="C274" i="11"/>
  <c r="G274" i="11"/>
  <c r="E275" i="11"/>
  <c r="D278" i="11"/>
  <c r="B281" i="11"/>
  <c r="F281" i="11"/>
  <c r="E282" i="11"/>
  <c r="D285" i="11"/>
  <c r="E289" i="11"/>
  <c r="B291" i="11"/>
  <c r="G294" i="11"/>
  <c r="C294" i="11"/>
  <c r="E295" i="11"/>
  <c r="B298" i="11"/>
  <c r="F299" i="11"/>
  <c r="F301" i="11"/>
  <c r="B301" i="11"/>
  <c r="E302" i="11"/>
  <c r="C305" i="11"/>
  <c r="F306" i="11"/>
  <c r="G309" i="11"/>
  <c r="G311" i="11"/>
  <c r="D313" i="11"/>
  <c r="B313" i="11"/>
  <c r="F313" i="11"/>
  <c r="E321" i="11"/>
  <c r="C323" i="11"/>
  <c r="G331" i="11"/>
  <c r="C333" i="11"/>
  <c r="C335" i="11"/>
  <c r="C345" i="11"/>
  <c r="F347" i="11"/>
  <c r="D347" i="11"/>
  <c r="B347" i="11"/>
  <c r="G355" i="11"/>
  <c r="C357" i="11"/>
  <c r="C359" i="11"/>
  <c r="E371" i="11"/>
  <c r="F373" i="11"/>
  <c r="E373" i="11"/>
  <c r="D373" i="11"/>
  <c r="B373" i="11"/>
  <c r="C375" i="11"/>
  <c r="E394" i="11"/>
  <c r="G394" i="11"/>
  <c r="D394" i="11"/>
  <c r="C394" i="11"/>
  <c r="B394" i="11"/>
  <c r="B343" i="11"/>
  <c r="F343" i="11"/>
  <c r="D343" i="11"/>
  <c r="B367" i="11"/>
  <c r="G367" i="11"/>
  <c r="F367" i="11"/>
  <c r="D367" i="11"/>
  <c r="B8" i="11"/>
  <c r="B16" i="11"/>
  <c r="B32" i="11"/>
  <c r="D6" i="11"/>
  <c r="D30" i="11"/>
  <c r="F56" i="11"/>
  <c r="F64" i="11"/>
  <c r="E71" i="11"/>
  <c r="F80" i="11"/>
  <c r="E87" i="11"/>
  <c r="E95" i="11"/>
  <c r="F96" i="11"/>
  <c r="E103" i="11"/>
  <c r="E111" i="11"/>
  <c r="F112" i="11"/>
  <c r="E119" i="11"/>
  <c r="F120" i="11"/>
  <c r="E127" i="11"/>
  <c r="F128" i="11"/>
  <c r="E135" i="11"/>
  <c r="F136" i="11"/>
  <c r="E143" i="11"/>
  <c r="F144" i="11"/>
  <c r="C149" i="11"/>
  <c r="E151" i="11"/>
  <c r="F152" i="11"/>
  <c r="C157" i="11"/>
  <c r="E159" i="11"/>
  <c r="F160" i="11"/>
  <c r="C165" i="11"/>
  <c r="E167" i="11"/>
  <c r="F168" i="11"/>
  <c r="C173" i="11"/>
  <c r="E175" i="11"/>
  <c r="F176" i="11"/>
  <c r="C181" i="11"/>
  <c r="E183" i="11"/>
  <c r="F184" i="11"/>
  <c r="C189" i="11"/>
  <c r="E191" i="11"/>
  <c r="F192" i="11"/>
  <c r="C197" i="11"/>
  <c r="E199" i="11"/>
  <c r="F200" i="11"/>
  <c r="C205" i="11"/>
  <c r="F207" i="11"/>
  <c r="F211" i="11"/>
  <c r="F213" i="11"/>
  <c r="B213" i="11"/>
  <c r="F218" i="11"/>
  <c r="G225" i="11"/>
  <c r="C227" i="11"/>
  <c r="F231" i="11"/>
  <c r="D234" i="11"/>
  <c r="G235" i="11"/>
  <c r="F238" i="11"/>
  <c r="G245" i="11"/>
  <c r="C250" i="11"/>
  <c r="G250" i="11"/>
  <c r="G255" i="11"/>
  <c r="B257" i="11"/>
  <c r="F257" i="11"/>
  <c r="G270" i="11"/>
  <c r="C270" i="11"/>
  <c r="F275" i="11"/>
  <c r="F277" i="11"/>
  <c r="B277" i="11"/>
  <c r="F282" i="11"/>
  <c r="G289" i="11"/>
  <c r="F295" i="11"/>
  <c r="G299" i="11"/>
  <c r="F302" i="11"/>
  <c r="F315" i="11"/>
  <c r="D315" i="11"/>
  <c r="B315" i="11"/>
  <c r="E323" i="11"/>
  <c r="F325" i="11"/>
  <c r="D325" i="11"/>
  <c r="B325" i="11"/>
  <c r="B327" i="11"/>
  <c r="F327" i="11"/>
  <c r="D327" i="11"/>
  <c r="E333" i="11"/>
  <c r="E335" i="11"/>
  <c r="D337" i="11"/>
  <c r="B337" i="11"/>
  <c r="F337" i="11"/>
  <c r="E345" i="11"/>
  <c r="E357" i="11"/>
  <c r="E359" i="11"/>
  <c r="G371" i="11"/>
  <c r="E375" i="11"/>
  <c r="E426" i="11"/>
  <c r="G426" i="11"/>
  <c r="F426" i="11"/>
  <c r="D426" i="11"/>
  <c r="C426" i="11"/>
  <c r="B426" i="11"/>
  <c r="B431" i="11"/>
  <c r="G431" i="11"/>
  <c r="F431" i="11"/>
  <c r="E431" i="11"/>
  <c r="D431" i="11"/>
  <c r="C431" i="11"/>
  <c r="F435" i="11"/>
  <c r="G435" i="11"/>
  <c r="E435" i="11"/>
  <c r="D435" i="11"/>
  <c r="C435" i="11"/>
  <c r="B435" i="11"/>
  <c r="C242" i="11"/>
  <c r="G242" i="11"/>
  <c r="D329" i="11"/>
  <c r="B329" i="11"/>
  <c r="F329" i="11"/>
  <c r="E15" i="11"/>
  <c r="D22" i="11"/>
  <c r="F24" i="11"/>
  <c r="F72" i="11"/>
  <c r="E206" i="11"/>
  <c r="G211" i="11"/>
  <c r="C213" i="11"/>
  <c r="F214" i="11"/>
  <c r="G221" i="11"/>
  <c r="C226" i="11"/>
  <c r="G226" i="11"/>
  <c r="E227" i="11"/>
  <c r="G231" i="11"/>
  <c r="B233" i="11"/>
  <c r="F233" i="11"/>
  <c r="E234" i="11"/>
  <c r="E241" i="11"/>
  <c r="B243" i="11"/>
  <c r="G246" i="11"/>
  <c r="C246" i="11"/>
  <c r="E247" i="11"/>
  <c r="B250" i="11"/>
  <c r="F251" i="11"/>
  <c r="F253" i="11"/>
  <c r="B253" i="11"/>
  <c r="E254" i="11"/>
  <c r="C257" i="11"/>
  <c r="F258" i="11"/>
  <c r="E261" i="11"/>
  <c r="B263" i="11"/>
  <c r="G265" i="11"/>
  <c r="B270" i="11"/>
  <c r="F271" i="11"/>
  <c r="G275" i="11"/>
  <c r="C277" i="11"/>
  <c r="F278" i="11"/>
  <c r="G285" i="11"/>
  <c r="C290" i="11"/>
  <c r="G290" i="11"/>
  <c r="E291" i="11"/>
  <c r="G295" i="11"/>
  <c r="B297" i="11"/>
  <c r="F297" i="11"/>
  <c r="E298" i="11"/>
  <c r="E305" i="11"/>
  <c r="B307" i="11"/>
  <c r="C315" i="11"/>
  <c r="G323" i="11"/>
  <c r="C325" i="11"/>
  <c r="C327" i="11"/>
  <c r="G333" i="11"/>
  <c r="G335" i="11"/>
  <c r="C337" i="11"/>
  <c r="F339" i="11"/>
  <c r="D339" i="11"/>
  <c r="B339" i="11"/>
  <c r="G345" i="11"/>
  <c r="F349" i="11"/>
  <c r="D349" i="11"/>
  <c r="B349" i="11"/>
  <c r="B351" i="11"/>
  <c r="F351" i="11"/>
  <c r="D351" i="11"/>
  <c r="G357" i="11"/>
  <c r="G359" i="11"/>
  <c r="D361" i="11"/>
  <c r="B361" i="11"/>
  <c r="F361" i="11"/>
  <c r="F379" i="11"/>
  <c r="D379" i="11"/>
  <c r="C379" i="11"/>
  <c r="B379" i="11"/>
  <c r="B383" i="11"/>
  <c r="G383" i="11"/>
  <c r="F383" i="11"/>
  <c r="D383" i="11"/>
  <c r="F395" i="11"/>
  <c r="G395" i="11"/>
  <c r="E395" i="11"/>
  <c r="D395" i="11"/>
  <c r="B395" i="11"/>
  <c r="B399" i="11"/>
  <c r="G399" i="11"/>
  <c r="E399" i="11"/>
  <c r="D399" i="11"/>
  <c r="C399" i="11"/>
  <c r="C408" i="11"/>
  <c r="G408" i="11"/>
  <c r="F408" i="11"/>
  <c r="E408" i="11"/>
  <c r="D408" i="11"/>
  <c r="B408" i="11"/>
  <c r="G412" i="11"/>
  <c r="F412" i="11"/>
  <c r="E412" i="11"/>
  <c r="D412" i="11"/>
  <c r="C412" i="11"/>
  <c r="B412" i="11"/>
  <c r="D417" i="11"/>
  <c r="G417" i="11"/>
  <c r="F417" i="11"/>
  <c r="E417" i="11"/>
  <c r="C417" i="11"/>
  <c r="B417" i="11"/>
  <c r="G421" i="11"/>
  <c r="F421" i="11"/>
  <c r="E421" i="11"/>
  <c r="D421" i="11"/>
  <c r="C421" i="11"/>
  <c r="B421" i="11"/>
  <c r="C310" i="11"/>
  <c r="G314" i="11"/>
  <c r="C318" i="11"/>
  <c r="G322" i="11"/>
  <c r="C326" i="11"/>
  <c r="G330" i="11"/>
  <c r="C334" i="11"/>
  <c r="G338" i="11"/>
  <c r="C342" i="11"/>
  <c r="G346" i="11"/>
  <c r="C350" i="11"/>
  <c r="G354" i="11"/>
  <c r="C358" i="11"/>
  <c r="G362" i="11"/>
  <c r="C366" i="11"/>
  <c r="F369" i="11"/>
  <c r="G370" i="11"/>
  <c r="C374" i="11"/>
  <c r="F377" i="11"/>
  <c r="G378" i="11"/>
  <c r="C382" i="11"/>
  <c r="F385" i="11"/>
  <c r="G386" i="11"/>
  <c r="C390" i="11"/>
  <c r="G393" i="11"/>
  <c r="F397" i="11"/>
  <c r="B400" i="11"/>
  <c r="G402" i="11"/>
  <c r="B404" i="11"/>
  <c r="D405" i="11"/>
  <c r="G407" i="11"/>
  <c r="B409" i="11"/>
  <c r="D410" i="11"/>
  <c r="G411" i="11"/>
  <c r="B413" i="11"/>
  <c r="E415" i="11"/>
  <c r="G416" i="11"/>
  <c r="B418" i="11"/>
  <c r="D419" i="11"/>
  <c r="F420" i="11"/>
  <c r="C423" i="11"/>
  <c r="E424" i="11"/>
  <c r="G425" i="11"/>
  <c r="B427" i="11"/>
  <c r="D428" i="11"/>
  <c r="F429" i="11"/>
  <c r="B432" i="11"/>
  <c r="E433" i="11"/>
  <c r="G434" i="11"/>
  <c r="B436" i="11"/>
  <c r="D437" i="11"/>
  <c r="B440" i="11"/>
  <c r="F443" i="11"/>
  <c r="C443" i="11"/>
  <c r="C447" i="11"/>
  <c r="F448" i="11"/>
  <c r="E450" i="11"/>
  <c r="B450" i="11"/>
  <c r="G450" i="11"/>
  <c r="D453" i="11"/>
  <c r="D456" i="11"/>
  <c r="C461" i="11"/>
  <c r="B464" i="11"/>
  <c r="D467" i="11"/>
  <c r="E469" i="11"/>
  <c r="B469" i="11"/>
  <c r="C472" i="11"/>
  <c r="E472" i="11"/>
  <c r="B475" i="11"/>
  <c r="F483" i="11"/>
  <c r="C483" i="11"/>
  <c r="F491" i="11"/>
  <c r="D491" i="11"/>
  <c r="C491" i="11"/>
  <c r="C501" i="11"/>
  <c r="I33" i="12"/>
  <c r="H251" i="12"/>
  <c r="I251" i="12"/>
  <c r="E310" i="11"/>
  <c r="E318" i="11"/>
  <c r="E326" i="11"/>
  <c r="E334" i="11"/>
  <c r="E342" i="11"/>
  <c r="E350" i="11"/>
  <c r="E358" i="11"/>
  <c r="E366" i="11"/>
  <c r="E374" i="11"/>
  <c r="E382" i="11"/>
  <c r="E390" i="11"/>
  <c r="E400" i="11"/>
  <c r="D404" i="11"/>
  <c r="F405" i="11"/>
  <c r="E409" i="11"/>
  <c r="G410" i="11"/>
  <c r="D413" i="11"/>
  <c r="G415" i="11"/>
  <c r="D418" i="11"/>
  <c r="G419" i="11"/>
  <c r="E423" i="11"/>
  <c r="G424" i="11"/>
  <c r="D427" i="11"/>
  <c r="F428" i="11"/>
  <c r="E432" i="11"/>
  <c r="G433" i="11"/>
  <c r="D436" i="11"/>
  <c r="G437" i="11"/>
  <c r="B439" i="11"/>
  <c r="G439" i="11"/>
  <c r="E440" i="11"/>
  <c r="E447" i="11"/>
  <c r="B455" i="11"/>
  <c r="G455" i="11"/>
  <c r="D455" i="11"/>
  <c r="F461" i="11"/>
  <c r="F464" i="11"/>
  <c r="E466" i="11"/>
  <c r="B466" i="11"/>
  <c r="G466" i="11"/>
  <c r="E475" i="11"/>
  <c r="E485" i="11"/>
  <c r="B485" i="11"/>
  <c r="B503" i="11"/>
  <c r="G503" i="11"/>
  <c r="D503" i="11"/>
  <c r="F400" i="11"/>
  <c r="E404" i="11"/>
  <c r="G405" i="11"/>
  <c r="F409" i="11"/>
  <c r="E413" i="11"/>
  <c r="F418" i="11"/>
  <c r="F423" i="11"/>
  <c r="E427" i="11"/>
  <c r="F432" i="11"/>
  <c r="E436" i="11"/>
  <c r="F440" i="11"/>
  <c r="E442" i="11"/>
  <c r="B442" i="11"/>
  <c r="B463" i="11"/>
  <c r="G463" i="11"/>
  <c r="D463" i="11"/>
  <c r="E474" i="11"/>
  <c r="B474" i="11"/>
  <c r="G474" i="11"/>
  <c r="E498" i="11"/>
  <c r="C498" i="11"/>
  <c r="B498" i="11"/>
  <c r="G498" i="11"/>
  <c r="H12" i="12"/>
  <c r="I23" i="12"/>
  <c r="I43" i="12"/>
  <c r="H367" i="12"/>
  <c r="I367" i="12"/>
  <c r="B369" i="11"/>
  <c r="B377" i="11"/>
  <c r="B385" i="11"/>
  <c r="B393" i="11"/>
  <c r="B397" i="11"/>
  <c r="G400" i="11"/>
  <c r="B402" i="11"/>
  <c r="F404" i="11"/>
  <c r="C407" i="11"/>
  <c r="G409" i="11"/>
  <c r="B411" i="11"/>
  <c r="B416" i="11"/>
  <c r="G418" i="11"/>
  <c r="B420" i="11"/>
  <c r="G423" i="11"/>
  <c r="B425" i="11"/>
  <c r="G427" i="11"/>
  <c r="B429" i="11"/>
  <c r="G432" i="11"/>
  <c r="B434" i="11"/>
  <c r="F436" i="11"/>
  <c r="D439" i="11"/>
  <c r="G440" i="11"/>
  <c r="C442" i="11"/>
  <c r="C445" i="11"/>
  <c r="F451" i="11"/>
  <c r="C451" i="11"/>
  <c r="E455" i="11"/>
  <c r="C463" i="11"/>
  <c r="D466" i="11"/>
  <c r="G469" i="11"/>
  <c r="B471" i="11"/>
  <c r="G471" i="11"/>
  <c r="D471" i="11"/>
  <c r="G472" i="11"/>
  <c r="C474" i="11"/>
  <c r="E482" i="11"/>
  <c r="B482" i="11"/>
  <c r="G482" i="11"/>
  <c r="G483" i="11"/>
  <c r="D485" i="11"/>
  <c r="B495" i="11"/>
  <c r="G495" i="11"/>
  <c r="D495" i="11"/>
  <c r="D498" i="11"/>
  <c r="E503" i="11"/>
  <c r="I11" i="12"/>
  <c r="H247" i="12"/>
  <c r="I247" i="12"/>
  <c r="G444" i="11"/>
  <c r="D444" i="11"/>
  <c r="F459" i="11"/>
  <c r="C459" i="11"/>
  <c r="B479" i="11"/>
  <c r="G479" i="11"/>
  <c r="D479" i="11"/>
  <c r="E490" i="11"/>
  <c r="C490" i="11"/>
  <c r="B490" i="11"/>
  <c r="G490" i="11"/>
  <c r="E393" i="11"/>
  <c r="D402" i="11"/>
  <c r="B405" i="11"/>
  <c r="E407" i="11"/>
  <c r="B410" i="11"/>
  <c r="D411" i="11"/>
  <c r="C415" i="11"/>
  <c r="E416" i="11"/>
  <c r="B419" i="11"/>
  <c r="D420" i="11"/>
  <c r="B424" i="11"/>
  <c r="E425" i="11"/>
  <c r="B428" i="11"/>
  <c r="B433" i="11"/>
  <c r="D434" i="11"/>
  <c r="B437" i="11"/>
  <c r="F439" i="11"/>
  <c r="F442" i="11"/>
  <c r="B444" i="11"/>
  <c r="E453" i="11"/>
  <c r="B453" i="11"/>
  <c r="C456" i="11"/>
  <c r="E456" i="11"/>
  <c r="B459" i="11"/>
  <c r="F463" i="11"/>
  <c r="F467" i="11"/>
  <c r="C467" i="11"/>
  <c r="F474" i="11"/>
  <c r="C479" i="11"/>
  <c r="B487" i="11"/>
  <c r="G487" i="11"/>
  <c r="D487" i="11"/>
  <c r="D490" i="11"/>
  <c r="F499" i="11"/>
  <c r="D499" i="11"/>
  <c r="C499" i="11"/>
  <c r="I9" i="12"/>
  <c r="H448" i="12"/>
  <c r="I448" i="12"/>
  <c r="C410" i="11"/>
  <c r="D415" i="11"/>
  <c r="C419" i="11"/>
  <c r="D424" i="11"/>
  <c r="C428" i="11"/>
  <c r="C433" i="11"/>
  <c r="C437" i="11"/>
  <c r="C444" i="11"/>
  <c r="B447" i="11"/>
  <c r="G447" i="11"/>
  <c r="D459" i="11"/>
  <c r="E461" i="11"/>
  <c r="B461" i="11"/>
  <c r="C464" i="11"/>
  <c r="E464" i="11"/>
  <c r="F475" i="11"/>
  <c r="C475" i="11"/>
  <c r="E479" i="11"/>
  <c r="F490" i="11"/>
  <c r="F501" i="11"/>
  <c r="E501" i="11"/>
  <c r="B501" i="11"/>
  <c r="E488" i="11"/>
  <c r="E496" i="11"/>
  <c r="E504" i="11"/>
  <c r="G36" i="13"/>
  <c r="I36" i="13"/>
  <c r="H36" i="13"/>
  <c r="F36" i="13"/>
  <c r="K36" i="13" s="1"/>
  <c r="J48" i="13"/>
  <c r="B48" i="13"/>
  <c r="D48" i="13"/>
  <c r="C48" i="13"/>
  <c r="L48" i="13"/>
  <c r="F53" i="13"/>
  <c r="K53" i="13" s="1"/>
  <c r="I53" i="13"/>
  <c r="H53" i="13"/>
  <c r="G53" i="13"/>
  <c r="H69" i="12"/>
  <c r="H77" i="12"/>
  <c r="H85" i="12"/>
  <c r="H93" i="12"/>
  <c r="H101" i="12"/>
  <c r="H109" i="12"/>
  <c r="H117" i="12"/>
  <c r="H125" i="12"/>
  <c r="H133" i="12"/>
  <c r="H141" i="12"/>
  <c r="H149" i="12"/>
  <c r="H157" i="12"/>
  <c r="H165" i="12"/>
  <c r="H173" i="12"/>
  <c r="H181" i="12"/>
  <c r="I254" i="12"/>
  <c r="H256" i="12"/>
  <c r="I359" i="12"/>
  <c r="H360" i="12"/>
  <c r="I432" i="12"/>
  <c r="I496" i="12"/>
  <c r="G20" i="13"/>
  <c r="I20" i="13"/>
  <c r="H20" i="13"/>
  <c r="F20" i="13"/>
  <c r="K20" i="13" s="1"/>
  <c r="C31" i="13"/>
  <c r="D31" i="13"/>
  <c r="B31" i="13"/>
  <c r="J31" i="13"/>
  <c r="L49" i="13"/>
  <c r="D49" i="13"/>
  <c r="C49" i="13"/>
  <c r="J49" i="13"/>
  <c r="B49" i="13"/>
  <c r="D452" i="11"/>
  <c r="D460" i="11"/>
  <c r="D468" i="11"/>
  <c r="D476" i="11"/>
  <c r="D484" i="11"/>
  <c r="D492" i="11"/>
  <c r="D500" i="11"/>
  <c r="H6" i="12"/>
  <c r="H14" i="12"/>
  <c r="H22" i="12"/>
  <c r="H30" i="12"/>
  <c r="H38" i="12"/>
  <c r="H46" i="12"/>
  <c r="H54" i="12"/>
  <c r="H62" i="12"/>
  <c r="H70" i="12"/>
  <c r="H78" i="12"/>
  <c r="H86" i="12"/>
  <c r="H94" i="12"/>
  <c r="H102" i="12"/>
  <c r="H110" i="12"/>
  <c r="H118" i="12"/>
  <c r="H126" i="12"/>
  <c r="H134" i="12"/>
  <c r="H142" i="12"/>
  <c r="H150" i="12"/>
  <c r="H158" i="12"/>
  <c r="H166" i="12"/>
  <c r="H174" i="12"/>
  <c r="H182" i="12"/>
  <c r="H230" i="12"/>
  <c r="H231" i="12"/>
  <c r="I235" i="12"/>
  <c r="H263" i="12"/>
  <c r="I267" i="12"/>
  <c r="I275" i="12"/>
  <c r="I283" i="12"/>
  <c r="I291" i="12"/>
  <c r="I299" i="12"/>
  <c r="I307" i="12"/>
  <c r="I335" i="12"/>
  <c r="I399" i="12"/>
  <c r="H31" i="12"/>
  <c r="H39" i="12"/>
  <c r="H47" i="12"/>
  <c r="H55" i="12"/>
  <c r="H63" i="12"/>
  <c r="H71" i="12"/>
  <c r="H79" i="12"/>
  <c r="H87" i="12"/>
  <c r="H95" i="12"/>
  <c r="H103" i="12"/>
  <c r="H111" i="12"/>
  <c r="H119" i="12"/>
  <c r="H127" i="12"/>
  <c r="H135" i="12"/>
  <c r="H143" i="12"/>
  <c r="H151" i="12"/>
  <c r="H159" i="12"/>
  <c r="H167" i="12"/>
  <c r="H175" i="12"/>
  <c r="H183" i="12"/>
  <c r="H232" i="12"/>
  <c r="H264" i="12"/>
  <c r="H272" i="12"/>
  <c r="H280" i="12"/>
  <c r="H288" i="12"/>
  <c r="H296" i="12"/>
  <c r="H304" i="12"/>
  <c r="H312" i="12"/>
  <c r="H376" i="12"/>
  <c r="I416" i="12"/>
  <c r="I480" i="12"/>
  <c r="C15" i="13"/>
  <c r="D15" i="13"/>
  <c r="B15" i="13"/>
  <c r="J15" i="13"/>
  <c r="H54" i="13"/>
  <c r="G54" i="13"/>
  <c r="I54" i="13"/>
  <c r="F54" i="13"/>
  <c r="K54" i="13" s="1"/>
  <c r="H187" i="12"/>
  <c r="H195" i="12"/>
  <c r="H203" i="12"/>
  <c r="H211" i="12"/>
  <c r="H219" i="12"/>
  <c r="H239" i="12"/>
  <c r="I243" i="12"/>
  <c r="G28" i="13"/>
  <c r="I28" i="13"/>
  <c r="H28" i="13"/>
  <c r="F28" i="13"/>
  <c r="K28" i="13" s="1"/>
  <c r="C39" i="13"/>
  <c r="D39" i="13"/>
  <c r="B39" i="13"/>
  <c r="J39" i="13"/>
  <c r="H41" i="12"/>
  <c r="H49" i="12"/>
  <c r="H57" i="12"/>
  <c r="H65" i="12"/>
  <c r="H73" i="12"/>
  <c r="H81" i="12"/>
  <c r="H89" i="12"/>
  <c r="H97" i="12"/>
  <c r="H105" i="12"/>
  <c r="H113" i="12"/>
  <c r="H121" i="12"/>
  <c r="H129" i="12"/>
  <c r="H137" i="12"/>
  <c r="H145" i="12"/>
  <c r="H153" i="12"/>
  <c r="H161" i="12"/>
  <c r="H169" i="12"/>
  <c r="H177" i="12"/>
  <c r="I186" i="12"/>
  <c r="I194" i="12"/>
  <c r="I202" i="12"/>
  <c r="I210" i="12"/>
  <c r="I218" i="12"/>
  <c r="I226" i="12"/>
  <c r="I238" i="12"/>
  <c r="H240" i="12"/>
  <c r="I327" i="12"/>
  <c r="H328" i="12"/>
  <c r="I391" i="12"/>
  <c r="H392" i="12"/>
  <c r="I464" i="12"/>
  <c r="L15" i="13"/>
  <c r="C23" i="13"/>
  <c r="D23" i="13"/>
  <c r="B23" i="13"/>
  <c r="J23" i="13"/>
  <c r="I415" i="12"/>
  <c r="I423" i="12"/>
  <c r="I431" i="12"/>
  <c r="I439" i="12"/>
  <c r="I447" i="12"/>
  <c r="I455" i="12"/>
  <c r="I463" i="12"/>
  <c r="I471" i="12"/>
  <c r="I479" i="12"/>
  <c r="I487" i="12"/>
  <c r="I495" i="12"/>
  <c r="I503" i="12"/>
  <c r="J14" i="13"/>
  <c r="B14" i="13"/>
  <c r="L14" i="13"/>
  <c r="J22" i="13"/>
  <c r="B22" i="13"/>
  <c r="L22" i="13"/>
  <c r="J30" i="13"/>
  <c r="B30" i="13"/>
  <c r="L30" i="13"/>
  <c r="J38" i="13"/>
  <c r="B38" i="13"/>
  <c r="L38" i="13"/>
  <c r="J50" i="13"/>
  <c r="B50" i="13"/>
  <c r="L51" i="13"/>
  <c r="D51" i="13"/>
  <c r="C51" i="13"/>
  <c r="H56" i="13"/>
  <c r="G56" i="13"/>
  <c r="L65" i="13"/>
  <c r="D65" i="13"/>
  <c r="C65" i="13"/>
  <c r="I68" i="13"/>
  <c r="H68" i="13"/>
  <c r="G68" i="13"/>
  <c r="L73" i="13"/>
  <c r="D73" i="13"/>
  <c r="C73" i="13"/>
  <c r="I76" i="13"/>
  <c r="H76" i="13"/>
  <c r="G76" i="13"/>
  <c r="L81" i="13"/>
  <c r="D81" i="13"/>
  <c r="C81" i="13"/>
  <c r="I84" i="13"/>
  <c r="H84" i="13"/>
  <c r="G84" i="13"/>
  <c r="L89" i="13"/>
  <c r="D89" i="13"/>
  <c r="C89" i="13"/>
  <c r="I98" i="13"/>
  <c r="H98" i="13"/>
  <c r="G98" i="13"/>
  <c r="I130" i="13"/>
  <c r="H130" i="13"/>
  <c r="G130" i="13"/>
  <c r="F130" i="13"/>
  <c r="K130" i="13" s="1"/>
  <c r="I162" i="13"/>
  <c r="H162" i="13"/>
  <c r="G162" i="13"/>
  <c r="F162" i="13"/>
  <c r="K162" i="13" s="1"/>
  <c r="G284" i="13"/>
  <c r="I284" i="13"/>
  <c r="H284" i="13"/>
  <c r="F284" i="13"/>
  <c r="K284" i="13" s="1"/>
  <c r="B65" i="13"/>
  <c r="F68" i="13"/>
  <c r="K68" i="13" s="1"/>
  <c r="B73" i="13"/>
  <c r="F76" i="13"/>
  <c r="K76" i="13" s="1"/>
  <c r="B81" i="13"/>
  <c r="F84" i="13"/>
  <c r="K84" i="13" s="1"/>
  <c r="B89" i="13"/>
  <c r="H90" i="13"/>
  <c r="I90" i="13"/>
  <c r="L95" i="13"/>
  <c r="D95" i="13"/>
  <c r="J95" i="13"/>
  <c r="I110" i="13"/>
  <c r="H110" i="13"/>
  <c r="G110" i="13"/>
  <c r="F110" i="13"/>
  <c r="K110" i="13" s="1"/>
  <c r="I134" i="13"/>
  <c r="H134" i="13"/>
  <c r="G134" i="13"/>
  <c r="F134" i="13"/>
  <c r="K134" i="13" s="1"/>
  <c r="H234" i="12"/>
  <c r="H242" i="12"/>
  <c r="H250" i="12"/>
  <c r="H258" i="12"/>
  <c r="H266" i="12"/>
  <c r="H274" i="12"/>
  <c r="H282" i="12"/>
  <c r="H290" i="12"/>
  <c r="H298" i="12"/>
  <c r="H306" i="12"/>
  <c r="H314" i="12"/>
  <c r="H322" i="12"/>
  <c r="H330" i="12"/>
  <c r="H338" i="12"/>
  <c r="H346" i="12"/>
  <c r="H354" i="12"/>
  <c r="H362" i="12"/>
  <c r="H370" i="12"/>
  <c r="H378" i="12"/>
  <c r="H386" i="12"/>
  <c r="H394" i="12"/>
  <c r="H402" i="12"/>
  <c r="H410" i="12"/>
  <c r="H418" i="12"/>
  <c r="H426" i="12"/>
  <c r="H434" i="12"/>
  <c r="H442" i="12"/>
  <c r="H450" i="12"/>
  <c r="H458" i="12"/>
  <c r="H466" i="12"/>
  <c r="H474" i="12"/>
  <c r="H482" i="12"/>
  <c r="H490" i="12"/>
  <c r="H498" i="12"/>
  <c r="J11" i="13"/>
  <c r="G12" i="13"/>
  <c r="D14" i="13"/>
  <c r="J16" i="13"/>
  <c r="B16" i="13"/>
  <c r="L16" i="13"/>
  <c r="J17" i="13"/>
  <c r="I18" i="13"/>
  <c r="H19" i="13"/>
  <c r="D22" i="13"/>
  <c r="J24" i="13"/>
  <c r="B24" i="13"/>
  <c r="L24" i="13"/>
  <c r="J25" i="13"/>
  <c r="I26" i="13"/>
  <c r="H27" i="13"/>
  <c r="D30" i="13"/>
  <c r="J32" i="13"/>
  <c r="B32" i="13"/>
  <c r="L32" i="13"/>
  <c r="J33" i="13"/>
  <c r="I34" i="13"/>
  <c r="H35" i="13"/>
  <c r="D38" i="13"/>
  <c r="J40" i="13"/>
  <c r="B40" i="13"/>
  <c r="L40" i="13"/>
  <c r="J41" i="13"/>
  <c r="J46" i="13"/>
  <c r="B46" i="13"/>
  <c r="L47" i="13"/>
  <c r="D47" i="13"/>
  <c r="C47" i="13"/>
  <c r="D50" i="13"/>
  <c r="H52" i="13"/>
  <c r="G52" i="13"/>
  <c r="H55" i="13"/>
  <c r="I56" i="13"/>
  <c r="I57" i="13"/>
  <c r="J62" i="13"/>
  <c r="B62" i="13"/>
  <c r="L63" i="13"/>
  <c r="D63" i="13"/>
  <c r="C63" i="13"/>
  <c r="I66" i="13"/>
  <c r="H66" i="13"/>
  <c r="G66" i="13"/>
  <c r="L71" i="13"/>
  <c r="D71" i="13"/>
  <c r="C71" i="13"/>
  <c r="I74" i="13"/>
  <c r="H74" i="13"/>
  <c r="G74" i="13"/>
  <c r="L79" i="13"/>
  <c r="D79" i="13"/>
  <c r="C79" i="13"/>
  <c r="I82" i="13"/>
  <c r="H82" i="13"/>
  <c r="G82" i="13"/>
  <c r="L87" i="13"/>
  <c r="D87" i="13"/>
  <c r="C87" i="13"/>
  <c r="F90" i="13"/>
  <c r="K90" i="13" s="1"/>
  <c r="D92" i="13"/>
  <c r="C92" i="13"/>
  <c r="B95" i="13"/>
  <c r="L107" i="13"/>
  <c r="D107" i="13"/>
  <c r="J107" i="13"/>
  <c r="I138" i="13"/>
  <c r="H138" i="13"/>
  <c r="G138" i="13"/>
  <c r="F138" i="13"/>
  <c r="K138" i="13" s="1"/>
  <c r="H315" i="12"/>
  <c r="H323" i="12"/>
  <c r="H331" i="12"/>
  <c r="H339" i="12"/>
  <c r="H347" i="12"/>
  <c r="H355" i="12"/>
  <c r="H363" i="12"/>
  <c r="H371" i="12"/>
  <c r="H379" i="12"/>
  <c r="H387" i="12"/>
  <c r="H395" i="12"/>
  <c r="H403" i="12"/>
  <c r="H411" i="12"/>
  <c r="H419" i="12"/>
  <c r="H427" i="12"/>
  <c r="H435" i="12"/>
  <c r="H443" i="12"/>
  <c r="H451" i="12"/>
  <c r="H459" i="12"/>
  <c r="H467" i="12"/>
  <c r="H475" i="12"/>
  <c r="H483" i="12"/>
  <c r="H491" i="12"/>
  <c r="H499" i="12"/>
  <c r="H12" i="13"/>
  <c r="L17" i="13"/>
  <c r="I19" i="13"/>
  <c r="L25" i="13"/>
  <c r="I27" i="13"/>
  <c r="L33" i="13"/>
  <c r="I35" i="13"/>
  <c r="L41" i="13"/>
  <c r="J44" i="13"/>
  <c r="B44" i="13"/>
  <c r="L45" i="13"/>
  <c r="D45" i="13"/>
  <c r="C45" i="13"/>
  <c r="H50" i="13"/>
  <c r="G50" i="13"/>
  <c r="I55" i="13"/>
  <c r="J60" i="13"/>
  <c r="B60" i="13"/>
  <c r="L61" i="13"/>
  <c r="D61" i="13"/>
  <c r="C61" i="13"/>
  <c r="G90" i="13"/>
  <c r="C95" i="13"/>
  <c r="I102" i="13"/>
  <c r="H102" i="13"/>
  <c r="G102" i="13"/>
  <c r="I114" i="13"/>
  <c r="H114" i="13"/>
  <c r="G114" i="13"/>
  <c r="F114" i="13"/>
  <c r="K114" i="13" s="1"/>
  <c r="I142" i="13"/>
  <c r="H142" i="13"/>
  <c r="G142" i="13"/>
  <c r="F142" i="13"/>
  <c r="K142" i="13" s="1"/>
  <c r="J193" i="13"/>
  <c r="B193" i="13"/>
  <c r="D193" i="13"/>
  <c r="L193" i="13"/>
  <c r="C193" i="13"/>
  <c r="J18" i="13"/>
  <c r="B18" i="13"/>
  <c r="L18" i="13"/>
  <c r="J26" i="13"/>
  <c r="B26" i="13"/>
  <c r="L26" i="13"/>
  <c r="J34" i="13"/>
  <c r="B34" i="13"/>
  <c r="L34" i="13"/>
  <c r="J42" i="13"/>
  <c r="B42" i="13"/>
  <c r="L43" i="13"/>
  <c r="D43" i="13"/>
  <c r="C43" i="13"/>
  <c r="H48" i="13"/>
  <c r="G48" i="13"/>
  <c r="J58" i="13"/>
  <c r="B58" i="13"/>
  <c r="L59" i="13"/>
  <c r="D59" i="13"/>
  <c r="C59" i="13"/>
  <c r="I64" i="13"/>
  <c r="H64" i="13"/>
  <c r="G64" i="13"/>
  <c r="L69" i="13"/>
  <c r="D69" i="13"/>
  <c r="C69" i="13"/>
  <c r="I72" i="13"/>
  <c r="H72" i="13"/>
  <c r="G72" i="13"/>
  <c r="L77" i="13"/>
  <c r="D77" i="13"/>
  <c r="C77" i="13"/>
  <c r="I80" i="13"/>
  <c r="H80" i="13"/>
  <c r="G80" i="13"/>
  <c r="L85" i="13"/>
  <c r="D85" i="13"/>
  <c r="C85" i="13"/>
  <c r="I88" i="13"/>
  <c r="H88" i="13"/>
  <c r="G88" i="13"/>
  <c r="L91" i="13"/>
  <c r="D91" i="13"/>
  <c r="L99" i="13"/>
  <c r="D99" i="13"/>
  <c r="J99" i="13"/>
  <c r="L111" i="13"/>
  <c r="D111" i="13"/>
  <c r="J111" i="13"/>
  <c r="I146" i="13"/>
  <c r="H146" i="13"/>
  <c r="G146" i="13"/>
  <c r="F146" i="13"/>
  <c r="K146" i="13" s="1"/>
  <c r="C198" i="13"/>
  <c r="J198" i="13"/>
  <c r="D198" i="13"/>
  <c r="L198" i="13"/>
  <c r="B198" i="13"/>
  <c r="H237" i="12"/>
  <c r="H245" i="12"/>
  <c r="H253" i="12"/>
  <c r="H261" i="12"/>
  <c r="H269" i="12"/>
  <c r="H277" i="12"/>
  <c r="H285" i="12"/>
  <c r="H293" i="12"/>
  <c r="H301" i="12"/>
  <c r="H309" i="12"/>
  <c r="H317" i="12"/>
  <c r="H325" i="12"/>
  <c r="H333" i="12"/>
  <c r="H341" i="12"/>
  <c r="H349" i="12"/>
  <c r="H357" i="12"/>
  <c r="H365" i="12"/>
  <c r="H373" i="12"/>
  <c r="H381" i="12"/>
  <c r="H389" i="12"/>
  <c r="H397" i="12"/>
  <c r="H405" i="12"/>
  <c r="H413" i="12"/>
  <c r="H421" i="12"/>
  <c r="H429" i="12"/>
  <c r="H437" i="12"/>
  <c r="H445" i="12"/>
  <c r="H453" i="12"/>
  <c r="H461" i="12"/>
  <c r="H469" i="12"/>
  <c r="H477" i="12"/>
  <c r="H485" i="12"/>
  <c r="H493" i="12"/>
  <c r="H501" i="12"/>
  <c r="D5" i="13"/>
  <c r="D7" i="13"/>
  <c r="D9" i="13"/>
  <c r="J12" i="13"/>
  <c r="B12" i="13"/>
  <c r="H14" i="13"/>
  <c r="G15" i="13"/>
  <c r="D17" i="13"/>
  <c r="C18" i="13"/>
  <c r="L19" i="13"/>
  <c r="H22" i="13"/>
  <c r="G23" i="13"/>
  <c r="D25" i="13"/>
  <c r="C26" i="13"/>
  <c r="L27" i="13"/>
  <c r="H30" i="13"/>
  <c r="G31" i="13"/>
  <c r="D33" i="13"/>
  <c r="C34" i="13"/>
  <c r="L35" i="13"/>
  <c r="H38" i="13"/>
  <c r="G39" i="13"/>
  <c r="D41" i="13"/>
  <c r="C42" i="13"/>
  <c r="B43" i="13"/>
  <c r="D44" i="13"/>
  <c r="H46" i="13"/>
  <c r="G46" i="13"/>
  <c r="G47" i="13"/>
  <c r="F48" i="13"/>
  <c r="K48" i="13" s="1"/>
  <c r="H49" i="13"/>
  <c r="I50" i="13"/>
  <c r="J56" i="13"/>
  <c r="B56" i="13"/>
  <c r="L57" i="13"/>
  <c r="D57" i="13"/>
  <c r="C57" i="13"/>
  <c r="C58" i="13"/>
  <c r="B59" i="13"/>
  <c r="D60" i="13"/>
  <c r="H62" i="13"/>
  <c r="G62" i="13"/>
  <c r="F64" i="13"/>
  <c r="K64" i="13" s="1"/>
  <c r="B69" i="13"/>
  <c r="F72" i="13"/>
  <c r="K72" i="13" s="1"/>
  <c r="B77" i="13"/>
  <c r="F80" i="13"/>
  <c r="K80" i="13" s="1"/>
  <c r="B85" i="13"/>
  <c r="F88" i="13"/>
  <c r="K88" i="13" s="1"/>
  <c r="B91" i="13"/>
  <c r="I94" i="13"/>
  <c r="H94" i="13"/>
  <c r="G94" i="13"/>
  <c r="B99" i="13"/>
  <c r="B111" i="13"/>
  <c r="I118" i="13"/>
  <c r="H118" i="13"/>
  <c r="G118" i="13"/>
  <c r="F118" i="13"/>
  <c r="K118" i="13" s="1"/>
  <c r="I150" i="13"/>
  <c r="H150" i="13"/>
  <c r="G150" i="13"/>
  <c r="F150" i="13"/>
  <c r="K150" i="13" s="1"/>
  <c r="H270" i="12"/>
  <c r="H278" i="12"/>
  <c r="H286" i="12"/>
  <c r="H294" i="12"/>
  <c r="H302" i="12"/>
  <c r="H310" i="12"/>
  <c r="H318" i="12"/>
  <c r="H326" i="12"/>
  <c r="H334" i="12"/>
  <c r="H342" i="12"/>
  <c r="H350" i="12"/>
  <c r="H358" i="12"/>
  <c r="H366" i="12"/>
  <c r="H374" i="12"/>
  <c r="H382" i="12"/>
  <c r="H390" i="12"/>
  <c r="H398" i="12"/>
  <c r="H406" i="12"/>
  <c r="H414" i="12"/>
  <c r="H422" i="12"/>
  <c r="H430" i="12"/>
  <c r="H438" i="12"/>
  <c r="H446" i="12"/>
  <c r="H454" i="12"/>
  <c r="H462" i="12"/>
  <c r="H470" i="12"/>
  <c r="H478" i="12"/>
  <c r="H486" i="12"/>
  <c r="H494" i="12"/>
  <c r="H502" i="12"/>
  <c r="J13" i="13"/>
  <c r="H15" i="13"/>
  <c r="D18" i="13"/>
  <c r="J20" i="13"/>
  <c r="B20" i="13"/>
  <c r="L20" i="13"/>
  <c r="J21" i="13"/>
  <c r="H23" i="13"/>
  <c r="D26" i="13"/>
  <c r="J28" i="13"/>
  <c r="B28" i="13"/>
  <c r="L28" i="13"/>
  <c r="J29" i="13"/>
  <c r="H31" i="13"/>
  <c r="D34" i="13"/>
  <c r="J36" i="13"/>
  <c r="B36" i="13"/>
  <c r="L36" i="13"/>
  <c r="J37" i="13"/>
  <c r="H39" i="13"/>
  <c r="D42" i="13"/>
  <c r="H44" i="13"/>
  <c r="G44" i="13"/>
  <c r="H47" i="13"/>
  <c r="I48" i="13"/>
  <c r="J51" i="13"/>
  <c r="J54" i="13"/>
  <c r="B54" i="13"/>
  <c r="L55" i="13"/>
  <c r="D55" i="13"/>
  <c r="C55" i="13"/>
  <c r="D58" i="13"/>
  <c r="H60" i="13"/>
  <c r="G60" i="13"/>
  <c r="J65" i="13"/>
  <c r="L67" i="13"/>
  <c r="D67" i="13"/>
  <c r="C67" i="13"/>
  <c r="I70" i="13"/>
  <c r="H70" i="13"/>
  <c r="G70" i="13"/>
  <c r="J73" i="13"/>
  <c r="L75" i="13"/>
  <c r="D75" i="13"/>
  <c r="C75" i="13"/>
  <c r="I78" i="13"/>
  <c r="H78" i="13"/>
  <c r="G78" i="13"/>
  <c r="J81" i="13"/>
  <c r="L83" i="13"/>
  <c r="D83" i="13"/>
  <c r="C83" i="13"/>
  <c r="I86" i="13"/>
  <c r="H86" i="13"/>
  <c r="G86" i="13"/>
  <c r="J89" i="13"/>
  <c r="C91" i="13"/>
  <c r="C99" i="13"/>
  <c r="I106" i="13"/>
  <c r="H106" i="13"/>
  <c r="G106" i="13"/>
  <c r="C111" i="13"/>
  <c r="L115" i="13"/>
  <c r="D115" i="13"/>
  <c r="J115" i="13"/>
  <c r="I122" i="13"/>
  <c r="H122" i="13"/>
  <c r="G122" i="13"/>
  <c r="F122" i="13"/>
  <c r="K122" i="13" s="1"/>
  <c r="I154" i="13"/>
  <c r="H154" i="13"/>
  <c r="G154" i="13"/>
  <c r="F154" i="13"/>
  <c r="K154" i="13" s="1"/>
  <c r="L13" i="13"/>
  <c r="I15" i="13"/>
  <c r="L21" i="13"/>
  <c r="I23" i="13"/>
  <c r="L29" i="13"/>
  <c r="I31" i="13"/>
  <c r="L37" i="13"/>
  <c r="I39" i="13"/>
  <c r="H42" i="13"/>
  <c r="G42" i="13"/>
  <c r="I47" i="13"/>
  <c r="L50" i="13"/>
  <c r="J52" i="13"/>
  <c r="B52" i="13"/>
  <c r="L53" i="13"/>
  <c r="D53" i="13"/>
  <c r="C53" i="13"/>
  <c r="H58" i="13"/>
  <c r="G58" i="13"/>
  <c r="I91" i="13"/>
  <c r="H91" i="13"/>
  <c r="G91" i="13"/>
  <c r="F91" i="13"/>
  <c r="K91" i="13" s="1"/>
  <c r="L103" i="13"/>
  <c r="D103" i="13"/>
  <c r="J103" i="13"/>
  <c r="I126" i="13"/>
  <c r="H126" i="13"/>
  <c r="G126" i="13"/>
  <c r="F126" i="13"/>
  <c r="K126" i="13" s="1"/>
  <c r="I158" i="13"/>
  <c r="H158" i="13"/>
  <c r="G158" i="13"/>
  <c r="F158" i="13"/>
  <c r="K158" i="13" s="1"/>
  <c r="G195" i="13"/>
  <c r="H195" i="13"/>
  <c r="I195" i="13"/>
  <c r="F195" i="13"/>
  <c r="K195" i="13" s="1"/>
  <c r="C202" i="13"/>
  <c r="D202" i="13"/>
  <c r="B202" i="13"/>
  <c r="F204" i="13"/>
  <c r="K204" i="13" s="1"/>
  <c r="G204" i="13"/>
  <c r="G207" i="13"/>
  <c r="I207" i="13"/>
  <c r="H207" i="13"/>
  <c r="F207" i="13"/>
  <c r="K207" i="13" s="1"/>
  <c r="G220" i="13"/>
  <c r="I220" i="13"/>
  <c r="F220" i="13"/>
  <c r="K220" i="13" s="1"/>
  <c r="G224" i="13"/>
  <c r="I224" i="13"/>
  <c r="F224" i="13"/>
  <c r="K224" i="13" s="1"/>
  <c r="G272" i="13"/>
  <c r="I272" i="13"/>
  <c r="H272" i="13"/>
  <c r="F272" i="13"/>
  <c r="K272" i="13" s="1"/>
  <c r="L93" i="13"/>
  <c r="D93" i="13"/>
  <c r="J93" i="13"/>
  <c r="L97" i="13"/>
  <c r="D97" i="13"/>
  <c r="J97" i="13"/>
  <c r="L101" i="13"/>
  <c r="D101" i="13"/>
  <c r="J101" i="13"/>
  <c r="L105" i="13"/>
  <c r="D105" i="13"/>
  <c r="J105" i="13"/>
  <c r="L109" i="13"/>
  <c r="D109" i="13"/>
  <c r="J109" i="13"/>
  <c r="L113" i="13"/>
  <c r="D113" i="13"/>
  <c r="J113" i="13"/>
  <c r="L117" i="13"/>
  <c r="D117" i="13"/>
  <c r="J117" i="13"/>
  <c r="L121" i="13"/>
  <c r="D121" i="13"/>
  <c r="J121" i="13"/>
  <c r="L125" i="13"/>
  <c r="D125" i="13"/>
  <c r="J125" i="13"/>
  <c r="L129" i="13"/>
  <c r="D129" i="13"/>
  <c r="J129" i="13"/>
  <c r="L133" i="13"/>
  <c r="D133" i="13"/>
  <c r="J133" i="13"/>
  <c r="L137" i="13"/>
  <c r="D137" i="13"/>
  <c r="J137" i="13"/>
  <c r="L141" i="13"/>
  <c r="D141" i="13"/>
  <c r="J141" i="13"/>
  <c r="L145" i="13"/>
  <c r="D145" i="13"/>
  <c r="J145" i="13"/>
  <c r="L149" i="13"/>
  <c r="D149" i="13"/>
  <c r="J149" i="13"/>
  <c r="L153" i="13"/>
  <c r="D153" i="13"/>
  <c r="J153" i="13"/>
  <c r="L157" i="13"/>
  <c r="D157" i="13"/>
  <c r="J157" i="13"/>
  <c r="L161" i="13"/>
  <c r="D161" i="13"/>
  <c r="J161" i="13"/>
  <c r="C186" i="13"/>
  <c r="D186" i="13"/>
  <c r="B186" i="13"/>
  <c r="F188" i="13"/>
  <c r="K188" i="13" s="1"/>
  <c r="G188" i="13"/>
  <c r="J191" i="13"/>
  <c r="B191" i="13"/>
  <c r="C191" i="13"/>
  <c r="F198" i="13"/>
  <c r="K198" i="13" s="1"/>
  <c r="I198" i="13"/>
  <c r="H198" i="13"/>
  <c r="J201" i="13"/>
  <c r="B201" i="13"/>
  <c r="D201" i="13"/>
  <c r="G203" i="13"/>
  <c r="H203" i="13"/>
  <c r="H204" i="13"/>
  <c r="C206" i="13"/>
  <c r="J206" i="13"/>
  <c r="D206" i="13"/>
  <c r="H220" i="13"/>
  <c r="H224" i="13"/>
  <c r="G314" i="13"/>
  <c r="I314" i="13"/>
  <c r="H314" i="13"/>
  <c r="F314" i="13"/>
  <c r="K314" i="13" s="1"/>
  <c r="J90" i="13"/>
  <c r="J185" i="13"/>
  <c r="B185" i="13"/>
  <c r="D185" i="13"/>
  <c r="F186" i="13"/>
  <c r="K186" i="13" s="1"/>
  <c r="I186" i="13"/>
  <c r="G187" i="13"/>
  <c r="H187" i="13"/>
  <c r="J194" i="13"/>
  <c r="I204" i="13"/>
  <c r="G290" i="13"/>
  <c r="I290" i="13"/>
  <c r="H290" i="13"/>
  <c r="F290" i="13"/>
  <c r="K290" i="13" s="1"/>
  <c r="J306" i="13"/>
  <c r="B306" i="13"/>
  <c r="L306" i="13"/>
  <c r="C306" i="13"/>
  <c r="D306" i="13"/>
  <c r="L309" i="13"/>
  <c r="C309" i="13"/>
  <c r="D309" i="13"/>
  <c r="J309" i="13"/>
  <c r="B309" i="13"/>
  <c r="B90" i="13"/>
  <c r="I92" i="13"/>
  <c r="H92" i="13"/>
  <c r="I96" i="13"/>
  <c r="H96" i="13"/>
  <c r="I100" i="13"/>
  <c r="H100" i="13"/>
  <c r="I104" i="13"/>
  <c r="H104" i="13"/>
  <c r="I108" i="13"/>
  <c r="H108" i="13"/>
  <c r="I112" i="13"/>
  <c r="H112" i="13"/>
  <c r="I116" i="13"/>
  <c r="H116" i="13"/>
  <c r="I120" i="13"/>
  <c r="H120" i="13"/>
  <c r="I124" i="13"/>
  <c r="H124" i="13"/>
  <c r="I128" i="13"/>
  <c r="H128" i="13"/>
  <c r="I132" i="13"/>
  <c r="H132" i="13"/>
  <c r="I136" i="13"/>
  <c r="H136" i="13"/>
  <c r="I140" i="13"/>
  <c r="H140" i="13"/>
  <c r="I144" i="13"/>
  <c r="H144" i="13"/>
  <c r="I148" i="13"/>
  <c r="H148" i="13"/>
  <c r="I152" i="13"/>
  <c r="H152" i="13"/>
  <c r="I156" i="13"/>
  <c r="H156" i="13"/>
  <c r="I160" i="13"/>
  <c r="H160" i="13"/>
  <c r="C190" i="13"/>
  <c r="D190" i="13"/>
  <c r="G191" i="13"/>
  <c r="H191" i="13"/>
  <c r="F191" i="13"/>
  <c r="K191" i="13" s="1"/>
  <c r="F206" i="13"/>
  <c r="K206" i="13" s="1"/>
  <c r="I206" i="13"/>
  <c r="H206" i="13"/>
  <c r="C209" i="13"/>
  <c r="L209" i="13"/>
  <c r="B209" i="13"/>
  <c r="J209" i="13"/>
  <c r="C215" i="13"/>
  <c r="D215" i="13"/>
  <c r="J215" i="13"/>
  <c r="C217" i="13"/>
  <c r="L217" i="13"/>
  <c r="B217" i="13"/>
  <c r="D217" i="13"/>
  <c r="J227" i="13"/>
  <c r="G232" i="13"/>
  <c r="I232" i="13"/>
  <c r="H232" i="13"/>
  <c r="F232" i="13"/>
  <c r="K232" i="13" s="1"/>
  <c r="G236" i="13"/>
  <c r="I236" i="13"/>
  <c r="H236" i="13"/>
  <c r="F236" i="13"/>
  <c r="K236" i="13" s="1"/>
  <c r="G244" i="13"/>
  <c r="I244" i="13"/>
  <c r="H244" i="13"/>
  <c r="F244" i="13"/>
  <c r="K244" i="13" s="1"/>
  <c r="G248" i="13"/>
  <c r="I248" i="13"/>
  <c r="H248" i="13"/>
  <c r="F248" i="13"/>
  <c r="K248" i="13" s="1"/>
  <c r="G252" i="13"/>
  <c r="I252" i="13"/>
  <c r="H252" i="13"/>
  <c r="F252" i="13"/>
  <c r="K252" i="13" s="1"/>
  <c r="G256" i="13"/>
  <c r="I256" i="13"/>
  <c r="H256" i="13"/>
  <c r="F256" i="13"/>
  <c r="K256" i="13" s="1"/>
  <c r="G260" i="13"/>
  <c r="I260" i="13"/>
  <c r="H260" i="13"/>
  <c r="F260" i="13"/>
  <c r="K260" i="13" s="1"/>
  <c r="G264" i="13"/>
  <c r="I264" i="13"/>
  <c r="H264" i="13"/>
  <c r="F264" i="13"/>
  <c r="K264" i="13" s="1"/>
  <c r="B64" i="13"/>
  <c r="B66" i="13"/>
  <c r="B68" i="13"/>
  <c r="B70" i="13"/>
  <c r="B72" i="13"/>
  <c r="B74" i="13"/>
  <c r="B76" i="13"/>
  <c r="B78" i="13"/>
  <c r="B80" i="13"/>
  <c r="B82" i="13"/>
  <c r="B84" i="13"/>
  <c r="B86" i="13"/>
  <c r="B88" i="13"/>
  <c r="C90" i="13"/>
  <c r="F92" i="13"/>
  <c r="K92" i="13" s="1"/>
  <c r="F96" i="13"/>
  <c r="K96" i="13" s="1"/>
  <c r="F100" i="13"/>
  <c r="K100" i="13" s="1"/>
  <c r="F104" i="13"/>
  <c r="K104" i="13" s="1"/>
  <c r="F108" i="13"/>
  <c r="K108" i="13" s="1"/>
  <c r="F112" i="13"/>
  <c r="K112" i="13" s="1"/>
  <c r="F116" i="13"/>
  <c r="K116" i="13" s="1"/>
  <c r="F120" i="13"/>
  <c r="K120" i="13" s="1"/>
  <c r="F124" i="13"/>
  <c r="K124" i="13" s="1"/>
  <c r="F128" i="13"/>
  <c r="K128" i="13" s="1"/>
  <c r="F132" i="13"/>
  <c r="K132" i="13" s="1"/>
  <c r="F136" i="13"/>
  <c r="K136" i="13" s="1"/>
  <c r="F140" i="13"/>
  <c r="K140" i="13" s="1"/>
  <c r="F144" i="13"/>
  <c r="K144" i="13" s="1"/>
  <c r="F148" i="13"/>
  <c r="K148" i="13" s="1"/>
  <c r="F152" i="13"/>
  <c r="K152" i="13" s="1"/>
  <c r="F156" i="13"/>
  <c r="K156" i="13" s="1"/>
  <c r="F160" i="13"/>
  <c r="K160" i="13" s="1"/>
  <c r="J183" i="13"/>
  <c r="B183" i="13"/>
  <c r="C183" i="13"/>
  <c r="H186" i="13"/>
  <c r="I187" i="13"/>
  <c r="J189" i="13"/>
  <c r="B189" i="13"/>
  <c r="B190" i="13"/>
  <c r="I191" i="13"/>
  <c r="J199" i="13"/>
  <c r="B199" i="13"/>
  <c r="C199" i="13"/>
  <c r="J202" i="13"/>
  <c r="G206" i="13"/>
  <c r="D209" i="13"/>
  <c r="B215" i="13"/>
  <c r="C219" i="13"/>
  <c r="D219" i="13"/>
  <c r="J219" i="13"/>
  <c r="C221" i="13"/>
  <c r="L221" i="13"/>
  <c r="B221" i="13"/>
  <c r="D221" i="13"/>
  <c r="L119" i="13"/>
  <c r="D119" i="13"/>
  <c r="J119" i="13"/>
  <c r="L123" i="13"/>
  <c r="D123" i="13"/>
  <c r="J123" i="13"/>
  <c r="L127" i="13"/>
  <c r="D127" i="13"/>
  <c r="J127" i="13"/>
  <c r="L131" i="13"/>
  <c r="D131" i="13"/>
  <c r="J131" i="13"/>
  <c r="L135" i="13"/>
  <c r="D135" i="13"/>
  <c r="J135" i="13"/>
  <c r="L139" i="13"/>
  <c r="D139" i="13"/>
  <c r="J139" i="13"/>
  <c r="L143" i="13"/>
  <c r="D143" i="13"/>
  <c r="J143" i="13"/>
  <c r="L147" i="13"/>
  <c r="D147" i="13"/>
  <c r="J147" i="13"/>
  <c r="L151" i="13"/>
  <c r="D151" i="13"/>
  <c r="J151" i="13"/>
  <c r="L155" i="13"/>
  <c r="D155" i="13"/>
  <c r="J155" i="13"/>
  <c r="L159" i="13"/>
  <c r="D159" i="13"/>
  <c r="J159" i="13"/>
  <c r="L163" i="13"/>
  <c r="D163" i="13"/>
  <c r="J163" i="13"/>
  <c r="F190" i="13"/>
  <c r="K190" i="13" s="1"/>
  <c r="I190" i="13"/>
  <c r="H190" i="13"/>
  <c r="L202" i="13"/>
  <c r="C227" i="13"/>
  <c r="D227" i="13"/>
  <c r="B227" i="13"/>
  <c r="G183" i="13"/>
  <c r="H183" i="13"/>
  <c r="F183" i="13"/>
  <c r="K183" i="13" s="1"/>
  <c r="C194" i="13"/>
  <c r="D194" i="13"/>
  <c r="B194" i="13"/>
  <c r="F196" i="13"/>
  <c r="K196" i="13" s="1"/>
  <c r="G196" i="13"/>
  <c r="G199" i="13"/>
  <c r="I199" i="13"/>
  <c r="H199" i="13"/>
  <c r="F199" i="13"/>
  <c r="K199" i="13" s="1"/>
  <c r="J207" i="13"/>
  <c r="B207" i="13"/>
  <c r="C207" i="13"/>
  <c r="C233" i="13"/>
  <c r="L233" i="13"/>
  <c r="B233" i="13"/>
  <c r="J233" i="13"/>
  <c r="C237" i="13"/>
  <c r="L237" i="13"/>
  <c r="B237" i="13"/>
  <c r="D237" i="13"/>
  <c r="L184" i="13"/>
  <c r="L192" i="13"/>
  <c r="I194" i="13"/>
  <c r="L200" i="13"/>
  <c r="I202" i="13"/>
  <c r="L208" i="13"/>
  <c r="G212" i="13"/>
  <c r="I212" i="13"/>
  <c r="F212" i="13"/>
  <c r="K212" i="13" s="1"/>
  <c r="C229" i="13"/>
  <c r="L229" i="13"/>
  <c r="B229" i="13"/>
  <c r="G240" i="13"/>
  <c r="I240" i="13"/>
  <c r="H240" i="13"/>
  <c r="F240" i="13"/>
  <c r="K240" i="13" s="1"/>
  <c r="C279" i="13"/>
  <c r="L279" i="13"/>
  <c r="D279" i="13"/>
  <c r="B279" i="13"/>
  <c r="J279" i="13"/>
  <c r="C285" i="13"/>
  <c r="L285" i="13"/>
  <c r="D285" i="13"/>
  <c r="B285" i="13"/>
  <c r="J285" i="13"/>
  <c r="J334" i="13"/>
  <c r="B334" i="13"/>
  <c r="D334" i="13"/>
  <c r="C334" i="13"/>
  <c r="H164" i="13"/>
  <c r="D165" i="13"/>
  <c r="H166" i="13"/>
  <c r="D167" i="13"/>
  <c r="H168" i="13"/>
  <c r="D169" i="13"/>
  <c r="H170" i="13"/>
  <c r="D171" i="13"/>
  <c r="H172" i="13"/>
  <c r="D173" i="13"/>
  <c r="H174" i="13"/>
  <c r="D175" i="13"/>
  <c r="H176" i="13"/>
  <c r="D177" i="13"/>
  <c r="H178" i="13"/>
  <c r="D179" i="13"/>
  <c r="H180" i="13"/>
  <c r="D181" i="13"/>
  <c r="I182" i="13"/>
  <c r="J187" i="13"/>
  <c r="B187" i="13"/>
  <c r="L187" i="13"/>
  <c r="J188" i="13"/>
  <c r="I189" i="13"/>
  <c r="J195" i="13"/>
  <c r="B195" i="13"/>
  <c r="L195" i="13"/>
  <c r="J196" i="13"/>
  <c r="I197" i="13"/>
  <c r="J203" i="13"/>
  <c r="B203" i="13"/>
  <c r="L203" i="13"/>
  <c r="J204" i="13"/>
  <c r="I205" i="13"/>
  <c r="C211" i="13"/>
  <c r="D211" i="13"/>
  <c r="L211" i="13"/>
  <c r="G216" i="13"/>
  <c r="I216" i="13"/>
  <c r="F216" i="13"/>
  <c r="K216" i="13" s="1"/>
  <c r="C241" i="13"/>
  <c r="L241" i="13"/>
  <c r="B241" i="13"/>
  <c r="C287" i="13"/>
  <c r="L287" i="13"/>
  <c r="D287" i="13"/>
  <c r="J287" i="13"/>
  <c r="B287" i="13"/>
  <c r="C291" i="13"/>
  <c r="L291" i="13"/>
  <c r="D291" i="13"/>
  <c r="B291" i="13"/>
  <c r="J291" i="13"/>
  <c r="G298" i="13"/>
  <c r="I298" i="13"/>
  <c r="H298" i="13"/>
  <c r="F298" i="13"/>
  <c r="K298" i="13" s="1"/>
  <c r="L188" i="13"/>
  <c r="L196" i="13"/>
  <c r="L204" i="13"/>
  <c r="B211" i="13"/>
  <c r="C213" i="13"/>
  <c r="L213" i="13"/>
  <c r="B213" i="13"/>
  <c r="C223" i="13"/>
  <c r="D223" i="13"/>
  <c r="L223" i="13"/>
  <c r="G228" i="13"/>
  <c r="I228" i="13"/>
  <c r="F228" i="13"/>
  <c r="K228" i="13" s="1"/>
  <c r="D241" i="13"/>
  <c r="C269" i="13"/>
  <c r="L269" i="13"/>
  <c r="D269" i="13"/>
  <c r="B269" i="13"/>
  <c r="J269" i="13"/>
  <c r="G282" i="13"/>
  <c r="I282" i="13"/>
  <c r="H282" i="13"/>
  <c r="F282" i="13"/>
  <c r="K282" i="13" s="1"/>
  <c r="J197" i="13"/>
  <c r="B197" i="13"/>
  <c r="L197" i="13"/>
  <c r="J205" i="13"/>
  <c r="B205" i="13"/>
  <c r="L205" i="13"/>
  <c r="C225" i="13"/>
  <c r="L225" i="13"/>
  <c r="B225" i="13"/>
  <c r="F301" i="13"/>
  <c r="K301" i="13" s="1"/>
  <c r="H301" i="13"/>
  <c r="I301" i="13"/>
  <c r="G301" i="13"/>
  <c r="G274" i="13"/>
  <c r="I274" i="13"/>
  <c r="H274" i="13"/>
  <c r="G276" i="13"/>
  <c r="I276" i="13"/>
  <c r="H276" i="13"/>
  <c r="C281" i="13"/>
  <c r="L281" i="13"/>
  <c r="D281" i="13"/>
  <c r="C293" i="13"/>
  <c r="L293" i="13"/>
  <c r="D293" i="13"/>
  <c r="J231" i="13"/>
  <c r="J235" i="13"/>
  <c r="J239" i="13"/>
  <c r="J243" i="13"/>
  <c r="J247" i="13"/>
  <c r="J251" i="13"/>
  <c r="J255" i="13"/>
  <c r="J259" i="13"/>
  <c r="J263" i="13"/>
  <c r="C267" i="13"/>
  <c r="L267" i="13"/>
  <c r="D267" i="13"/>
  <c r="F274" i="13"/>
  <c r="K274" i="13" s="1"/>
  <c r="F276" i="13"/>
  <c r="K276" i="13" s="1"/>
  <c r="B281" i="13"/>
  <c r="G288" i="13"/>
  <c r="I288" i="13"/>
  <c r="H288" i="13"/>
  <c r="B293" i="13"/>
  <c r="G296" i="13"/>
  <c r="I296" i="13"/>
  <c r="H296" i="13"/>
  <c r="G210" i="13"/>
  <c r="I210" i="13"/>
  <c r="G214" i="13"/>
  <c r="I214" i="13"/>
  <c r="G218" i="13"/>
  <c r="I218" i="13"/>
  <c r="G222" i="13"/>
  <c r="I222" i="13"/>
  <c r="G226" i="13"/>
  <c r="I226" i="13"/>
  <c r="G230" i="13"/>
  <c r="I230" i="13"/>
  <c r="D231" i="13"/>
  <c r="G234" i="13"/>
  <c r="I234" i="13"/>
  <c r="D235" i="13"/>
  <c r="G238" i="13"/>
  <c r="I238" i="13"/>
  <c r="D239" i="13"/>
  <c r="G242" i="13"/>
  <c r="I242" i="13"/>
  <c r="D243" i="13"/>
  <c r="G246" i="13"/>
  <c r="I246" i="13"/>
  <c r="D247" i="13"/>
  <c r="G250" i="13"/>
  <c r="I250" i="13"/>
  <c r="D251" i="13"/>
  <c r="G254" i="13"/>
  <c r="I254" i="13"/>
  <c r="D255" i="13"/>
  <c r="G258" i="13"/>
  <c r="I258" i="13"/>
  <c r="D259" i="13"/>
  <c r="G262" i="13"/>
  <c r="I262" i="13"/>
  <c r="D263" i="13"/>
  <c r="G266" i="13"/>
  <c r="I266" i="13"/>
  <c r="C271" i="13"/>
  <c r="L271" i="13"/>
  <c r="D271" i="13"/>
  <c r="G294" i="13"/>
  <c r="I294" i="13"/>
  <c r="H294" i="13"/>
  <c r="B303" i="13"/>
  <c r="D303" i="13"/>
  <c r="L303" i="13"/>
  <c r="C303" i="13"/>
  <c r="G379" i="13"/>
  <c r="F379" i="13"/>
  <c r="K379" i="13" s="1"/>
  <c r="I379" i="13"/>
  <c r="H379" i="13"/>
  <c r="C273" i="13"/>
  <c r="L273" i="13"/>
  <c r="D273" i="13"/>
  <c r="C277" i="13"/>
  <c r="L277" i="13"/>
  <c r="D277" i="13"/>
  <c r="G280" i="13"/>
  <c r="I280" i="13"/>
  <c r="H280" i="13"/>
  <c r="G286" i="13"/>
  <c r="I286" i="13"/>
  <c r="H286" i="13"/>
  <c r="C289" i="13"/>
  <c r="L289" i="13"/>
  <c r="D289" i="13"/>
  <c r="C297" i="13"/>
  <c r="L297" i="13"/>
  <c r="D297" i="13"/>
  <c r="J322" i="13"/>
  <c r="B322" i="13"/>
  <c r="D322" i="13"/>
  <c r="L322" i="13"/>
  <c r="C370" i="13"/>
  <c r="J370" i="13"/>
  <c r="B370" i="13"/>
  <c r="D370" i="13"/>
  <c r="L370" i="13"/>
  <c r="J245" i="13"/>
  <c r="J249" i="13"/>
  <c r="J253" i="13"/>
  <c r="J257" i="13"/>
  <c r="J261" i="13"/>
  <c r="J265" i="13"/>
  <c r="G268" i="13"/>
  <c r="I268" i="13"/>
  <c r="H268" i="13"/>
  <c r="C275" i="13"/>
  <c r="L275" i="13"/>
  <c r="D275" i="13"/>
  <c r="C283" i="13"/>
  <c r="L283" i="13"/>
  <c r="D283" i="13"/>
  <c r="G292" i="13"/>
  <c r="I292" i="13"/>
  <c r="H292" i="13"/>
  <c r="F311" i="13"/>
  <c r="K311" i="13" s="1"/>
  <c r="G311" i="13"/>
  <c r="I311" i="13"/>
  <c r="H311" i="13"/>
  <c r="F317" i="13"/>
  <c r="K317" i="13" s="1"/>
  <c r="H317" i="13"/>
  <c r="I317" i="13"/>
  <c r="J326" i="13"/>
  <c r="B326" i="13"/>
  <c r="D326" i="13"/>
  <c r="L326" i="13"/>
  <c r="B245" i="13"/>
  <c r="L245" i="13"/>
  <c r="B249" i="13"/>
  <c r="L249" i="13"/>
  <c r="B253" i="13"/>
  <c r="L253" i="13"/>
  <c r="B257" i="13"/>
  <c r="L257" i="13"/>
  <c r="B261" i="13"/>
  <c r="L261" i="13"/>
  <c r="B265" i="13"/>
  <c r="L265" i="13"/>
  <c r="F268" i="13"/>
  <c r="K268" i="13" s="1"/>
  <c r="G270" i="13"/>
  <c r="I270" i="13"/>
  <c r="H270" i="13"/>
  <c r="B275" i="13"/>
  <c r="G278" i="13"/>
  <c r="I278" i="13"/>
  <c r="H278" i="13"/>
  <c r="J281" i="13"/>
  <c r="B283" i="13"/>
  <c r="F292" i="13"/>
  <c r="K292" i="13" s="1"/>
  <c r="J293" i="13"/>
  <c r="C295" i="13"/>
  <c r="L295" i="13"/>
  <c r="D295" i="13"/>
  <c r="F308" i="13"/>
  <c r="K308" i="13" s="1"/>
  <c r="I308" i="13"/>
  <c r="H308" i="13"/>
  <c r="G308" i="13"/>
  <c r="J312" i="13"/>
  <c r="B312" i="13"/>
  <c r="D312" i="13"/>
  <c r="G317" i="13"/>
  <c r="B319" i="13"/>
  <c r="D319" i="13"/>
  <c r="L319" i="13"/>
  <c r="C319" i="13"/>
  <c r="C326" i="13"/>
  <c r="J330" i="13"/>
  <c r="B330" i="13"/>
  <c r="D330" i="13"/>
  <c r="L330" i="13"/>
  <c r="C300" i="13"/>
  <c r="L300" i="13"/>
  <c r="F302" i="13"/>
  <c r="K302" i="13" s="1"/>
  <c r="G305" i="13"/>
  <c r="J307" i="13"/>
  <c r="J310" i="13"/>
  <c r="B310" i="13"/>
  <c r="B313" i="13"/>
  <c r="C316" i="13"/>
  <c r="L316" i="13"/>
  <c r="F318" i="13"/>
  <c r="K318" i="13" s="1"/>
  <c r="G321" i="13"/>
  <c r="G325" i="13"/>
  <c r="G329" i="13"/>
  <c r="G333" i="13"/>
  <c r="G337" i="13"/>
  <c r="G341" i="13"/>
  <c r="G345" i="13"/>
  <c r="G349" i="13"/>
  <c r="G353" i="13"/>
  <c r="G357" i="13"/>
  <c r="G361" i="13"/>
  <c r="G367" i="13"/>
  <c r="F367" i="13"/>
  <c r="K367" i="13" s="1"/>
  <c r="I367" i="13"/>
  <c r="C374" i="13"/>
  <c r="J374" i="13"/>
  <c r="B374" i="13"/>
  <c r="G299" i="13"/>
  <c r="J301" i="13"/>
  <c r="G302" i="13"/>
  <c r="J304" i="13"/>
  <c r="B304" i="13"/>
  <c r="H305" i="13"/>
  <c r="B307" i="13"/>
  <c r="C310" i="13"/>
  <c r="L310" i="13"/>
  <c r="F312" i="13"/>
  <c r="K312" i="13" s="1"/>
  <c r="C313" i="13"/>
  <c r="L313" i="13"/>
  <c r="G315" i="13"/>
  <c r="J317" i="13"/>
  <c r="G318" i="13"/>
  <c r="J320" i="13"/>
  <c r="B320" i="13"/>
  <c r="J324" i="13"/>
  <c r="B324" i="13"/>
  <c r="J328" i="13"/>
  <c r="B328" i="13"/>
  <c r="J332" i="13"/>
  <c r="B332" i="13"/>
  <c r="J336" i="13"/>
  <c r="B336" i="13"/>
  <c r="J340" i="13"/>
  <c r="B340" i="13"/>
  <c r="J344" i="13"/>
  <c r="B344" i="13"/>
  <c r="J348" i="13"/>
  <c r="B348" i="13"/>
  <c r="J352" i="13"/>
  <c r="B352" i="13"/>
  <c r="J356" i="13"/>
  <c r="B356" i="13"/>
  <c r="J360" i="13"/>
  <c r="B360" i="13"/>
  <c r="J364" i="13"/>
  <c r="B364" i="13"/>
  <c r="H367" i="13"/>
  <c r="G369" i="13"/>
  <c r="F369" i="13"/>
  <c r="K369" i="13" s="1"/>
  <c r="I369" i="13"/>
  <c r="D374" i="13"/>
  <c r="C376" i="13"/>
  <c r="J376" i="13"/>
  <c r="B376" i="13"/>
  <c r="H299" i="13"/>
  <c r="I305" i="13"/>
  <c r="C307" i="13"/>
  <c r="D310" i="13"/>
  <c r="J311" i="13"/>
  <c r="G312" i="13"/>
  <c r="D313" i="13"/>
  <c r="J314" i="13"/>
  <c r="B314" i="13"/>
  <c r="H315" i="13"/>
  <c r="G371" i="13"/>
  <c r="F371" i="13"/>
  <c r="K371" i="13" s="1"/>
  <c r="I371" i="13"/>
  <c r="C378" i="13"/>
  <c r="J378" i="13"/>
  <c r="B378" i="13"/>
  <c r="J305" i="13"/>
  <c r="J308" i="13"/>
  <c r="B308" i="13"/>
  <c r="F323" i="13"/>
  <c r="K323" i="13" s="1"/>
  <c r="I323" i="13"/>
  <c r="F327" i="13"/>
  <c r="K327" i="13" s="1"/>
  <c r="I327" i="13"/>
  <c r="F331" i="13"/>
  <c r="K331" i="13" s="1"/>
  <c r="I331" i="13"/>
  <c r="F335" i="13"/>
  <c r="K335" i="13" s="1"/>
  <c r="I335" i="13"/>
  <c r="F339" i="13"/>
  <c r="K339" i="13" s="1"/>
  <c r="I339" i="13"/>
  <c r="F343" i="13"/>
  <c r="K343" i="13" s="1"/>
  <c r="I343" i="13"/>
  <c r="F347" i="13"/>
  <c r="K347" i="13" s="1"/>
  <c r="I347" i="13"/>
  <c r="F351" i="13"/>
  <c r="K351" i="13" s="1"/>
  <c r="I351" i="13"/>
  <c r="F355" i="13"/>
  <c r="K355" i="13" s="1"/>
  <c r="I355" i="13"/>
  <c r="F359" i="13"/>
  <c r="K359" i="13" s="1"/>
  <c r="I359" i="13"/>
  <c r="F363" i="13"/>
  <c r="K363" i="13" s="1"/>
  <c r="I363" i="13"/>
  <c r="G373" i="13"/>
  <c r="F373" i="13"/>
  <c r="K373" i="13" s="1"/>
  <c r="I373" i="13"/>
  <c r="C380" i="13"/>
  <c r="J380" i="13"/>
  <c r="B380" i="13"/>
  <c r="D276" i="13"/>
  <c r="D278" i="13"/>
  <c r="D280" i="13"/>
  <c r="D282" i="13"/>
  <c r="D284" i="13"/>
  <c r="D286" i="13"/>
  <c r="D288" i="13"/>
  <c r="D290" i="13"/>
  <c r="D292" i="13"/>
  <c r="D294" i="13"/>
  <c r="D296" i="13"/>
  <c r="D298" i="13"/>
  <c r="J302" i="13"/>
  <c r="B302" i="13"/>
  <c r="H303" i="13"/>
  <c r="C308" i="13"/>
  <c r="L308" i="13"/>
  <c r="I309" i="13"/>
  <c r="F310" i="13"/>
  <c r="K310" i="13" s="1"/>
  <c r="C311" i="13"/>
  <c r="G313" i="13"/>
  <c r="D314" i="13"/>
  <c r="J318" i="13"/>
  <c r="B318" i="13"/>
  <c r="H319" i="13"/>
  <c r="G323" i="13"/>
  <c r="G327" i="13"/>
  <c r="G331" i="13"/>
  <c r="G335" i="13"/>
  <c r="G339" i="13"/>
  <c r="G343" i="13"/>
  <c r="G347" i="13"/>
  <c r="G351" i="13"/>
  <c r="G355" i="13"/>
  <c r="G359" i="13"/>
  <c r="G363" i="13"/>
  <c r="C366" i="13"/>
  <c r="J366" i="13"/>
  <c r="B366" i="13"/>
  <c r="H373" i="13"/>
  <c r="G375" i="13"/>
  <c r="F375" i="13"/>
  <c r="K375" i="13" s="1"/>
  <c r="I375" i="13"/>
  <c r="D380" i="13"/>
  <c r="H335" i="13"/>
  <c r="J338" i="13"/>
  <c r="B338" i="13"/>
  <c r="H339" i="13"/>
  <c r="J342" i="13"/>
  <c r="B342" i="13"/>
  <c r="H343" i="13"/>
  <c r="J346" i="13"/>
  <c r="B346" i="13"/>
  <c r="H347" i="13"/>
  <c r="J350" i="13"/>
  <c r="B350" i="13"/>
  <c r="H351" i="13"/>
  <c r="J354" i="13"/>
  <c r="B354" i="13"/>
  <c r="H355" i="13"/>
  <c r="J358" i="13"/>
  <c r="B358" i="13"/>
  <c r="H359" i="13"/>
  <c r="J362" i="13"/>
  <c r="B362" i="13"/>
  <c r="H363" i="13"/>
  <c r="C368" i="13"/>
  <c r="J368" i="13"/>
  <c r="B368" i="13"/>
  <c r="G377" i="13"/>
  <c r="F377" i="13"/>
  <c r="K377" i="13" s="1"/>
  <c r="I377" i="13"/>
  <c r="J300" i="13"/>
  <c r="B300" i="13"/>
  <c r="J316" i="13"/>
  <c r="B316" i="13"/>
  <c r="F321" i="13"/>
  <c r="K321" i="13" s="1"/>
  <c r="I321" i="13"/>
  <c r="F325" i="13"/>
  <c r="K325" i="13" s="1"/>
  <c r="I325" i="13"/>
  <c r="F329" i="13"/>
  <c r="K329" i="13" s="1"/>
  <c r="I329" i="13"/>
  <c r="F333" i="13"/>
  <c r="K333" i="13" s="1"/>
  <c r="I333" i="13"/>
  <c r="F337" i="13"/>
  <c r="K337" i="13" s="1"/>
  <c r="I337" i="13"/>
  <c r="F341" i="13"/>
  <c r="K341" i="13" s="1"/>
  <c r="I341" i="13"/>
  <c r="F345" i="13"/>
  <c r="K345" i="13" s="1"/>
  <c r="I345" i="13"/>
  <c r="F349" i="13"/>
  <c r="K349" i="13" s="1"/>
  <c r="I349" i="13"/>
  <c r="F353" i="13"/>
  <c r="K353" i="13" s="1"/>
  <c r="I353" i="13"/>
  <c r="F357" i="13"/>
  <c r="K357" i="13" s="1"/>
  <c r="I357" i="13"/>
  <c r="F361" i="13"/>
  <c r="K361" i="13" s="1"/>
  <c r="I361" i="13"/>
  <c r="G365" i="13"/>
  <c r="F365" i="13"/>
  <c r="K365" i="13" s="1"/>
  <c r="I365" i="13"/>
  <c r="C372" i="13"/>
  <c r="J372" i="13"/>
  <c r="B372" i="13"/>
  <c r="I381" i="13"/>
  <c r="I383" i="13"/>
  <c r="I385" i="13"/>
  <c r="I387" i="13"/>
  <c r="I389" i="13"/>
  <c r="I391" i="13"/>
  <c r="I393" i="13"/>
  <c r="I395" i="13"/>
  <c r="I397" i="13"/>
  <c r="I399" i="13"/>
  <c r="I401" i="13"/>
  <c r="I403" i="13"/>
  <c r="I405" i="13"/>
  <c r="I407" i="13"/>
  <c r="I409" i="13"/>
  <c r="F381" i="13"/>
  <c r="K381" i="13" s="1"/>
  <c r="B382" i="13"/>
  <c r="J382" i="13"/>
  <c r="B384" i="13"/>
  <c r="B386" i="13"/>
  <c r="B388" i="13"/>
  <c r="B390" i="13"/>
  <c r="B392" i="13"/>
  <c r="B394" i="13"/>
  <c r="B396" i="13"/>
  <c r="B398" i="13"/>
  <c r="B400" i="13"/>
  <c r="B402" i="13"/>
  <c r="B404" i="13"/>
  <c r="B406" i="13"/>
  <c r="B408" i="13"/>
  <c r="B410" i="13"/>
</calcChain>
</file>

<file path=xl/sharedStrings.xml><?xml version="1.0" encoding="utf-8"?>
<sst xmlns="http://schemas.openxmlformats.org/spreadsheetml/2006/main" count="489" uniqueCount="373">
  <si>
    <t>CDaX Data Validation &amp; Reconciliation</t>
  </si>
  <si>
    <t>Pre-commercial validation workbook | Sample/seed review; not a production financial certification.</t>
  </si>
  <si>
    <t>Item</t>
  </si>
  <si>
    <t>Details</t>
  </si>
  <si>
    <t>Purpose</t>
  </si>
  <si>
    <t>Validate student, course, purchase, enrollment, payment and financial records before commercial launch.</t>
  </si>
  <si>
    <t>Evidence basis</t>
  </si>
  <si>
    <t>Previously reviewed CDaX sample/seed workbook and related shared analyses.</t>
  </si>
  <si>
    <t>Current status</t>
  </si>
  <si>
    <t>PARTIAL — available sample records can be reviewed; full enrollment-payment and financial reconciliation is pending missing ledgers.</t>
  </si>
  <si>
    <t>Sample baseline</t>
  </si>
  <si>
    <t>3 student accounts; 7 courses; 5 purchase records; 33 modules; 30 videos.</t>
  </si>
  <si>
    <t>Confirmed anomaly</t>
  </si>
  <si>
    <t>Purchase record for user 3 dated 1-Jan-2026 predates registration dated 3-Jan-2026 by two days. Root cause is not confirmed.</t>
  </si>
  <si>
    <t>Important limitation</t>
  </si>
  <si>
    <t>No separate verified enrollment register, payment transaction ledger, refund ledger or finance summary was available in the reviewed source workbook.</t>
  </si>
  <si>
    <t>Do not claim</t>
  </si>
  <si>
    <t>Do not report 100% validation, zero discrepancies, confirmed revenue or completed financial reconciliation.</t>
  </si>
  <si>
    <t>How to use</t>
  </si>
  <si>
    <t>Paste full production exports into the input sheets. Preserve source IDs and raw dates. Record each issue in Exception Register.</t>
  </si>
  <si>
    <t>Financial formula</t>
  </si>
  <si>
    <t>Net collected = successful gross payments minus completed refunds, using Finance-approved accounting treatment.</t>
  </si>
  <si>
    <t>Prepared</t>
  </si>
  <si>
    <t>30 October 2026</t>
  </si>
  <si>
    <t>Reconciliation Summary</t>
  </si>
  <si>
    <t>Current evidence-based position. Counts are sample/seed records, not production totals.</t>
  </si>
  <si>
    <t>Metric</t>
  </si>
  <si>
    <t>Observed Result</t>
  </si>
  <si>
    <t>Status</t>
  </si>
  <si>
    <t>Remarks</t>
  </si>
  <si>
    <t>Student records reviewed</t>
  </si>
  <si>
    <t>3</t>
  </si>
  <si>
    <t>Reviewed</t>
  </si>
  <si>
    <t>Users source table; sample only.</t>
  </si>
  <si>
    <t>Course records reviewed</t>
  </si>
  <si>
    <t>7</t>
  </si>
  <si>
    <t>Courses source table.</t>
  </si>
  <si>
    <t>Purchase records reviewed</t>
  </si>
  <si>
    <t>5</t>
  </si>
  <si>
    <t>Purchase records do not prove successful payment.</t>
  </si>
  <si>
    <t>Enrollment records</t>
  </si>
  <si>
    <t>Unavailable</t>
  </si>
  <si>
    <t>Blocked</t>
  </si>
  <si>
    <t>Separate verified enrollment register not supplied.</t>
  </si>
  <si>
    <t>Payment transactions</t>
  </si>
  <si>
    <t>Payment transaction ledger not supplied.</t>
  </si>
  <si>
    <t>Refund records</t>
  </si>
  <si>
    <t>Refund ledger not supplied.</t>
  </si>
  <si>
    <t>Financial summaries</t>
  </si>
  <si>
    <t>Course-wise/monthly finance summary not supplied.</t>
  </si>
  <si>
    <t>Duplicate student IDs</t>
  </si>
  <si>
    <t>No duplicate in 3-row sample</t>
  </si>
  <si>
    <t>Initial check</t>
  </si>
  <si>
    <t>Repeat on full production export.</t>
  </si>
  <si>
    <t>Purchase date anomaly</t>
  </si>
  <si>
    <t>1</t>
  </si>
  <si>
    <t>Confirmed anomaly; cause pending</t>
  </si>
  <si>
    <t>Purchase date for user 3 predates registration by 2 days.</t>
  </si>
  <si>
    <t>Financial value of exceptions</t>
  </si>
  <si>
    <t>Not measurable</t>
  </si>
  <si>
    <t>No verified transaction amounts, statuses or refund values.</t>
  </si>
  <si>
    <t>Overall reconciliation</t>
  </si>
  <si>
    <t>PARTIAL</t>
  </si>
  <si>
    <t>Open</t>
  </si>
  <si>
    <t>Record checks started; commercial reconciliation pending source data.</t>
  </si>
  <si>
    <t>Source Data Inventory</t>
  </si>
  <si>
    <t>Available source tables and required missing data.</t>
  </si>
  <si>
    <t>Source Table</t>
  </si>
  <si>
    <t>Records Reviewed</t>
  </si>
  <si>
    <t>Available Fields</t>
  </si>
  <si>
    <t>Validation Purpose</t>
  </si>
  <si>
    <t>Missing Information</t>
  </si>
  <si>
    <t>Users</t>
  </si>
  <si>
    <t>id, role, is_active, is_email_verified, is_new_user, created_at, analytics_enabled</t>
  </si>
  <si>
    <t>Student ID uniqueness and registration checks</t>
  </si>
  <si>
    <t>Full production student export</t>
  </si>
  <si>
    <t>Courses</t>
  </si>
  <si>
    <t>id, title, category, instructor, instructor_id, enrolled_students, price, discount_price, rating, total_ratings, total_duration_sec, level, sub_category, is_featured, is_popular, is_published</t>
  </si>
  <si>
    <t>Course master and course references</t>
  </si>
  <si>
    <t>Approved pricing definitions and authoritative enrollment mapping</t>
  </si>
  <si>
    <t>Purchases</t>
  </si>
  <si>
    <t>id, purchased_on, course_id, user_id</t>
  </si>
  <si>
    <t>Purchase/user/course reference checks</t>
  </si>
  <si>
    <t>Payment ID, transaction reference, amount, currency, status, discount and refund</t>
  </si>
  <si>
    <t>Modules</t>
  </si>
  <si>
    <t>id, title, course_id, duration_sec</t>
  </si>
  <si>
    <t>Course/module relationships</t>
  </si>
  <si>
    <t>Full production content validation</t>
  </si>
  <si>
    <t>Videos</t>
  </si>
  <si>
    <t>id, title, module_id, duration_sec, display_order, is_preview</t>
  </si>
  <si>
    <t>Module/video relationships</t>
  </si>
  <si>
    <t>Playback and QA evidence</t>
  </si>
  <si>
    <t>Enrollment Register</t>
  </si>
  <si>
    <t>Not supplied</t>
  </si>
  <si>
    <t>Enrollment status and payment mapping</t>
  </si>
  <si>
    <t>Enrollment ID, student ID, course ID, status and date</t>
  </si>
  <si>
    <t>Payment Ledger</t>
  </si>
  <si>
    <t>Payment and collection reconciliation</t>
  </si>
  <si>
    <t>Payment ID, transaction reference, enrollment ID, amount, currency, status and date</t>
  </si>
  <si>
    <t>Refund Ledger</t>
  </si>
  <si>
    <t>Refund validation</t>
  </si>
  <si>
    <t>Refund ID, original payment reference, amount, status and date</t>
  </si>
  <si>
    <t>Financial Summary</t>
  </si>
  <si>
    <t>Independent financial total verification</t>
  </si>
  <si>
    <t>Period, course, gross, discount, refund and net amount</t>
  </si>
  <si>
    <t>Data Validation Rules</t>
  </si>
  <si>
    <t>Documented, repeatable checks to run against full production exports.</t>
  </si>
  <si>
    <t>Rule ID</t>
  </si>
  <si>
    <t>Category</t>
  </si>
  <si>
    <t>Validation Rule</t>
  </si>
  <si>
    <t>Validation Method</t>
  </si>
  <si>
    <t>Expected Result</t>
  </si>
  <si>
    <t>Severity</t>
  </si>
  <si>
    <t>DV-01</t>
  </si>
  <si>
    <t>Student</t>
  </si>
  <si>
    <t>Student ID not blank</t>
  </si>
  <si>
    <t>Check blank IDs</t>
  </si>
  <si>
    <t>All IDs present</t>
  </si>
  <si>
    <t>High</t>
  </si>
  <si>
    <t>DV-02</t>
  </si>
  <si>
    <t>Student ID unique</t>
  </si>
  <si>
    <t>COUNTIF(Student_ID_Range,Student_ID)&gt;1</t>
  </si>
  <si>
    <t>No unexplained duplicates</t>
  </si>
  <si>
    <t>DV-03</t>
  </si>
  <si>
    <t>Registration date valid</t>
  </si>
  <si>
    <t>Check blank/invalid timestamps</t>
  </si>
  <si>
    <t>Valid timestamp</t>
  </si>
  <si>
    <t>Medium</t>
  </si>
  <si>
    <t>DV-04</t>
  </si>
  <si>
    <t>Course</t>
  </si>
  <si>
    <t>Course ID not blank</t>
  </si>
  <si>
    <t>Check blank course IDs</t>
  </si>
  <si>
    <t>All referenced course IDs present</t>
  </si>
  <si>
    <t>DV-05</t>
  </si>
  <si>
    <t>Course ID exists in course master</t>
  </si>
  <si>
    <t>COUNTIF(Course_Master_ID_Range,Course_ID)&gt;0</t>
  </si>
  <si>
    <t>Every reference valid</t>
  </si>
  <si>
    <t>DV-06</t>
  </si>
  <si>
    <t>Enrollment</t>
  </si>
  <si>
    <t>Enrollment ID unique</t>
  </si>
  <si>
    <t>COUNTIF(Enrollment_ID_Range,Enrollment_ID)&gt;1</t>
  </si>
  <si>
    <t>No unexplained duplicate IDs</t>
  </si>
  <si>
    <t>DV-07</t>
  </si>
  <si>
    <t>Enrollment status approved</t>
  </si>
  <si>
    <t>Check approved status list</t>
  </si>
  <si>
    <t>Only valid statuses</t>
  </si>
  <si>
    <t>DV-08</t>
  </si>
  <si>
    <t>Student ID exists in Users</t>
  </si>
  <si>
    <t>COUNTIF(Users_ID_Range,Student_ID)&gt;0</t>
  </si>
  <si>
    <t>Valid student reference</t>
  </si>
  <si>
    <t>DV-09</t>
  </si>
  <si>
    <t>Course ID exists in Courses</t>
  </si>
  <si>
    <t>COUNTIF(Courses_ID_Range,Course_ID)&gt;0</t>
  </si>
  <si>
    <t>Valid course reference</t>
  </si>
  <si>
    <t>DV-10</t>
  </si>
  <si>
    <t>Payment</t>
  </si>
  <si>
    <t>Transaction reference not blank</t>
  </si>
  <si>
    <t>Check blank references</t>
  </si>
  <si>
    <t>Every payment has reference</t>
  </si>
  <si>
    <t>DV-11</t>
  </si>
  <si>
    <t>Transaction reference unique</t>
  </si>
  <si>
    <t>COUNTIF(Transaction_Ref_Range,Reference)&gt;1</t>
  </si>
  <si>
    <t>No unexplained duplicate transactions</t>
  </si>
  <si>
    <t>Critical</t>
  </si>
  <si>
    <t>DV-12</t>
  </si>
  <si>
    <t>Payment status valid</t>
  </si>
  <si>
    <t>Valid status</t>
  </si>
  <si>
    <t>DV-13</t>
  </si>
  <si>
    <t>Payment amount non-negative</t>
  </si>
  <si>
    <t>Check amount&lt;0</t>
  </si>
  <si>
    <t>No invalid negative amount</t>
  </si>
  <si>
    <t>DV-14</t>
  </si>
  <si>
    <t>Payment date valid</t>
  </si>
  <si>
    <t>Check blank/invalid dates</t>
  </si>
  <si>
    <t>Valid payment timestamp</t>
  </si>
  <si>
    <t>DV-15</t>
  </si>
  <si>
    <t>Reconciliation</t>
  </si>
  <si>
    <t>Paid enrollment has successful payment</t>
  </si>
  <si>
    <t>Match enrollment to payment ledger</t>
  </si>
  <si>
    <t>Valid payment match</t>
  </si>
  <si>
    <t>DV-16</t>
  </si>
  <si>
    <t>Payment maps to valid enrollment</t>
  </si>
  <si>
    <t>Match payment to enrollment register</t>
  </si>
  <si>
    <t>Valid enrollment reference</t>
  </si>
  <si>
    <t>DV-17</t>
  </si>
  <si>
    <t>Refund</t>
  </si>
  <si>
    <t>Refund references original payment</t>
  </si>
  <si>
    <t>Match refund reference</t>
  </si>
  <si>
    <t>Valid original payment</t>
  </si>
  <si>
    <t>DV-18</t>
  </si>
  <si>
    <t>Financial</t>
  </si>
  <si>
    <t>Net collection independently recalculated</t>
  </si>
  <si>
    <t>Successful gross payments - completed refunds</t>
  </si>
  <si>
    <t>Matches reported net amount</t>
  </si>
  <si>
    <t>DV-19</t>
  </si>
  <si>
    <t>Course-wise totals reconcile</t>
  </si>
  <si>
    <t>Sum transactions by course</t>
  </si>
  <si>
    <t>No unexplained difference</t>
  </si>
  <si>
    <t>DV-20</t>
  </si>
  <si>
    <t>Monthly totals reconcile</t>
  </si>
  <si>
    <t>Sum transactions by payment month</t>
  </si>
  <si>
    <t>id</t>
  </si>
  <si>
    <t>Raw Courses — Paste Full Export</t>
  </si>
  <si>
    <t>Paste complete Courses export below; confirm price field definitions.</t>
  </si>
  <si>
    <t>title</t>
  </si>
  <si>
    <t>category</t>
  </si>
  <si>
    <t>instructor</t>
  </si>
  <si>
    <t>instructor_id</t>
  </si>
  <si>
    <t>enrolled_students</t>
  </si>
  <si>
    <t>price</t>
  </si>
  <si>
    <t>discount_price</t>
  </si>
  <si>
    <t>rating</t>
  </si>
  <si>
    <t>total_ratings</t>
  </si>
  <si>
    <t>total_duration_sec</t>
  </si>
  <si>
    <t>level</t>
  </si>
  <si>
    <t>sub_category</t>
  </si>
  <si>
    <t>is_featured</t>
  </si>
  <si>
    <t>is_popular</t>
  </si>
  <si>
    <t>is_published</t>
  </si>
  <si>
    <t>Raw Purchases — Paste Full Export</t>
  </si>
  <si>
    <t>Paste complete Purchases export below; purchase rows are not payment proof.</t>
  </si>
  <si>
    <t>purchased_on</t>
  </si>
  <si>
    <t>course_id</t>
  </si>
  <si>
    <t>user_id</t>
  </si>
  <si>
    <t>Raw Enrollments — Paste Full Export</t>
  </si>
  <si>
    <t>Required input; no separate enrollment register was available.</t>
  </si>
  <si>
    <t>enrollment_id</t>
  </si>
  <si>
    <t>student_id</t>
  </si>
  <si>
    <t>enrollment_date</t>
  </si>
  <si>
    <t>enrollment_status</t>
  </si>
  <si>
    <t>Raw Payments — Paste Full Export</t>
  </si>
  <si>
    <t>Required input; no payment ledger was available.</t>
  </si>
  <si>
    <t>payment_id</t>
  </si>
  <si>
    <t>transaction_reference</t>
  </si>
  <si>
    <t>amount</t>
  </si>
  <si>
    <t>currency</t>
  </si>
  <si>
    <t>payment_status</t>
  </si>
  <si>
    <t>paid_at</t>
  </si>
  <si>
    <t>Raw Refunds — Paste Full Export</t>
  </si>
  <si>
    <t>Required input; no refund ledger was available.</t>
  </si>
  <si>
    <t>refund_id</t>
  </si>
  <si>
    <t>original_transaction_reference</t>
  </si>
  <si>
    <t>refund_amount</t>
  </si>
  <si>
    <t>refund_status</t>
  </si>
  <si>
    <t>refund_date</t>
  </si>
  <si>
    <t>Student Validation</t>
  </si>
  <si>
    <t>Paste full student export in Raw Users. Formula checks are prepared for up to 500 rows.</t>
  </si>
  <si>
    <t>Student ID</t>
  </si>
  <si>
    <t>Role</t>
  </si>
  <si>
    <t>Registration Date</t>
  </si>
  <si>
    <t>Account Active</t>
  </si>
  <si>
    <t>Duplicate ID Check</t>
  </si>
  <si>
    <t>Date Check</t>
  </si>
  <si>
    <t>Validation Result</t>
  </si>
  <si>
    <t>Exception ID</t>
  </si>
  <si>
    <t>Enrollment Validation</t>
  </si>
  <si>
    <t>Paste enrollment data into Raw Enrollments; references checked against raw student and course masters.</t>
  </si>
  <si>
    <t>Enrollment ID</t>
  </si>
  <si>
    <t>Course ID</t>
  </si>
  <si>
    <t>Enrollment Date</t>
  </si>
  <si>
    <t>Enrollment Status</t>
  </si>
  <si>
    <t>Student Exists</t>
  </si>
  <si>
    <t>Course Exists</t>
  </si>
  <si>
    <t>Duplicate Enrollment</t>
  </si>
  <si>
    <t>Enrollment &amp; Payment Reconciliation</t>
  </si>
  <si>
    <t>Paste raw enrollment and payment exports. Confirm matching keys with Finance/Engineering.</t>
  </si>
  <si>
    <t>Payment ID</t>
  </si>
  <si>
    <t>Transaction Reference</t>
  </si>
  <si>
    <t>Payment Amount</t>
  </si>
  <si>
    <t>Payment Status</t>
  </si>
  <si>
    <t>Payment Date</t>
  </si>
  <si>
    <t>Enrollment Match</t>
  </si>
  <si>
    <t>Payment Reference Check</t>
  </si>
  <si>
    <t>Reconciliation Result</t>
  </si>
  <si>
    <t>Financial Reconciliation</t>
  </si>
  <si>
    <t>Enter verified transaction totals and finance-reported totals. Do not use catalogue price as collected revenue.</t>
  </si>
  <si>
    <t>Reporting Period</t>
  </si>
  <si>
    <t>Transaction Count</t>
  </si>
  <si>
    <t>Gross Successful Payments</t>
  </si>
  <si>
    <t>Discount Amount</t>
  </si>
  <si>
    <t>Completed Refund Amount</t>
  </si>
  <si>
    <t>Net Calculated Amount</t>
  </si>
  <si>
    <t>Reported Net Amount</t>
  </si>
  <si>
    <t>Difference</t>
  </si>
  <si>
    <t>Exception Tracking Register</t>
  </si>
  <si>
    <t>Initial evidence gaps and one identified date anomaly. These are not all confirmed financial errors.</t>
  </si>
  <si>
    <t>Date Identified</t>
  </si>
  <si>
    <t>Record ID</t>
  </si>
  <si>
    <t>Discrepancy Description</t>
  </si>
  <si>
    <t>Exception Type</t>
  </si>
  <si>
    <t>Financial Impact</t>
  </si>
  <si>
    <t>Root Cause</t>
  </si>
  <si>
    <t>Recommended Action</t>
  </si>
  <si>
    <t>Responsible Team</t>
  </si>
  <si>
    <t>Resolution Date</t>
  </si>
  <si>
    <t>EX-001</t>
  </si>
  <si>
    <t>Payment amount and status unavailable in reviewed source.</t>
  </si>
  <si>
    <t>Data Gap</t>
  </si>
  <si>
    <t>Not Measurable</t>
  </si>
  <si>
    <t>Pending payment export</t>
  </si>
  <si>
    <t>Obtain payment ledger and reconcile with purchase records.</t>
  </si>
  <si>
    <t>Finance / Engineering</t>
  </si>
  <si>
    <t>EX-002</t>
  </si>
  <si>
    <t>Separate enrollment register unavailable.</t>
  </si>
  <si>
    <t>Pending enrollment export</t>
  </si>
  <si>
    <t>Obtain enrollment export with IDs, status and date.</t>
  </si>
  <si>
    <t>Product / Engineering</t>
  </si>
  <si>
    <t>EX-003</t>
  </si>
  <si>
    <t>Data Quality</t>
  </si>
  <si>
    <t>Purchase row 1</t>
  </si>
  <si>
    <t>Purchase dated 1-Jan-2026 predates registration dated 3-Jan-2026 by two days.</t>
  </si>
  <si>
    <t>Confirmed Date-Sequence Anomaly</t>
  </si>
  <si>
    <t>Cause not confirmed; investigate timezone, source clock and import history.</t>
  </si>
  <si>
    <t>Investigate timestamps and import history; preserve raw dates.</t>
  </si>
  <si>
    <t>Data / Backend</t>
  </si>
  <si>
    <t>EX-004</t>
  </si>
  <si>
    <t>Commercial</t>
  </si>
  <si>
    <t>Course price and discount_price field meanings require confirmation.</t>
  </si>
  <si>
    <t>Needs Investigation</t>
  </si>
  <si>
    <t>Backend/product definition not confirmed</t>
  </si>
  <si>
    <t>Confirm canonical price definitions.</t>
  </si>
  <si>
    <t>Product / Finance</t>
  </si>
  <si>
    <t>EX-005</t>
  </si>
  <si>
    <t>Refunds</t>
  </si>
  <si>
    <t>Refund transactions and amounts unavailable.</t>
  </si>
  <si>
    <t>Pending refund export</t>
  </si>
  <si>
    <t>Obtain refund ledger linked to original payment references.</t>
  </si>
  <si>
    <t>Finance</t>
  </si>
  <si>
    <t>Corrective Action Plan</t>
  </si>
  <si>
    <t>Controls required to close identified gaps and prevent recurrence.</t>
  </si>
  <si>
    <t>Action ID</t>
  </si>
  <si>
    <t>Issue</t>
  </si>
  <si>
    <t>Corrective Action</t>
  </si>
  <si>
    <t>Prevention Control</t>
  </si>
  <si>
    <t>Responsible Function</t>
  </si>
  <si>
    <t>Priority</t>
  </si>
  <si>
    <t>Completion Evidence</t>
  </si>
  <si>
    <t>CA-01</t>
  </si>
  <si>
    <t>Missing enrollment register</t>
  </si>
  <si>
    <t>Obtain complete enrollment export with enrollment ID, student ID, course ID, date and status</t>
  </si>
  <si>
    <t>Make key fields mandatory in enrollment creation</t>
  </si>
  <si>
    <t>Validated enrollment export</t>
  </si>
  <si>
    <t>CA-02</t>
  </si>
  <si>
    <t>Missing payment ledger</t>
  </si>
  <si>
    <t>Obtain payment gateway transaction export</t>
  </si>
  <si>
    <t>Store unique transaction reference for each payment attempt</t>
  </si>
  <si>
    <t>Payment transaction ledger</t>
  </si>
  <si>
    <t>CA-03</t>
  </si>
  <si>
    <t>Missing refund information</t>
  </si>
  <si>
    <t>Obtain refund records linked to original transactions</t>
  </si>
  <si>
    <t>Require original payment reference for every refund</t>
  </si>
  <si>
    <t>Refund reconciliation report</t>
  </si>
  <si>
    <t>CA-04</t>
  </si>
  <si>
    <t>Student/course reference issues</t>
  </si>
  <si>
    <t>Validate IDs against master tables</t>
  </si>
  <si>
    <t>Apply foreign-key and referential-integrity checks</t>
  </si>
  <si>
    <t>Engineering</t>
  </si>
  <si>
    <t>Validation results</t>
  </si>
  <si>
    <t>CA-05</t>
  </si>
  <si>
    <t>Check timezone, source clock and import process</t>
  </si>
  <si>
    <t>Use consistent timestamp and timezone rules</t>
  </si>
  <si>
    <t>Root-cause confirmation</t>
  </si>
  <si>
    <t>CA-06</t>
  </si>
  <si>
    <t>Price field ambiguity</t>
  </si>
  <si>
    <t>Confirm price and discount_price definitions</t>
  </si>
  <si>
    <t>Approve one canonical pricing definition</t>
  </si>
  <si>
    <t>Approved field definition</t>
  </si>
  <si>
    <t>CA-07</t>
  </si>
  <si>
    <t>Financial reporting differences</t>
  </si>
  <si>
    <t>Recalculate totals from transaction-level records</t>
  </si>
  <si>
    <t>Automate course-wise and monthly reconciliation</t>
  </si>
  <si>
    <t>Signed reconciliation report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</si>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</sst>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3F6F9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 wrapText="1"/>
    </xf>
    <xf numFmtId="0" fontId="0" fillId="0" borderId="5" xfId="0" applyFill="1" applyBorder="1" applyAlignment="1">
      <alignment vertical="top" wrapText="1"/>
    </xf>
    <xf numFmtId="0" fontId="0" fillId="0" borderId="6" xfId="0" applyFill="1" applyBorder="1" applyAlignment="1">
      <alignment vertical="top" wrapText="1"/>
    </xf>
    <xf numFmtId="0" fontId="0" fillId="0" borderId="7" xfId="0" applyFill="1" applyBorder="1" applyAlignment="1">
      <alignment vertical="top" wrapText="1"/>
    </xf>
    <xf numFmtId="0" fontId="0" fillId="0" borderId="8" xfId="0" applyFill="1" applyBorder="1" applyAlignment="1">
      <alignment vertical="top" wrapText="1"/>
    </xf>
    <xf numFmtId="0" fontId="0" fillId="0" borderId="9" xfId="0" applyFill="1" applyBorder="1" applyAlignment="1">
      <alignment vertical="top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28"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0594FD-967D-4A4A-9F36-F84708ECB528}" name="Table1" displayName="Table1" ref="A4:B14" totalsRowShown="0" headerRowDxfId="21" dataDxfId="22">
  <autoFilter ref="A4:B14" xr:uid="{00000000-0009-0000-0000-000000000000}"/>
  <tableColumns count="2">
    <tableColumn id="1" xr3:uid="{5F5CE55B-1045-4EB7-B530-8DBE79BDA0C4}" name="Item" dataDxfId="24"/>
    <tableColumn id="2" xr3:uid="{20BEDB40-E773-4166-A2BA-6049133B64F1}" name="Details" dataDxfId="23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910779-78D6-4877-9EAF-AF21EDF85782}" name="Table2" displayName="Table2" ref="A4:D15" totalsRowShown="0" headerRowDxfId="16" dataDxfId="15" headerRowBorderDxfId="26" tableBorderDxfId="27" totalsRowBorderDxfId="25">
  <autoFilter ref="A4:D15" xr:uid="{00000000-0009-0000-0000-000001000000}"/>
  <tableColumns count="4">
    <tableColumn id="1" xr3:uid="{FB75E361-07F2-48D3-8CEC-E1084DDC3F31}" name="Metric" dataDxfId="20"/>
    <tableColumn id="2" xr3:uid="{DEC61B85-F6F9-436A-9393-57C0B2376643}" name="Observed Result" dataDxfId="19"/>
    <tableColumn id="3" xr3:uid="{96FACF1B-77D8-4F95-A504-6065B6D95F8F}" name="Status" dataDxfId="18"/>
    <tableColumn id="4" xr3:uid="{75B927A1-5A04-4AA9-89E0-8BCDCA617885}" name="Remarks" dataDxfId="17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FA8C62-F59D-462C-9D26-208E5A0EAB73}" name="Table3" displayName="Table3" ref="A4:E13" totalsRowShown="0" headerRowDxfId="14" dataDxfId="13">
  <autoFilter ref="A4:E13" xr:uid="{00000000-0009-0000-0000-000002000000}"/>
  <tableColumns count="5">
    <tableColumn id="1" xr3:uid="{ED657D13-AD61-45FE-830B-030C188AA766}" name="Source Table" dataDxfId="4"/>
    <tableColumn id="2" xr3:uid="{97D18B2D-D5B2-4CFB-A324-994166410A8F}" name="Records Reviewed" dataDxfId="3"/>
    <tableColumn id="3" xr3:uid="{400C05CB-E3C7-4D4E-8DAC-6731303ACBE0}" name="Available Fields" dataDxfId="2"/>
    <tableColumn id="4" xr3:uid="{CA9791F2-5806-4094-88BF-7B2E76CFA2A9}" name="Validation Purpose" dataDxfId="1"/>
    <tableColumn id="5" xr3:uid="{A5702AEA-39EC-421D-A2D5-02F20C7DB134}" name="Missing Information" dataDxfId="0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88D0BC-4B44-4F3D-B0D9-7C4AB70E2D59}" name="Table4" displayName="Table4" ref="A4:F24" totalsRowShown="0" headerRowDxfId="12" dataDxfId="11">
  <autoFilter ref="A4:F24" xr:uid="{00000000-0009-0000-0000-000003000000}"/>
  <tableColumns count="6">
    <tableColumn id="1" xr3:uid="{0AE52592-0993-4F68-B8B7-51198C736513}" name="Rule ID" dataDxfId="10"/>
    <tableColumn id="2" xr3:uid="{7A4EBB85-CFE9-4724-B2CA-D642EBD54ADF}" name="Category" dataDxfId="9"/>
    <tableColumn id="3" xr3:uid="{DB363054-A8B8-4948-B322-DDE788142862}" name="Validation Rule" dataDxfId="8"/>
    <tableColumn id="4" xr3:uid="{EB4F88B3-644E-4C09-BCED-4C5CD5489115}" name="Validation Method" dataDxfId="7"/>
    <tableColumn id="5" xr3:uid="{1430F665-10C0-4D42-8950-561EFC6F0FA0}" name="Expected Result" dataDxfId="6"/>
    <tableColumn id="6" xr3:uid="{73B1800E-BF60-42E3-B750-DBE19718AB2B}" name="Severity" dataDxfId="5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4"/>
  <sheetViews>
    <sheetView showGridLines="0" tabSelected="1" zoomScale="85" workbookViewId="0">
      <pane ySplit="4" topLeftCell="A5" activePane="bottomLeft" state="frozen"/>
      <selection pane="bottomLeft" activeCell="B18" sqref="B18"/>
    </sheetView>
  </sheetViews>
  <sheetFormatPr defaultRowHeight="14.4" x14ac:dyDescent="0.3"/>
  <cols>
    <col min="1" max="1" width="28" customWidth="1"/>
    <col min="2" max="2" width="110" customWidth="1"/>
  </cols>
  <sheetData>
    <row r="1" spans="1:2" ht="28.05" customHeight="1" x14ac:dyDescent="0.3">
      <c r="A1" s="7" t="s">
        <v>0</v>
      </c>
      <c r="B1" s="8"/>
    </row>
    <row r="2" spans="1:2" ht="30" customHeight="1" x14ac:dyDescent="0.3">
      <c r="A2" s="4" t="s">
        <v>1</v>
      </c>
      <c r="B2" s="5"/>
    </row>
    <row r="4" spans="1:2" s="11" customFormat="1" x14ac:dyDescent="0.3">
      <c r="A4" s="10" t="s">
        <v>2</v>
      </c>
      <c r="B4" s="10" t="s">
        <v>3</v>
      </c>
    </row>
    <row r="5" spans="1:2" x14ac:dyDescent="0.3">
      <c r="A5" s="9" t="s">
        <v>4</v>
      </c>
      <c r="B5" s="9" t="s">
        <v>5</v>
      </c>
    </row>
    <row r="6" spans="1:2" x14ac:dyDescent="0.3">
      <c r="A6" s="9" t="s">
        <v>6</v>
      </c>
      <c r="B6" s="9" t="s">
        <v>7</v>
      </c>
    </row>
    <row r="7" spans="1:2" ht="28.8" x14ac:dyDescent="0.3">
      <c r="A7" s="9" t="s">
        <v>8</v>
      </c>
      <c r="B7" s="9" t="s">
        <v>9</v>
      </c>
    </row>
    <row r="8" spans="1:2" x14ac:dyDescent="0.3">
      <c r="A8" s="9" t="s">
        <v>10</v>
      </c>
      <c r="B8" s="9" t="s">
        <v>11</v>
      </c>
    </row>
    <row r="9" spans="1:2" x14ac:dyDescent="0.3">
      <c r="A9" s="9" t="s">
        <v>12</v>
      </c>
      <c r="B9" s="9" t="s">
        <v>13</v>
      </c>
    </row>
    <row r="10" spans="1:2" ht="28.8" x14ac:dyDescent="0.3">
      <c r="A10" s="9" t="s">
        <v>14</v>
      </c>
      <c r="B10" s="9" t="s">
        <v>15</v>
      </c>
    </row>
    <row r="11" spans="1:2" x14ac:dyDescent="0.3">
      <c r="A11" s="9" t="s">
        <v>16</v>
      </c>
      <c r="B11" s="9" t="s">
        <v>17</v>
      </c>
    </row>
    <row r="12" spans="1:2" x14ac:dyDescent="0.3">
      <c r="A12" s="9" t="s">
        <v>18</v>
      </c>
      <c r="B12" s="9" t="s">
        <v>19</v>
      </c>
    </row>
    <row r="13" spans="1:2" x14ac:dyDescent="0.3">
      <c r="A13" s="9" t="s">
        <v>20</v>
      </c>
      <c r="B13" s="9" t="s">
        <v>21</v>
      </c>
    </row>
    <row r="14" spans="1:2" x14ac:dyDescent="0.3">
      <c r="A14" s="9" t="s">
        <v>22</v>
      </c>
      <c r="B14" s="9" t="s">
        <v>23</v>
      </c>
    </row>
  </sheetData>
  <mergeCells count="2">
    <mergeCell ref="A2:B2"/>
    <mergeCell ref="A1:B1"/>
  </mergeCells>
  <pageMargins left="0.75" right="0.75" top="1" bottom="1" header="0.5" footer="0.5"/>
  <pageSetup fitToHeight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3"/>
  <sheetViews>
    <sheetView showGridLines="0" zoomScale="85" workbookViewId="0">
      <pane ySplit="4" topLeftCell="A5" activePane="bottomLeft" state="frozen"/>
      <selection pane="bottomLeft" sqref="A1:D1"/>
    </sheetView>
  </sheetViews>
  <sheetFormatPr defaultRowHeight="14.4" x14ac:dyDescent="0.3"/>
  <cols>
    <col min="1" max="1" width="32" customWidth="1"/>
    <col min="2" max="2" width="38" customWidth="1"/>
    <col min="3" max="3" width="30" customWidth="1"/>
    <col min="4" max="4" width="75" customWidth="1"/>
  </cols>
  <sheetData>
    <row r="1" spans="1:4" ht="28.05" customHeight="1" x14ac:dyDescent="0.3">
      <c r="A1" s="7" t="s">
        <v>24</v>
      </c>
      <c r="B1" s="8"/>
      <c r="C1" s="8"/>
      <c r="D1" s="8"/>
    </row>
    <row r="2" spans="1:4" ht="30" customHeight="1" x14ac:dyDescent="0.3">
      <c r="A2" s="4" t="s">
        <v>25</v>
      </c>
      <c r="B2" s="5"/>
      <c r="C2" s="5"/>
      <c r="D2" s="5"/>
    </row>
    <row r="4" spans="1:4" x14ac:dyDescent="0.3">
      <c r="A4" s="12" t="s">
        <v>26</v>
      </c>
      <c r="B4" s="13" t="s">
        <v>27</v>
      </c>
      <c r="C4" s="13" t="s">
        <v>28</v>
      </c>
      <c r="D4" s="14" t="s">
        <v>29</v>
      </c>
    </row>
    <row r="5" spans="1:4" x14ac:dyDescent="0.3">
      <c r="A5" s="15" t="s">
        <v>30</v>
      </c>
      <c r="B5" s="9" t="s">
        <v>31</v>
      </c>
      <c r="C5" s="9" t="s">
        <v>32</v>
      </c>
      <c r="D5" s="16" t="s">
        <v>33</v>
      </c>
    </row>
    <row r="6" spans="1:4" x14ac:dyDescent="0.3">
      <c r="A6" s="15" t="s">
        <v>34</v>
      </c>
      <c r="B6" s="9" t="s">
        <v>35</v>
      </c>
      <c r="C6" s="9" t="s">
        <v>32</v>
      </c>
      <c r="D6" s="16" t="s">
        <v>36</v>
      </c>
    </row>
    <row r="7" spans="1:4" x14ac:dyDescent="0.3">
      <c r="A7" s="15" t="s">
        <v>37</v>
      </c>
      <c r="B7" s="9" t="s">
        <v>38</v>
      </c>
      <c r="C7" s="9" t="s">
        <v>32</v>
      </c>
      <c r="D7" s="16" t="s">
        <v>39</v>
      </c>
    </row>
    <row r="8" spans="1:4" x14ac:dyDescent="0.3">
      <c r="A8" s="15" t="s">
        <v>40</v>
      </c>
      <c r="B8" s="9" t="s">
        <v>41</v>
      </c>
      <c r="C8" s="9" t="s">
        <v>42</v>
      </c>
      <c r="D8" s="16" t="s">
        <v>43</v>
      </c>
    </row>
    <row r="9" spans="1:4" x14ac:dyDescent="0.3">
      <c r="A9" s="15" t="s">
        <v>44</v>
      </c>
      <c r="B9" s="9" t="s">
        <v>41</v>
      </c>
      <c r="C9" s="9" t="s">
        <v>42</v>
      </c>
      <c r="D9" s="16" t="s">
        <v>45</v>
      </c>
    </row>
    <row r="10" spans="1:4" x14ac:dyDescent="0.3">
      <c r="A10" s="15" t="s">
        <v>46</v>
      </c>
      <c r="B10" s="9" t="s">
        <v>41</v>
      </c>
      <c r="C10" s="9" t="s">
        <v>42</v>
      </c>
      <c r="D10" s="16" t="s">
        <v>47</v>
      </c>
    </row>
    <row r="11" spans="1:4" x14ac:dyDescent="0.3">
      <c r="A11" s="15" t="s">
        <v>48</v>
      </c>
      <c r="B11" s="9" t="s">
        <v>41</v>
      </c>
      <c r="C11" s="9" t="s">
        <v>42</v>
      </c>
      <c r="D11" s="16" t="s">
        <v>49</v>
      </c>
    </row>
    <row r="12" spans="1:4" x14ac:dyDescent="0.3">
      <c r="A12" s="15" t="s">
        <v>50</v>
      </c>
      <c r="B12" s="9" t="s">
        <v>51</v>
      </c>
      <c r="C12" s="9" t="s">
        <v>52</v>
      </c>
      <c r="D12" s="16" t="s">
        <v>53</v>
      </c>
    </row>
    <row r="13" spans="1:4" x14ac:dyDescent="0.3">
      <c r="A13" s="15" t="s">
        <v>54</v>
      </c>
      <c r="B13" s="9" t="s">
        <v>55</v>
      </c>
      <c r="C13" s="9" t="s">
        <v>56</v>
      </c>
      <c r="D13" s="16" t="s">
        <v>57</v>
      </c>
    </row>
    <row r="14" spans="1:4" x14ac:dyDescent="0.3">
      <c r="A14" s="15" t="s">
        <v>58</v>
      </c>
      <c r="B14" s="9" t="s">
        <v>59</v>
      </c>
      <c r="C14" s="9" t="s">
        <v>42</v>
      </c>
      <c r="D14" s="16" t="s">
        <v>60</v>
      </c>
    </row>
    <row r="15" spans="1:4" x14ac:dyDescent="0.3">
      <c r="A15" s="17" t="s">
        <v>61</v>
      </c>
      <c r="B15" s="18" t="s">
        <v>62</v>
      </c>
      <c r="C15" s="18" t="s">
        <v>63</v>
      </c>
      <c r="D15" s="19" t="s">
        <v>64</v>
      </c>
    </row>
    <row r="23" spans="7:7" x14ac:dyDescent="0.3">
      <c r="G23" t="s">
        <v>372</v>
      </c>
    </row>
  </sheetData>
  <mergeCells count="2">
    <mergeCell ref="A1:D1"/>
    <mergeCell ref="A2:D2"/>
  </mergeCells>
  <pageMargins left="0.75" right="0.75" top="1" bottom="1" header="0.5" footer="0.5"/>
  <pageSetup fitToHeight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3"/>
  <sheetViews>
    <sheetView showGridLines="0" zoomScale="85" workbookViewId="0">
      <pane ySplit="4" topLeftCell="A5" activePane="bottomLeft" state="frozen"/>
      <selection pane="bottomLeft" sqref="A1:E1"/>
    </sheetView>
  </sheetViews>
  <sheetFormatPr defaultRowHeight="14.4" x14ac:dyDescent="0.3"/>
  <cols>
    <col min="1" max="1" width="24" customWidth="1"/>
    <col min="2" max="2" width="19.109375" customWidth="1"/>
    <col min="3" max="3" width="65" customWidth="1"/>
    <col min="4" max="4" width="42" customWidth="1"/>
    <col min="5" max="5" width="60" customWidth="1"/>
  </cols>
  <sheetData>
    <row r="1" spans="1:5" ht="28.05" customHeight="1" x14ac:dyDescent="0.3">
      <c r="A1" s="7" t="s">
        <v>65</v>
      </c>
      <c r="B1" s="8"/>
      <c r="C1" s="8"/>
      <c r="D1" s="8"/>
      <c r="E1" s="8"/>
    </row>
    <row r="2" spans="1:5" ht="30" customHeight="1" x14ac:dyDescent="0.3">
      <c r="A2" s="4" t="s">
        <v>66</v>
      </c>
      <c r="B2" s="5"/>
      <c r="C2" s="5"/>
      <c r="D2" s="5"/>
      <c r="E2" s="5"/>
    </row>
    <row r="4" spans="1:5" x14ac:dyDescent="0.3">
      <c r="A4" s="10" t="s">
        <v>67</v>
      </c>
      <c r="B4" s="10" t="s">
        <v>68</v>
      </c>
      <c r="C4" s="10" t="s">
        <v>69</v>
      </c>
      <c r="D4" s="10" t="s">
        <v>70</v>
      </c>
      <c r="E4" s="10" t="s">
        <v>71</v>
      </c>
    </row>
    <row r="5" spans="1:5" ht="28.8" x14ac:dyDescent="0.3">
      <c r="A5" s="9" t="s">
        <v>72</v>
      </c>
      <c r="B5" s="9">
        <v>3</v>
      </c>
      <c r="C5" s="9" t="s">
        <v>73</v>
      </c>
      <c r="D5" s="9" t="s">
        <v>74</v>
      </c>
      <c r="E5" s="9" t="s">
        <v>75</v>
      </c>
    </row>
    <row r="6" spans="1:5" ht="43.2" x14ac:dyDescent="0.3">
      <c r="A6" s="9" t="s">
        <v>76</v>
      </c>
      <c r="B6" s="9">
        <v>7</v>
      </c>
      <c r="C6" s="9" t="s">
        <v>77</v>
      </c>
      <c r="D6" s="9" t="s">
        <v>78</v>
      </c>
      <c r="E6" s="9" t="s">
        <v>79</v>
      </c>
    </row>
    <row r="7" spans="1:5" ht="28.8" x14ac:dyDescent="0.3">
      <c r="A7" s="9" t="s">
        <v>80</v>
      </c>
      <c r="B7" s="9">
        <v>5</v>
      </c>
      <c r="C7" s="9" t="s">
        <v>81</v>
      </c>
      <c r="D7" s="9" t="s">
        <v>82</v>
      </c>
      <c r="E7" s="9" t="s">
        <v>83</v>
      </c>
    </row>
    <row r="8" spans="1:5" x14ac:dyDescent="0.3">
      <c r="A8" s="9" t="s">
        <v>84</v>
      </c>
      <c r="B8" s="9">
        <v>33</v>
      </c>
      <c r="C8" s="9" t="s">
        <v>85</v>
      </c>
      <c r="D8" s="9" t="s">
        <v>86</v>
      </c>
      <c r="E8" s="9" t="s">
        <v>87</v>
      </c>
    </row>
    <row r="9" spans="1:5" x14ac:dyDescent="0.3">
      <c r="A9" s="9" t="s">
        <v>88</v>
      </c>
      <c r="B9" s="9">
        <v>30</v>
      </c>
      <c r="C9" s="9" t="s">
        <v>89</v>
      </c>
      <c r="D9" s="9" t="s">
        <v>90</v>
      </c>
      <c r="E9" s="9" t="s">
        <v>91</v>
      </c>
    </row>
    <row r="10" spans="1:5" x14ac:dyDescent="0.3">
      <c r="A10" s="9" t="s">
        <v>92</v>
      </c>
      <c r="B10" s="9" t="s">
        <v>41</v>
      </c>
      <c r="C10" s="9" t="s">
        <v>93</v>
      </c>
      <c r="D10" s="9" t="s">
        <v>94</v>
      </c>
      <c r="E10" s="9" t="s">
        <v>95</v>
      </c>
    </row>
    <row r="11" spans="1:5" ht="28.8" x14ac:dyDescent="0.3">
      <c r="A11" s="9" t="s">
        <v>96</v>
      </c>
      <c r="B11" s="9" t="s">
        <v>41</v>
      </c>
      <c r="C11" s="9" t="s">
        <v>93</v>
      </c>
      <c r="D11" s="9" t="s">
        <v>97</v>
      </c>
      <c r="E11" s="9" t="s">
        <v>98</v>
      </c>
    </row>
    <row r="12" spans="1:5" x14ac:dyDescent="0.3">
      <c r="A12" s="9" t="s">
        <v>99</v>
      </c>
      <c r="B12" s="9" t="s">
        <v>41</v>
      </c>
      <c r="C12" s="9" t="s">
        <v>93</v>
      </c>
      <c r="D12" s="9" t="s">
        <v>100</v>
      </c>
      <c r="E12" s="9" t="s">
        <v>101</v>
      </c>
    </row>
    <row r="13" spans="1:5" x14ac:dyDescent="0.3">
      <c r="A13" s="9" t="s">
        <v>102</v>
      </c>
      <c r="B13" s="9" t="s">
        <v>41</v>
      </c>
      <c r="C13" s="9" t="s">
        <v>93</v>
      </c>
      <c r="D13" s="9" t="s">
        <v>103</v>
      </c>
      <c r="E13" s="9" t="s">
        <v>104</v>
      </c>
    </row>
  </sheetData>
  <mergeCells count="2">
    <mergeCell ref="A2:E2"/>
    <mergeCell ref="A1:E1"/>
  </mergeCells>
  <pageMargins left="0.75" right="0.75" top="1" bottom="1" header="0.5" footer="0.5"/>
  <pageSetup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4"/>
  <sheetViews>
    <sheetView showGridLines="0" zoomScale="85" workbookViewId="0">
      <pane ySplit="4" topLeftCell="A5" activePane="bottomLeft" state="frozen"/>
      <selection pane="bottomLeft" sqref="A1:F1"/>
    </sheetView>
  </sheetViews>
  <sheetFormatPr defaultRowHeight="14.4" x14ac:dyDescent="0.3"/>
  <cols>
    <col min="1" max="1" width="13" customWidth="1"/>
    <col min="2" max="2" width="20" customWidth="1"/>
    <col min="3" max="3" width="42" customWidth="1"/>
    <col min="4" max="4" width="52" customWidth="1"/>
    <col min="5" max="5" width="42" customWidth="1"/>
    <col min="6" max="6" width="15" customWidth="1"/>
  </cols>
  <sheetData>
    <row r="1" spans="1:6" ht="28.05" customHeight="1" x14ac:dyDescent="0.3">
      <c r="A1" s="7" t="s">
        <v>105</v>
      </c>
      <c r="B1" s="8"/>
      <c r="C1" s="8"/>
      <c r="D1" s="8"/>
      <c r="E1" s="8"/>
      <c r="F1" s="8"/>
    </row>
    <row r="2" spans="1:6" ht="30" customHeight="1" x14ac:dyDescent="0.3">
      <c r="A2" s="20" t="s">
        <v>106</v>
      </c>
      <c r="B2" s="8"/>
      <c r="C2" s="8"/>
      <c r="D2" s="8"/>
      <c r="E2" s="8"/>
      <c r="F2" s="8"/>
    </row>
    <row r="4" spans="1:6" x14ac:dyDescent="0.3">
      <c r="A4" s="10" t="s">
        <v>107</v>
      </c>
      <c r="B4" s="10" t="s">
        <v>108</v>
      </c>
      <c r="C4" s="10" t="s">
        <v>109</v>
      </c>
      <c r="D4" s="10" t="s">
        <v>110</v>
      </c>
      <c r="E4" s="10" t="s">
        <v>111</v>
      </c>
      <c r="F4" s="10" t="s">
        <v>112</v>
      </c>
    </row>
    <row r="5" spans="1:6" x14ac:dyDescent="0.3">
      <c r="A5" s="9" t="s">
        <v>113</v>
      </c>
      <c r="B5" s="9" t="s">
        <v>114</v>
      </c>
      <c r="C5" s="9" t="s">
        <v>115</v>
      </c>
      <c r="D5" s="9" t="s">
        <v>116</v>
      </c>
      <c r="E5" s="9" t="s">
        <v>117</v>
      </c>
      <c r="F5" s="9" t="s">
        <v>118</v>
      </c>
    </row>
    <row r="6" spans="1:6" x14ac:dyDescent="0.3">
      <c r="A6" s="9" t="s">
        <v>119</v>
      </c>
      <c r="B6" s="9" t="s">
        <v>114</v>
      </c>
      <c r="C6" s="9" t="s">
        <v>120</v>
      </c>
      <c r="D6" s="9" t="s">
        <v>121</v>
      </c>
      <c r="E6" s="9" t="s">
        <v>122</v>
      </c>
      <c r="F6" s="9" t="s">
        <v>118</v>
      </c>
    </row>
    <row r="7" spans="1:6" x14ac:dyDescent="0.3">
      <c r="A7" s="9" t="s">
        <v>123</v>
      </c>
      <c r="B7" s="9" t="s">
        <v>114</v>
      </c>
      <c r="C7" s="9" t="s">
        <v>124</v>
      </c>
      <c r="D7" s="9" t="s">
        <v>125</v>
      </c>
      <c r="E7" s="9" t="s">
        <v>126</v>
      </c>
      <c r="F7" s="9" t="s">
        <v>127</v>
      </c>
    </row>
    <row r="8" spans="1:6" x14ac:dyDescent="0.3">
      <c r="A8" s="9" t="s">
        <v>128</v>
      </c>
      <c r="B8" s="9" t="s">
        <v>129</v>
      </c>
      <c r="C8" s="9" t="s">
        <v>130</v>
      </c>
      <c r="D8" s="9" t="s">
        <v>131</v>
      </c>
      <c r="E8" s="9" t="s">
        <v>132</v>
      </c>
      <c r="F8" s="9" t="s">
        <v>118</v>
      </c>
    </row>
    <row r="9" spans="1:6" x14ac:dyDescent="0.3">
      <c r="A9" s="9" t="s">
        <v>133</v>
      </c>
      <c r="B9" s="9" t="s">
        <v>129</v>
      </c>
      <c r="C9" s="9" t="s">
        <v>134</v>
      </c>
      <c r="D9" s="9" t="s">
        <v>135</v>
      </c>
      <c r="E9" s="9" t="s">
        <v>136</v>
      </c>
      <c r="F9" s="9" t="s">
        <v>118</v>
      </c>
    </row>
    <row r="10" spans="1:6" x14ac:dyDescent="0.3">
      <c r="A10" s="9" t="s">
        <v>137</v>
      </c>
      <c r="B10" s="9" t="s">
        <v>138</v>
      </c>
      <c r="C10" s="9" t="s">
        <v>139</v>
      </c>
      <c r="D10" s="9" t="s">
        <v>140</v>
      </c>
      <c r="E10" s="9" t="s">
        <v>141</v>
      </c>
      <c r="F10" s="9" t="s">
        <v>118</v>
      </c>
    </row>
    <row r="11" spans="1:6" x14ac:dyDescent="0.3">
      <c r="A11" s="9" t="s">
        <v>142</v>
      </c>
      <c r="B11" s="9" t="s">
        <v>138</v>
      </c>
      <c r="C11" s="9" t="s">
        <v>143</v>
      </c>
      <c r="D11" s="9" t="s">
        <v>144</v>
      </c>
      <c r="E11" s="9" t="s">
        <v>145</v>
      </c>
      <c r="F11" s="9" t="s">
        <v>118</v>
      </c>
    </row>
    <row r="12" spans="1:6" x14ac:dyDescent="0.3">
      <c r="A12" s="9" t="s">
        <v>146</v>
      </c>
      <c r="B12" s="9" t="s">
        <v>138</v>
      </c>
      <c r="C12" s="9" t="s">
        <v>147</v>
      </c>
      <c r="D12" s="9" t="s">
        <v>148</v>
      </c>
      <c r="E12" s="9" t="s">
        <v>149</v>
      </c>
      <c r="F12" s="9" t="s">
        <v>118</v>
      </c>
    </row>
    <row r="13" spans="1:6" x14ac:dyDescent="0.3">
      <c r="A13" s="9" t="s">
        <v>150</v>
      </c>
      <c r="B13" s="9" t="s">
        <v>138</v>
      </c>
      <c r="C13" s="9" t="s">
        <v>151</v>
      </c>
      <c r="D13" s="9" t="s">
        <v>152</v>
      </c>
      <c r="E13" s="9" t="s">
        <v>153</v>
      </c>
      <c r="F13" s="9" t="s">
        <v>118</v>
      </c>
    </row>
    <row r="14" spans="1:6" x14ac:dyDescent="0.3">
      <c r="A14" s="9" t="s">
        <v>154</v>
      </c>
      <c r="B14" s="9" t="s">
        <v>155</v>
      </c>
      <c r="C14" s="9" t="s">
        <v>156</v>
      </c>
      <c r="D14" s="9" t="s">
        <v>157</v>
      </c>
      <c r="E14" s="9" t="s">
        <v>158</v>
      </c>
      <c r="F14" s="9" t="s">
        <v>118</v>
      </c>
    </row>
    <row r="15" spans="1:6" x14ac:dyDescent="0.3">
      <c r="A15" s="9" t="s">
        <v>159</v>
      </c>
      <c r="B15" s="9" t="s">
        <v>155</v>
      </c>
      <c r="C15" s="9" t="s">
        <v>160</v>
      </c>
      <c r="D15" s="9" t="s">
        <v>161</v>
      </c>
      <c r="E15" s="9" t="s">
        <v>162</v>
      </c>
      <c r="F15" s="9" t="s">
        <v>163</v>
      </c>
    </row>
    <row r="16" spans="1:6" x14ac:dyDescent="0.3">
      <c r="A16" s="9" t="s">
        <v>164</v>
      </c>
      <c r="B16" s="9" t="s">
        <v>155</v>
      </c>
      <c r="C16" s="9" t="s">
        <v>165</v>
      </c>
      <c r="D16" s="9" t="s">
        <v>144</v>
      </c>
      <c r="E16" s="9" t="s">
        <v>166</v>
      </c>
      <c r="F16" s="9" t="s">
        <v>118</v>
      </c>
    </row>
    <row r="17" spans="1:6" x14ac:dyDescent="0.3">
      <c r="A17" s="9" t="s">
        <v>167</v>
      </c>
      <c r="B17" s="9" t="s">
        <v>155</v>
      </c>
      <c r="C17" s="9" t="s">
        <v>168</v>
      </c>
      <c r="D17" s="9" t="s">
        <v>169</v>
      </c>
      <c r="E17" s="9" t="s">
        <v>170</v>
      </c>
      <c r="F17" s="9" t="s">
        <v>118</v>
      </c>
    </row>
    <row r="18" spans="1:6" x14ac:dyDescent="0.3">
      <c r="A18" s="9" t="s">
        <v>171</v>
      </c>
      <c r="B18" s="9" t="s">
        <v>155</v>
      </c>
      <c r="C18" s="9" t="s">
        <v>172</v>
      </c>
      <c r="D18" s="9" t="s">
        <v>173</v>
      </c>
      <c r="E18" s="9" t="s">
        <v>174</v>
      </c>
      <c r="F18" s="9" t="s">
        <v>118</v>
      </c>
    </row>
    <row r="19" spans="1:6" x14ac:dyDescent="0.3">
      <c r="A19" s="9" t="s">
        <v>175</v>
      </c>
      <c r="B19" s="9" t="s">
        <v>176</v>
      </c>
      <c r="C19" s="9" t="s">
        <v>177</v>
      </c>
      <c r="D19" s="9" t="s">
        <v>178</v>
      </c>
      <c r="E19" s="9" t="s">
        <v>179</v>
      </c>
      <c r="F19" s="9" t="s">
        <v>163</v>
      </c>
    </row>
    <row r="20" spans="1:6" x14ac:dyDescent="0.3">
      <c r="A20" s="9" t="s">
        <v>180</v>
      </c>
      <c r="B20" s="9" t="s">
        <v>176</v>
      </c>
      <c r="C20" s="9" t="s">
        <v>181</v>
      </c>
      <c r="D20" s="9" t="s">
        <v>182</v>
      </c>
      <c r="E20" s="9" t="s">
        <v>183</v>
      </c>
      <c r="F20" s="9" t="s">
        <v>163</v>
      </c>
    </row>
    <row r="21" spans="1:6" x14ac:dyDescent="0.3">
      <c r="A21" s="9" t="s">
        <v>184</v>
      </c>
      <c r="B21" s="9" t="s">
        <v>185</v>
      </c>
      <c r="C21" s="9" t="s">
        <v>186</v>
      </c>
      <c r="D21" s="9" t="s">
        <v>187</v>
      </c>
      <c r="E21" s="9" t="s">
        <v>188</v>
      </c>
      <c r="F21" s="9" t="s">
        <v>163</v>
      </c>
    </row>
    <row r="22" spans="1:6" x14ac:dyDescent="0.3">
      <c r="A22" s="9" t="s">
        <v>189</v>
      </c>
      <c r="B22" s="9" t="s">
        <v>190</v>
      </c>
      <c r="C22" s="9" t="s">
        <v>191</v>
      </c>
      <c r="D22" s="9" t="s">
        <v>192</v>
      </c>
      <c r="E22" s="9" t="s">
        <v>193</v>
      </c>
      <c r="F22" s="9" t="s">
        <v>163</v>
      </c>
    </row>
    <row r="23" spans="1:6" x14ac:dyDescent="0.3">
      <c r="A23" s="9" t="s">
        <v>194</v>
      </c>
      <c r="B23" s="9" t="s">
        <v>190</v>
      </c>
      <c r="C23" s="9" t="s">
        <v>195</v>
      </c>
      <c r="D23" s="9" t="s">
        <v>196</v>
      </c>
      <c r="E23" s="9" t="s">
        <v>197</v>
      </c>
      <c r="F23" s="9" t="s">
        <v>118</v>
      </c>
    </row>
    <row r="24" spans="1:6" x14ac:dyDescent="0.3">
      <c r="A24" s="9" t="s">
        <v>198</v>
      </c>
      <c r="B24" s="9" t="s">
        <v>190</v>
      </c>
      <c r="C24" s="9" t="s">
        <v>199</v>
      </c>
      <c r="D24" s="9" t="s">
        <v>200</v>
      </c>
      <c r="E24" s="9" t="s">
        <v>197</v>
      </c>
      <c r="F24" s="9" t="s">
        <v>118</v>
      </c>
    </row>
  </sheetData>
  <mergeCells count="2">
    <mergeCell ref="A2:F2"/>
    <mergeCell ref="A1:F1"/>
  </mergeCells>
  <pageMargins left="0.75" right="0.75" top="1" bottom="1" header="0.5" footer="0.5"/>
  <pageSetup fitToHeight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4"/>
  <sheetViews>
    <sheetView showGridLines="0" zoomScale="85" workbookViewId="0">
      <pane ySplit="4" topLeftCell="A5" activePane="bottomLeft" state="frozen"/>
      <selection pane="bottomLeft" sqref="A1:P1"/>
    </sheetView>
  </sheetViews>
  <sheetFormatPr defaultRowHeight="14.4" x14ac:dyDescent="0.3"/>
  <cols>
    <col min="1" max="16" width="22" customWidth="1"/>
  </cols>
  <sheetData>
    <row r="1" spans="1:16" ht="28.05" customHeight="1" x14ac:dyDescent="0.3">
      <c r="A1" s="6" t="s">
        <v>202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30" customHeight="1" x14ac:dyDescent="0.3">
      <c r="A2" s="4" t="s">
        <v>203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4" spans="1:16" x14ac:dyDescent="0.3">
      <c r="A4" s="1" t="s">
        <v>201</v>
      </c>
      <c r="B4" s="1" t="s">
        <v>204</v>
      </c>
      <c r="C4" s="1" t="s">
        <v>205</v>
      </c>
      <c r="D4" s="1" t="s">
        <v>206</v>
      </c>
      <c r="E4" s="1" t="s">
        <v>207</v>
      </c>
      <c r="F4" s="1" t="s">
        <v>208</v>
      </c>
      <c r="G4" s="1" t="s">
        <v>209</v>
      </c>
      <c r="H4" s="1" t="s">
        <v>210</v>
      </c>
      <c r="I4" s="1" t="s">
        <v>211</v>
      </c>
      <c r="J4" s="1" t="s">
        <v>212</v>
      </c>
      <c r="K4" s="1" t="s">
        <v>213</v>
      </c>
      <c r="L4" s="1" t="s">
        <v>214</v>
      </c>
      <c r="M4" s="1" t="s">
        <v>215</v>
      </c>
      <c r="N4" s="1" t="s">
        <v>216</v>
      </c>
      <c r="O4" s="1" t="s">
        <v>217</v>
      </c>
      <c r="P4" s="1" t="s">
        <v>218</v>
      </c>
    </row>
  </sheetData>
  <mergeCells count="2">
    <mergeCell ref="A1:P1"/>
    <mergeCell ref="A2:P2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4"/>
  <sheetViews>
    <sheetView showGridLines="0" zoomScale="85" workbookViewId="0">
      <pane ySplit="4" topLeftCell="A5" activePane="bottomLeft" state="frozen"/>
      <selection pane="bottomLeft" sqref="A1:D1"/>
    </sheetView>
  </sheetViews>
  <sheetFormatPr defaultRowHeight="14.4" x14ac:dyDescent="0.3"/>
  <cols>
    <col min="1" max="4" width="22" customWidth="1"/>
  </cols>
  <sheetData>
    <row r="1" spans="1:4" ht="28.05" customHeight="1" x14ac:dyDescent="0.3">
      <c r="A1" s="6" t="s">
        <v>219</v>
      </c>
      <c r="B1" s="5"/>
      <c r="C1" s="5"/>
      <c r="D1" s="5"/>
    </row>
    <row r="2" spans="1:4" ht="30" customHeight="1" x14ac:dyDescent="0.3">
      <c r="A2" s="4" t="s">
        <v>220</v>
      </c>
      <c r="B2" s="5"/>
      <c r="C2" s="5"/>
      <c r="D2" s="5"/>
    </row>
    <row r="4" spans="1:4" x14ac:dyDescent="0.3">
      <c r="A4" s="1" t="s">
        <v>201</v>
      </c>
      <c r="B4" s="1" t="s">
        <v>221</v>
      </c>
      <c r="C4" s="1" t="s">
        <v>222</v>
      </c>
      <c r="D4" s="1" t="s">
        <v>223</v>
      </c>
    </row>
  </sheetData>
  <mergeCells count="2">
    <mergeCell ref="A1:D1"/>
    <mergeCell ref="A2:D2"/>
  </mergeCells>
  <pageMargins left="0.75" right="0.7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4"/>
  <sheetViews>
    <sheetView showGridLines="0" zoomScale="85" workbookViewId="0">
      <pane ySplit="4" topLeftCell="A5" activePane="bottomLeft" state="frozen"/>
      <selection pane="bottomLeft" sqref="A1:E1"/>
    </sheetView>
  </sheetViews>
  <sheetFormatPr defaultRowHeight="14.4" x14ac:dyDescent="0.3"/>
  <cols>
    <col min="1" max="5" width="22" customWidth="1"/>
  </cols>
  <sheetData>
    <row r="1" spans="1:5" ht="28.05" customHeight="1" x14ac:dyDescent="0.3">
      <c r="A1" s="6" t="s">
        <v>224</v>
      </c>
      <c r="B1" s="5"/>
      <c r="C1" s="5"/>
      <c r="D1" s="5"/>
      <c r="E1" s="5"/>
    </row>
    <row r="2" spans="1:5" ht="30" customHeight="1" x14ac:dyDescent="0.3">
      <c r="A2" s="4" t="s">
        <v>225</v>
      </c>
      <c r="B2" s="5"/>
      <c r="C2" s="5"/>
      <c r="D2" s="5"/>
      <c r="E2" s="5"/>
    </row>
    <row r="4" spans="1:5" x14ac:dyDescent="0.3">
      <c r="A4" s="1" t="s">
        <v>226</v>
      </c>
      <c r="B4" s="1" t="s">
        <v>227</v>
      </c>
      <c r="C4" s="1" t="s">
        <v>222</v>
      </c>
      <c r="D4" s="1" t="s">
        <v>228</v>
      </c>
      <c r="E4" s="1" t="s">
        <v>229</v>
      </c>
    </row>
  </sheetData>
  <mergeCells count="2">
    <mergeCell ref="A2:E2"/>
    <mergeCell ref="A1:E1"/>
  </mergeCells>
  <pageMargins left="0.75" right="0.75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4"/>
  <sheetViews>
    <sheetView showGridLines="0" zoomScale="85" workbookViewId="0">
      <pane ySplit="4" topLeftCell="A5" activePane="bottomLeft" state="frozen"/>
      <selection pane="bottomLeft" sqref="A1:I1"/>
    </sheetView>
  </sheetViews>
  <sheetFormatPr defaultRowHeight="14.4" x14ac:dyDescent="0.3"/>
  <cols>
    <col min="1" max="9" width="22" customWidth="1"/>
  </cols>
  <sheetData>
    <row r="1" spans="1:9" ht="28.05" customHeight="1" x14ac:dyDescent="0.3">
      <c r="A1" s="6" t="s">
        <v>230</v>
      </c>
      <c r="B1" s="5"/>
      <c r="C1" s="5"/>
      <c r="D1" s="5"/>
      <c r="E1" s="5"/>
      <c r="F1" s="5"/>
      <c r="G1" s="5"/>
      <c r="H1" s="5"/>
      <c r="I1" s="5"/>
    </row>
    <row r="2" spans="1:9" ht="30" customHeight="1" x14ac:dyDescent="0.3">
      <c r="A2" s="4" t="s">
        <v>231</v>
      </c>
      <c r="B2" s="5"/>
      <c r="C2" s="5"/>
      <c r="D2" s="5"/>
      <c r="E2" s="5"/>
      <c r="F2" s="5"/>
      <c r="G2" s="5"/>
      <c r="H2" s="5"/>
      <c r="I2" s="5"/>
    </row>
    <row r="4" spans="1:9" x14ac:dyDescent="0.3">
      <c r="A4" s="1" t="s">
        <v>232</v>
      </c>
      <c r="B4" s="1" t="s">
        <v>233</v>
      </c>
      <c r="C4" s="1" t="s">
        <v>226</v>
      </c>
      <c r="D4" s="1" t="s">
        <v>227</v>
      </c>
      <c r="E4" s="1" t="s">
        <v>222</v>
      </c>
      <c r="F4" s="1" t="s">
        <v>234</v>
      </c>
      <c r="G4" s="1" t="s">
        <v>235</v>
      </c>
      <c r="H4" s="1" t="s">
        <v>236</v>
      </c>
      <c r="I4" s="1" t="s">
        <v>237</v>
      </c>
    </row>
  </sheetData>
  <mergeCells count="2">
    <mergeCell ref="A1:I1"/>
    <mergeCell ref="A2:I2"/>
  </mergeCells>
  <pageMargins left="0.75" right="0.75" top="1" bottom="1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4"/>
  <sheetViews>
    <sheetView showGridLines="0" zoomScale="85" workbookViewId="0">
      <pane ySplit="4" topLeftCell="A5" activePane="bottomLeft" state="frozen"/>
      <selection pane="bottomLeft"/>
    </sheetView>
  </sheetViews>
  <sheetFormatPr defaultRowHeight="14.4" x14ac:dyDescent="0.3"/>
  <cols>
    <col min="1" max="6" width="22" customWidth="1"/>
  </cols>
  <sheetData>
    <row r="1" spans="1:6" ht="28.05" customHeight="1" x14ac:dyDescent="0.3">
      <c r="A1" s="6" t="s">
        <v>238</v>
      </c>
      <c r="B1" s="5"/>
      <c r="C1" s="5"/>
      <c r="D1" s="5"/>
      <c r="E1" s="5"/>
      <c r="F1" s="5"/>
    </row>
    <row r="2" spans="1:6" ht="30" customHeight="1" x14ac:dyDescent="0.3">
      <c r="A2" s="4" t="s">
        <v>239</v>
      </c>
      <c r="B2" s="5"/>
      <c r="C2" s="5"/>
      <c r="D2" s="5"/>
      <c r="E2" s="5"/>
      <c r="F2" s="5"/>
    </row>
    <row r="4" spans="1:6" ht="28.8" x14ac:dyDescent="0.3">
      <c r="A4" s="1" t="s">
        <v>240</v>
      </c>
      <c r="B4" s="1" t="s">
        <v>241</v>
      </c>
      <c r="C4" s="1" t="s">
        <v>242</v>
      </c>
      <c r="D4" s="1" t="s">
        <v>235</v>
      </c>
      <c r="E4" s="1" t="s">
        <v>243</v>
      </c>
      <c r="F4" s="1" t="s">
        <v>244</v>
      </c>
    </row>
  </sheetData>
  <mergeCells count="2">
    <mergeCell ref="A2:F2"/>
    <mergeCell ref="A1:F1"/>
  </mergeCells>
  <pageMargins left="0.75" right="0.75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504"/>
  <sheetViews>
    <sheetView showGridLines="0" zoomScale="85" workbookViewId="0">
      <pane ySplit="4" topLeftCell="A5" activePane="bottomLeft" state="frozen"/>
      <selection pane="bottomLeft"/>
    </sheetView>
  </sheetViews>
  <sheetFormatPr defaultRowHeight="14.4" x14ac:dyDescent="0.3"/>
  <cols>
    <col min="1" max="2" width="18" customWidth="1"/>
    <col min="3" max="3" width="22" customWidth="1"/>
    <col min="4" max="4" width="18" customWidth="1"/>
    <col min="5" max="5" width="22" customWidth="1"/>
    <col min="6" max="7" width="20" customWidth="1"/>
    <col min="8" max="8" width="18" customWidth="1"/>
    <col min="9" max="9" width="40" customWidth="1"/>
  </cols>
  <sheetData>
    <row r="1" spans="1:9" ht="28.05" customHeight="1" x14ac:dyDescent="0.3">
      <c r="A1" s="6" t="s">
        <v>245</v>
      </c>
      <c r="B1" s="5"/>
      <c r="C1" s="5"/>
      <c r="D1" s="5"/>
      <c r="E1" s="5"/>
      <c r="F1" s="5"/>
      <c r="G1" s="5"/>
      <c r="H1" s="5"/>
      <c r="I1" s="5"/>
    </row>
    <row r="2" spans="1:9" ht="30" customHeight="1" x14ac:dyDescent="0.3">
      <c r="A2" s="4" t="s">
        <v>246</v>
      </c>
      <c r="B2" s="5"/>
      <c r="C2" s="5"/>
      <c r="D2" s="5"/>
      <c r="E2" s="5"/>
      <c r="F2" s="5"/>
      <c r="G2" s="5"/>
      <c r="H2" s="5"/>
      <c r="I2" s="5"/>
    </row>
    <row r="4" spans="1:9" x14ac:dyDescent="0.3">
      <c r="A4" s="1" t="s">
        <v>247</v>
      </c>
      <c r="B4" s="1" t="s">
        <v>248</v>
      </c>
      <c r="C4" s="1" t="s">
        <v>249</v>
      </c>
      <c r="D4" s="1" t="s">
        <v>250</v>
      </c>
      <c r="E4" s="1" t="s">
        <v>251</v>
      </c>
      <c r="F4" s="1" t="s">
        <v>252</v>
      </c>
      <c r="G4" s="1" t="s">
        <v>253</v>
      </c>
      <c r="H4" s="1" t="s">
        <v>254</v>
      </c>
      <c r="I4" s="1" t="s">
        <v>29</v>
      </c>
    </row>
    <row r="5" spans="1:9" x14ac:dyDescent="0.3">
      <c r="A5" t="e">
        <f>IF(#REF!="","",#REF!)</f>
        <v>#REF!</v>
      </c>
      <c r="B5" t="e">
        <f>IF(A5="","",#REF!)</f>
        <v>#REF!</v>
      </c>
      <c r="C5" t="e">
        <f>IF(A5="","",#REF!)</f>
        <v>#REF!</v>
      </c>
      <c r="D5" t="e">
        <f>IF(A5="","",#REF!)</f>
        <v>#REF!</v>
      </c>
      <c r="E5" t="e">
        <f t="shared" ref="E5:E68" si="0">IF(A5="","",IF(COUNTIF($A$5:$A$504,A5)&gt;1,"Duplicate","Unique"))</f>
        <v>#REF!</v>
      </c>
      <c r="F5" t="e">
        <f t="shared" ref="F5:F68" si="1">IF(A5="","",IF(C5="","Missing Date","Date Present"))</f>
        <v>#REF!</v>
      </c>
      <c r="G5" t="e">
        <f t="shared" ref="G5:G68" si="2">IF(A5="","",IF(OR(E5="Duplicate",F5="Missing Date"),"Review","Pass"))</f>
        <v>#REF!</v>
      </c>
    </row>
    <row r="6" spans="1:9" x14ac:dyDescent="0.3">
      <c r="A6" t="e">
        <f>IF(#REF!="","",#REF!)</f>
        <v>#REF!</v>
      </c>
      <c r="B6" t="e">
        <f>IF(A6="","",#REF!)</f>
        <v>#REF!</v>
      </c>
      <c r="C6" t="e">
        <f>IF(A6="","",#REF!)</f>
        <v>#REF!</v>
      </c>
      <c r="D6" t="e">
        <f>IF(A6="","",#REF!)</f>
        <v>#REF!</v>
      </c>
      <c r="E6" t="e">
        <f t="shared" si="0"/>
        <v>#REF!</v>
      </c>
      <c r="F6" t="e">
        <f t="shared" si="1"/>
        <v>#REF!</v>
      </c>
      <c r="G6" t="e">
        <f t="shared" si="2"/>
        <v>#REF!</v>
      </c>
    </row>
    <row r="7" spans="1:9" x14ac:dyDescent="0.3">
      <c r="A7" t="e">
        <f>IF(#REF!="","",#REF!)</f>
        <v>#REF!</v>
      </c>
      <c r="B7" t="e">
        <f>IF(A7="","",#REF!)</f>
        <v>#REF!</v>
      </c>
      <c r="C7" t="e">
        <f>IF(A7="","",#REF!)</f>
        <v>#REF!</v>
      </c>
      <c r="D7" t="e">
        <f>IF(A7="","",#REF!)</f>
        <v>#REF!</v>
      </c>
      <c r="E7" t="e">
        <f t="shared" si="0"/>
        <v>#REF!</v>
      </c>
      <c r="F7" t="e">
        <f t="shared" si="1"/>
        <v>#REF!</v>
      </c>
      <c r="G7" t="e">
        <f t="shared" si="2"/>
        <v>#REF!</v>
      </c>
    </row>
    <row r="8" spans="1:9" x14ac:dyDescent="0.3">
      <c r="A8" t="e">
        <f>IF(#REF!="","",#REF!)</f>
        <v>#REF!</v>
      </c>
      <c r="B8" t="e">
        <f>IF(A8="","",#REF!)</f>
        <v>#REF!</v>
      </c>
      <c r="C8" t="e">
        <f>IF(A8="","",#REF!)</f>
        <v>#REF!</v>
      </c>
      <c r="D8" t="e">
        <f>IF(A8="","",#REF!)</f>
        <v>#REF!</v>
      </c>
      <c r="E8" t="e">
        <f t="shared" si="0"/>
        <v>#REF!</v>
      </c>
      <c r="F8" t="e">
        <f t="shared" si="1"/>
        <v>#REF!</v>
      </c>
      <c r="G8" t="e">
        <f t="shared" si="2"/>
        <v>#REF!</v>
      </c>
    </row>
    <row r="9" spans="1:9" x14ac:dyDescent="0.3">
      <c r="A9" t="e">
        <f>IF(#REF!="","",#REF!)</f>
        <v>#REF!</v>
      </c>
      <c r="B9" t="e">
        <f>IF(A9="","",#REF!)</f>
        <v>#REF!</v>
      </c>
      <c r="C9" t="e">
        <f>IF(A9="","",#REF!)</f>
        <v>#REF!</v>
      </c>
      <c r="D9" t="e">
        <f>IF(A9="","",#REF!)</f>
        <v>#REF!</v>
      </c>
      <c r="E9" t="e">
        <f t="shared" si="0"/>
        <v>#REF!</v>
      </c>
      <c r="F9" t="e">
        <f t="shared" si="1"/>
        <v>#REF!</v>
      </c>
      <c r="G9" t="e">
        <f t="shared" si="2"/>
        <v>#REF!</v>
      </c>
    </row>
    <row r="10" spans="1:9" x14ac:dyDescent="0.3">
      <c r="A10" t="e">
        <f>IF(#REF!="","",#REF!)</f>
        <v>#REF!</v>
      </c>
      <c r="B10" t="e">
        <f>IF(A10="","",#REF!)</f>
        <v>#REF!</v>
      </c>
      <c r="C10" t="e">
        <f>IF(A10="","",#REF!)</f>
        <v>#REF!</v>
      </c>
      <c r="D10" t="e">
        <f>IF(A10="","",#REF!)</f>
        <v>#REF!</v>
      </c>
      <c r="E10" t="e">
        <f t="shared" si="0"/>
        <v>#REF!</v>
      </c>
      <c r="F10" t="e">
        <f t="shared" si="1"/>
        <v>#REF!</v>
      </c>
      <c r="G10" t="e">
        <f t="shared" si="2"/>
        <v>#REF!</v>
      </c>
    </row>
    <row r="11" spans="1:9" x14ac:dyDescent="0.3">
      <c r="A11" t="e">
        <f>IF(#REF!="","",#REF!)</f>
        <v>#REF!</v>
      </c>
      <c r="B11" t="e">
        <f>IF(A11="","",#REF!)</f>
        <v>#REF!</v>
      </c>
      <c r="C11" t="e">
        <f>IF(A11="","",#REF!)</f>
        <v>#REF!</v>
      </c>
      <c r="D11" t="e">
        <f>IF(A11="","",#REF!)</f>
        <v>#REF!</v>
      </c>
      <c r="E11" t="e">
        <f t="shared" si="0"/>
        <v>#REF!</v>
      </c>
      <c r="F11" t="e">
        <f t="shared" si="1"/>
        <v>#REF!</v>
      </c>
      <c r="G11" t="e">
        <f t="shared" si="2"/>
        <v>#REF!</v>
      </c>
    </row>
    <row r="12" spans="1:9" x14ac:dyDescent="0.3">
      <c r="A12" t="e">
        <f>IF(#REF!="","",#REF!)</f>
        <v>#REF!</v>
      </c>
      <c r="B12" t="e">
        <f>IF(A12="","",#REF!)</f>
        <v>#REF!</v>
      </c>
      <c r="C12" t="e">
        <f>IF(A12="","",#REF!)</f>
        <v>#REF!</v>
      </c>
      <c r="D12" t="e">
        <f>IF(A12="","",#REF!)</f>
        <v>#REF!</v>
      </c>
      <c r="E12" t="e">
        <f t="shared" si="0"/>
        <v>#REF!</v>
      </c>
      <c r="F12" t="e">
        <f t="shared" si="1"/>
        <v>#REF!</v>
      </c>
      <c r="G12" t="e">
        <f t="shared" si="2"/>
        <v>#REF!</v>
      </c>
    </row>
    <row r="13" spans="1:9" x14ac:dyDescent="0.3">
      <c r="A13" t="e">
        <f>IF(#REF!="","",#REF!)</f>
        <v>#REF!</v>
      </c>
      <c r="B13" t="e">
        <f>IF(A13="","",#REF!)</f>
        <v>#REF!</v>
      </c>
      <c r="C13" t="e">
        <f>IF(A13="","",#REF!)</f>
        <v>#REF!</v>
      </c>
      <c r="D13" t="e">
        <f>IF(A13="","",#REF!)</f>
        <v>#REF!</v>
      </c>
      <c r="E13" t="e">
        <f t="shared" si="0"/>
        <v>#REF!</v>
      </c>
      <c r="F13" t="e">
        <f t="shared" si="1"/>
        <v>#REF!</v>
      </c>
      <c r="G13" t="e">
        <f t="shared" si="2"/>
        <v>#REF!</v>
      </c>
    </row>
    <row r="14" spans="1:9" x14ac:dyDescent="0.3">
      <c r="A14" t="e">
        <f>IF(#REF!="","",#REF!)</f>
        <v>#REF!</v>
      </c>
      <c r="B14" t="e">
        <f>IF(A14="","",#REF!)</f>
        <v>#REF!</v>
      </c>
      <c r="C14" t="e">
        <f>IF(A14="","",#REF!)</f>
        <v>#REF!</v>
      </c>
      <c r="D14" t="e">
        <f>IF(A14="","",#REF!)</f>
        <v>#REF!</v>
      </c>
      <c r="E14" t="e">
        <f t="shared" si="0"/>
        <v>#REF!</v>
      </c>
      <c r="F14" t="e">
        <f t="shared" si="1"/>
        <v>#REF!</v>
      </c>
      <c r="G14" t="e">
        <f t="shared" si="2"/>
        <v>#REF!</v>
      </c>
    </row>
    <row r="15" spans="1:9" x14ac:dyDescent="0.3">
      <c r="A15" t="e">
        <f>IF(#REF!="","",#REF!)</f>
        <v>#REF!</v>
      </c>
      <c r="B15" t="e">
        <f>IF(A15="","",#REF!)</f>
        <v>#REF!</v>
      </c>
      <c r="C15" t="e">
        <f>IF(A15="","",#REF!)</f>
        <v>#REF!</v>
      </c>
      <c r="D15" t="e">
        <f>IF(A15="","",#REF!)</f>
        <v>#REF!</v>
      </c>
      <c r="E15" t="e">
        <f t="shared" si="0"/>
        <v>#REF!</v>
      </c>
      <c r="F15" t="e">
        <f t="shared" si="1"/>
        <v>#REF!</v>
      </c>
      <c r="G15" t="e">
        <f t="shared" si="2"/>
        <v>#REF!</v>
      </c>
    </row>
    <row r="16" spans="1:9" x14ac:dyDescent="0.3">
      <c r="A16" t="e">
        <f>IF(#REF!="","",#REF!)</f>
        <v>#REF!</v>
      </c>
      <c r="B16" t="e">
        <f>IF(A16="","",#REF!)</f>
        <v>#REF!</v>
      </c>
      <c r="C16" t="e">
        <f>IF(A16="","",#REF!)</f>
        <v>#REF!</v>
      </c>
      <c r="D16" t="e">
        <f>IF(A16="","",#REF!)</f>
        <v>#REF!</v>
      </c>
      <c r="E16" t="e">
        <f t="shared" si="0"/>
        <v>#REF!</v>
      </c>
      <c r="F16" t="e">
        <f t="shared" si="1"/>
        <v>#REF!</v>
      </c>
      <c r="G16" t="e">
        <f t="shared" si="2"/>
        <v>#REF!</v>
      </c>
    </row>
    <row r="17" spans="1:7" x14ac:dyDescent="0.3">
      <c r="A17" t="e">
        <f>IF(#REF!="","",#REF!)</f>
        <v>#REF!</v>
      </c>
      <c r="B17" t="e">
        <f>IF(A17="","",#REF!)</f>
        <v>#REF!</v>
      </c>
      <c r="C17" t="e">
        <f>IF(A17="","",#REF!)</f>
        <v>#REF!</v>
      </c>
      <c r="D17" t="e">
        <f>IF(A17="","",#REF!)</f>
        <v>#REF!</v>
      </c>
      <c r="E17" t="e">
        <f t="shared" si="0"/>
        <v>#REF!</v>
      </c>
      <c r="F17" t="e">
        <f t="shared" si="1"/>
        <v>#REF!</v>
      </c>
      <c r="G17" t="e">
        <f t="shared" si="2"/>
        <v>#REF!</v>
      </c>
    </row>
    <row r="18" spans="1:7" x14ac:dyDescent="0.3">
      <c r="A18" t="e">
        <f>IF(#REF!="","",#REF!)</f>
        <v>#REF!</v>
      </c>
      <c r="B18" t="e">
        <f>IF(A18="","",#REF!)</f>
        <v>#REF!</v>
      </c>
      <c r="C18" t="e">
        <f>IF(A18="","",#REF!)</f>
        <v>#REF!</v>
      </c>
      <c r="D18" t="e">
        <f>IF(A18="","",#REF!)</f>
        <v>#REF!</v>
      </c>
      <c r="E18" t="e">
        <f t="shared" si="0"/>
        <v>#REF!</v>
      </c>
      <c r="F18" t="e">
        <f t="shared" si="1"/>
        <v>#REF!</v>
      </c>
      <c r="G18" t="e">
        <f t="shared" si="2"/>
        <v>#REF!</v>
      </c>
    </row>
    <row r="19" spans="1:7" x14ac:dyDescent="0.3">
      <c r="A19" t="e">
        <f>IF(#REF!="","",#REF!)</f>
        <v>#REF!</v>
      </c>
      <c r="B19" t="e">
        <f>IF(A19="","",#REF!)</f>
        <v>#REF!</v>
      </c>
      <c r="C19" t="e">
        <f>IF(A19="","",#REF!)</f>
        <v>#REF!</v>
      </c>
      <c r="D19" t="e">
        <f>IF(A19="","",#REF!)</f>
        <v>#REF!</v>
      </c>
      <c r="E19" t="e">
        <f t="shared" si="0"/>
        <v>#REF!</v>
      </c>
      <c r="F19" t="e">
        <f t="shared" si="1"/>
        <v>#REF!</v>
      </c>
      <c r="G19" t="e">
        <f t="shared" si="2"/>
        <v>#REF!</v>
      </c>
    </row>
    <row r="20" spans="1:7" x14ac:dyDescent="0.3">
      <c r="A20" t="e">
        <f>IF(#REF!="","",#REF!)</f>
        <v>#REF!</v>
      </c>
      <c r="B20" t="e">
        <f>IF(A20="","",#REF!)</f>
        <v>#REF!</v>
      </c>
      <c r="C20" t="e">
        <f>IF(A20="","",#REF!)</f>
        <v>#REF!</v>
      </c>
      <c r="D20" t="e">
        <f>IF(A20="","",#REF!)</f>
        <v>#REF!</v>
      </c>
      <c r="E20" t="e">
        <f t="shared" si="0"/>
        <v>#REF!</v>
      </c>
      <c r="F20" t="e">
        <f t="shared" si="1"/>
        <v>#REF!</v>
      </c>
      <c r="G20" t="e">
        <f t="shared" si="2"/>
        <v>#REF!</v>
      </c>
    </row>
    <row r="21" spans="1:7" x14ac:dyDescent="0.3">
      <c r="A21" t="e">
        <f>IF(#REF!="","",#REF!)</f>
        <v>#REF!</v>
      </c>
      <c r="B21" t="e">
        <f>IF(A21="","",#REF!)</f>
        <v>#REF!</v>
      </c>
      <c r="C21" t="e">
        <f>IF(A21="","",#REF!)</f>
        <v>#REF!</v>
      </c>
      <c r="D21" t="e">
        <f>IF(A21="","",#REF!)</f>
        <v>#REF!</v>
      </c>
      <c r="E21" t="e">
        <f t="shared" si="0"/>
        <v>#REF!</v>
      </c>
      <c r="F21" t="e">
        <f t="shared" si="1"/>
        <v>#REF!</v>
      </c>
      <c r="G21" t="e">
        <f t="shared" si="2"/>
        <v>#REF!</v>
      </c>
    </row>
    <row r="22" spans="1:7" x14ac:dyDescent="0.3">
      <c r="A22" t="e">
        <f>IF(#REF!="","",#REF!)</f>
        <v>#REF!</v>
      </c>
      <c r="B22" t="e">
        <f>IF(A22="","",#REF!)</f>
        <v>#REF!</v>
      </c>
      <c r="C22" t="e">
        <f>IF(A22="","",#REF!)</f>
        <v>#REF!</v>
      </c>
      <c r="D22" t="e">
        <f>IF(A22="","",#REF!)</f>
        <v>#REF!</v>
      </c>
      <c r="E22" t="e">
        <f t="shared" si="0"/>
        <v>#REF!</v>
      </c>
      <c r="F22" t="e">
        <f t="shared" si="1"/>
        <v>#REF!</v>
      </c>
      <c r="G22" t="e">
        <f t="shared" si="2"/>
        <v>#REF!</v>
      </c>
    </row>
    <row r="23" spans="1:7" x14ac:dyDescent="0.3">
      <c r="A23" t="e">
        <f>IF(#REF!="","",#REF!)</f>
        <v>#REF!</v>
      </c>
      <c r="B23" t="e">
        <f>IF(A23="","",#REF!)</f>
        <v>#REF!</v>
      </c>
      <c r="C23" t="e">
        <f>IF(A23="","",#REF!)</f>
        <v>#REF!</v>
      </c>
      <c r="D23" t="e">
        <f>IF(A23="","",#REF!)</f>
        <v>#REF!</v>
      </c>
      <c r="E23" t="e">
        <f t="shared" si="0"/>
        <v>#REF!</v>
      </c>
      <c r="F23" t="e">
        <f t="shared" si="1"/>
        <v>#REF!</v>
      </c>
      <c r="G23" t="e">
        <f t="shared" si="2"/>
        <v>#REF!</v>
      </c>
    </row>
    <row r="24" spans="1:7" x14ac:dyDescent="0.3">
      <c r="A24" t="e">
        <f>IF(#REF!="","",#REF!)</f>
        <v>#REF!</v>
      </c>
      <c r="B24" t="e">
        <f>IF(A24="","",#REF!)</f>
        <v>#REF!</v>
      </c>
      <c r="C24" t="e">
        <f>IF(A24="","",#REF!)</f>
        <v>#REF!</v>
      </c>
      <c r="D24" t="e">
        <f>IF(A24="","",#REF!)</f>
        <v>#REF!</v>
      </c>
      <c r="E24" t="e">
        <f t="shared" si="0"/>
        <v>#REF!</v>
      </c>
      <c r="F24" t="e">
        <f t="shared" si="1"/>
        <v>#REF!</v>
      </c>
      <c r="G24" t="e">
        <f t="shared" si="2"/>
        <v>#REF!</v>
      </c>
    </row>
    <row r="25" spans="1:7" x14ac:dyDescent="0.3">
      <c r="A25" t="e">
        <f>IF(#REF!="","",#REF!)</f>
        <v>#REF!</v>
      </c>
      <c r="B25" t="e">
        <f>IF(A25="","",#REF!)</f>
        <v>#REF!</v>
      </c>
      <c r="C25" t="e">
        <f>IF(A25="","",#REF!)</f>
        <v>#REF!</v>
      </c>
      <c r="D25" t="e">
        <f>IF(A25="","",#REF!)</f>
        <v>#REF!</v>
      </c>
      <c r="E25" t="e">
        <f t="shared" si="0"/>
        <v>#REF!</v>
      </c>
      <c r="F25" t="e">
        <f t="shared" si="1"/>
        <v>#REF!</v>
      </c>
      <c r="G25" t="e">
        <f t="shared" si="2"/>
        <v>#REF!</v>
      </c>
    </row>
    <row r="26" spans="1:7" x14ac:dyDescent="0.3">
      <c r="A26" t="e">
        <f>IF(#REF!="","",#REF!)</f>
        <v>#REF!</v>
      </c>
      <c r="B26" t="e">
        <f>IF(A26="","",#REF!)</f>
        <v>#REF!</v>
      </c>
      <c r="C26" t="e">
        <f>IF(A26="","",#REF!)</f>
        <v>#REF!</v>
      </c>
      <c r="D26" t="e">
        <f>IF(A26="","",#REF!)</f>
        <v>#REF!</v>
      </c>
      <c r="E26" t="e">
        <f t="shared" si="0"/>
        <v>#REF!</v>
      </c>
      <c r="F26" t="e">
        <f t="shared" si="1"/>
        <v>#REF!</v>
      </c>
      <c r="G26" t="e">
        <f t="shared" si="2"/>
        <v>#REF!</v>
      </c>
    </row>
    <row r="27" spans="1:7" x14ac:dyDescent="0.3">
      <c r="A27" t="e">
        <f>IF(#REF!="","",#REF!)</f>
        <v>#REF!</v>
      </c>
      <c r="B27" t="e">
        <f>IF(A27="","",#REF!)</f>
        <v>#REF!</v>
      </c>
      <c r="C27" t="e">
        <f>IF(A27="","",#REF!)</f>
        <v>#REF!</v>
      </c>
      <c r="D27" t="e">
        <f>IF(A27="","",#REF!)</f>
        <v>#REF!</v>
      </c>
      <c r="E27" t="e">
        <f t="shared" si="0"/>
        <v>#REF!</v>
      </c>
      <c r="F27" t="e">
        <f t="shared" si="1"/>
        <v>#REF!</v>
      </c>
      <c r="G27" t="e">
        <f t="shared" si="2"/>
        <v>#REF!</v>
      </c>
    </row>
    <row r="28" spans="1:7" x14ac:dyDescent="0.3">
      <c r="A28" t="e">
        <f>IF(#REF!="","",#REF!)</f>
        <v>#REF!</v>
      </c>
      <c r="B28" t="e">
        <f>IF(A28="","",#REF!)</f>
        <v>#REF!</v>
      </c>
      <c r="C28" t="e">
        <f>IF(A28="","",#REF!)</f>
        <v>#REF!</v>
      </c>
      <c r="D28" t="e">
        <f>IF(A28="","",#REF!)</f>
        <v>#REF!</v>
      </c>
      <c r="E28" t="e">
        <f t="shared" si="0"/>
        <v>#REF!</v>
      </c>
      <c r="F28" t="e">
        <f t="shared" si="1"/>
        <v>#REF!</v>
      </c>
      <c r="G28" t="e">
        <f t="shared" si="2"/>
        <v>#REF!</v>
      </c>
    </row>
    <row r="29" spans="1:7" x14ac:dyDescent="0.3">
      <c r="A29" t="e">
        <f>IF(#REF!="","",#REF!)</f>
        <v>#REF!</v>
      </c>
      <c r="B29" t="e">
        <f>IF(A29="","",#REF!)</f>
        <v>#REF!</v>
      </c>
      <c r="C29" t="e">
        <f>IF(A29="","",#REF!)</f>
        <v>#REF!</v>
      </c>
      <c r="D29" t="e">
        <f>IF(A29="","",#REF!)</f>
        <v>#REF!</v>
      </c>
      <c r="E29" t="e">
        <f t="shared" si="0"/>
        <v>#REF!</v>
      </c>
      <c r="F29" t="e">
        <f t="shared" si="1"/>
        <v>#REF!</v>
      </c>
      <c r="G29" t="e">
        <f t="shared" si="2"/>
        <v>#REF!</v>
      </c>
    </row>
    <row r="30" spans="1:7" x14ac:dyDescent="0.3">
      <c r="A30" t="e">
        <f>IF(#REF!="","",#REF!)</f>
        <v>#REF!</v>
      </c>
      <c r="B30" t="e">
        <f>IF(A30="","",#REF!)</f>
        <v>#REF!</v>
      </c>
      <c r="C30" t="e">
        <f>IF(A30="","",#REF!)</f>
        <v>#REF!</v>
      </c>
      <c r="D30" t="e">
        <f>IF(A30="","",#REF!)</f>
        <v>#REF!</v>
      </c>
      <c r="E30" t="e">
        <f t="shared" si="0"/>
        <v>#REF!</v>
      </c>
      <c r="F30" t="e">
        <f t="shared" si="1"/>
        <v>#REF!</v>
      </c>
      <c r="G30" t="e">
        <f t="shared" si="2"/>
        <v>#REF!</v>
      </c>
    </row>
    <row r="31" spans="1:7" x14ac:dyDescent="0.3">
      <c r="A31" t="e">
        <f>IF(#REF!="","",#REF!)</f>
        <v>#REF!</v>
      </c>
      <c r="B31" t="e">
        <f>IF(A31="","",#REF!)</f>
        <v>#REF!</v>
      </c>
      <c r="C31" t="e">
        <f>IF(A31="","",#REF!)</f>
        <v>#REF!</v>
      </c>
      <c r="D31" t="e">
        <f>IF(A31="","",#REF!)</f>
        <v>#REF!</v>
      </c>
      <c r="E31" t="e">
        <f t="shared" si="0"/>
        <v>#REF!</v>
      </c>
      <c r="F31" t="e">
        <f t="shared" si="1"/>
        <v>#REF!</v>
      </c>
      <c r="G31" t="e">
        <f t="shared" si="2"/>
        <v>#REF!</v>
      </c>
    </row>
    <row r="32" spans="1:7" x14ac:dyDescent="0.3">
      <c r="A32" t="e">
        <f>IF(#REF!="","",#REF!)</f>
        <v>#REF!</v>
      </c>
      <c r="B32" t="e">
        <f>IF(A32="","",#REF!)</f>
        <v>#REF!</v>
      </c>
      <c r="C32" t="e">
        <f>IF(A32="","",#REF!)</f>
        <v>#REF!</v>
      </c>
      <c r="D32" t="e">
        <f>IF(A32="","",#REF!)</f>
        <v>#REF!</v>
      </c>
      <c r="E32" t="e">
        <f t="shared" si="0"/>
        <v>#REF!</v>
      </c>
      <c r="F32" t="e">
        <f t="shared" si="1"/>
        <v>#REF!</v>
      </c>
      <c r="G32" t="e">
        <f t="shared" si="2"/>
        <v>#REF!</v>
      </c>
    </row>
    <row r="33" spans="1:7" x14ac:dyDescent="0.3">
      <c r="A33" t="e">
        <f>IF(#REF!="","",#REF!)</f>
        <v>#REF!</v>
      </c>
      <c r="B33" t="e">
        <f>IF(A33="","",#REF!)</f>
        <v>#REF!</v>
      </c>
      <c r="C33" t="e">
        <f>IF(A33="","",#REF!)</f>
        <v>#REF!</v>
      </c>
      <c r="D33" t="e">
        <f>IF(A33="","",#REF!)</f>
        <v>#REF!</v>
      </c>
      <c r="E33" t="e">
        <f t="shared" si="0"/>
        <v>#REF!</v>
      </c>
      <c r="F33" t="e">
        <f t="shared" si="1"/>
        <v>#REF!</v>
      </c>
      <c r="G33" t="e">
        <f t="shared" si="2"/>
        <v>#REF!</v>
      </c>
    </row>
    <row r="34" spans="1:7" x14ac:dyDescent="0.3">
      <c r="A34" t="e">
        <f>IF(#REF!="","",#REF!)</f>
        <v>#REF!</v>
      </c>
      <c r="B34" t="e">
        <f>IF(A34="","",#REF!)</f>
        <v>#REF!</v>
      </c>
      <c r="C34" t="e">
        <f>IF(A34="","",#REF!)</f>
        <v>#REF!</v>
      </c>
      <c r="D34" t="e">
        <f>IF(A34="","",#REF!)</f>
        <v>#REF!</v>
      </c>
      <c r="E34" t="e">
        <f t="shared" si="0"/>
        <v>#REF!</v>
      </c>
      <c r="F34" t="e">
        <f t="shared" si="1"/>
        <v>#REF!</v>
      </c>
      <c r="G34" t="e">
        <f t="shared" si="2"/>
        <v>#REF!</v>
      </c>
    </row>
    <row r="35" spans="1:7" x14ac:dyDescent="0.3">
      <c r="A35" t="e">
        <f>IF(#REF!="","",#REF!)</f>
        <v>#REF!</v>
      </c>
      <c r="B35" t="e">
        <f>IF(A35="","",#REF!)</f>
        <v>#REF!</v>
      </c>
      <c r="C35" t="e">
        <f>IF(A35="","",#REF!)</f>
        <v>#REF!</v>
      </c>
      <c r="D35" t="e">
        <f>IF(A35="","",#REF!)</f>
        <v>#REF!</v>
      </c>
      <c r="E35" t="e">
        <f t="shared" si="0"/>
        <v>#REF!</v>
      </c>
      <c r="F35" t="e">
        <f t="shared" si="1"/>
        <v>#REF!</v>
      </c>
      <c r="G35" t="e">
        <f t="shared" si="2"/>
        <v>#REF!</v>
      </c>
    </row>
    <row r="36" spans="1:7" x14ac:dyDescent="0.3">
      <c r="A36" t="e">
        <f>IF(#REF!="","",#REF!)</f>
        <v>#REF!</v>
      </c>
      <c r="B36" t="e">
        <f>IF(A36="","",#REF!)</f>
        <v>#REF!</v>
      </c>
      <c r="C36" t="e">
        <f>IF(A36="","",#REF!)</f>
        <v>#REF!</v>
      </c>
      <c r="D36" t="e">
        <f>IF(A36="","",#REF!)</f>
        <v>#REF!</v>
      </c>
      <c r="E36" t="e">
        <f t="shared" si="0"/>
        <v>#REF!</v>
      </c>
      <c r="F36" t="e">
        <f t="shared" si="1"/>
        <v>#REF!</v>
      </c>
      <c r="G36" t="e">
        <f t="shared" si="2"/>
        <v>#REF!</v>
      </c>
    </row>
    <row r="37" spans="1:7" x14ac:dyDescent="0.3">
      <c r="A37" t="e">
        <f>IF(#REF!="","",#REF!)</f>
        <v>#REF!</v>
      </c>
      <c r="B37" t="e">
        <f>IF(A37="","",#REF!)</f>
        <v>#REF!</v>
      </c>
      <c r="C37" t="e">
        <f>IF(A37="","",#REF!)</f>
        <v>#REF!</v>
      </c>
      <c r="D37" t="e">
        <f>IF(A37="","",#REF!)</f>
        <v>#REF!</v>
      </c>
      <c r="E37" t="e">
        <f t="shared" si="0"/>
        <v>#REF!</v>
      </c>
      <c r="F37" t="e">
        <f t="shared" si="1"/>
        <v>#REF!</v>
      </c>
      <c r="G37" t="e">
        <f t="shared" si="2"/>
        <v>#REF!</v>
      </c>
    </row>
    <row r="38" spans="1:7" x14ac:dyDescent="0.3">
      <c r="A38" t="e">
        <f>IF(#REF!="","",#REF!)</f>
        <v>#REF!</v>
      </c>
      <c r="B38" t="e">
        <f>IF(A38="","",#REF!)</f>
        <v>#REF!</v>
      </c>
      <c r="C38" t="e">
        <f>IF(A38="","",#REF!)</f>
        <v>#REF!</v>
      </c>
      <c r="D38" t="e">
        <f>IF(A38="","",#REF!)</f>
        <v>#REF!</v>
      </c>
      <c r="E38" t="e">
        <f t="shared" si="0"/>
        <v>#REF!</v>
      </c>
      <c r="F38" t="e">
        <f t="shared" si="1"/>
        <v>#REF!</v>
      </c>
      <c r="G38" t="e">
        <f t="shared" si="2"/>
        <v>#REF!</v>
      </c>
    </row>
    <row r="39" spans="1:7" x14ac:dyDescent="0.3">
      <c r="A39" t="e">
        <f>IF(#REF!="","",#REF!)</f>
        <v>#REF!</v>
      </c>
      <c r="B39" t="e">
        <f>IF(A39="","",#REF!)</f>
        <v>#REF!</v>
      </c>
      <c r="C39" t="e">
        <f>IF(A39="","",#REF!)</f>
        <v>#REF!</v>
      </c>
      <c r="D39" t="e">
        <f>IF(A39="","",#REF!)</f>
        <v>#REF!</v>
      </c>
      <c r="E39" t="e">
        <f t="shared" si="0"/>
        <v>#REF!</v>
      </c>
      <c r="F39" t="e">
        <f t="shared" si="1"/>
        <v>#REF!</v>
      </c>
      <c r="G39" t="e">
        <f t="shared" si="2"/>
        <v>#REF!</v>
      </c>
    </row>
    <row r="40" spans="1:7" x14ac:dyDescent="0.3">
      <c r="A40" t="e">
        <f>IF(#REF!="","",#REF!)</f>
        <v>#REF!</v>
      </c>
      <c r="B40" t="e">
        <f>IF(A40="","",#REF!)</f>
        <v>#REF!</v>
      </c>
      <c r="C40" t="e">
        <f>IF(A40="","",#REF!)</f>
        <v>#REF!</v>
      </c>
      <c r="D40" t="e">
        <f>IF(A40="","",#REF!)</f>
        <v>#REF!</v>
      </c>
      <c r="E40" t="e">
        <f t="shared" si="0"/>
        <v>#REF!</v>
      </c>
      <c r="F40" t="e">
        <f t="shared" si="1"/>
        <v>#REF!</v>
      </c>
      <c r="G40" t="e">
        <f t="shared" si="2"/>
        <v>#REF!</v>
      </c>
    </row>
    <row r="41" spans="1:7" x14ac:dyDescent="0.3">
      <c r="A41" t="e">
        <f>IF(#REF!="","",#REF!)</f>
        <v>#REF!</v>
      </c>
      <c r="B41" t="e">
        <f>IF(A41="","",#REF!)</f>
        <v>#REF!</v>
      </c>
      <c r="C41" t="e">
        <f>IF(A41="","",#REF!)</f>
        <v>#REF!</v>
      </c>
      <c r="D41" t="e">
        <f>IF(A41="","",#REF!)</f>
        <v>#REF!</v>
      </c>
      <c r="E41" t="e">
        <f t="shared" si="0"/>
        <v>#REF!</v>
      </c>
      <c r="F41" t="e">
        <f t="shared" si="1"/>
        <v>#REF!</v>
      </c>
      <c r="G41" t="e">
        <f t="shared" si="2"/>
        <v>#REF!</v>
      </c>
    </row>
    <row r="42" spans="1:7" x14ac:dyDescent="0.3">
      <c r="A42" t="e">
        <f>IF(#REF!="","",#REF!)</f>
        <v>#REF!</v>
      </c>
      <c r="B42" t="e">
        <f>IF(A42="","",#REF!)</f>
        <v>#REF!</v>
      </c>
      <c r="C42" t="e">
        <f>IF(A42="","",#REF!)</f>
        <v>#REF!</v>
      </c>
      <c r="D42" t="e">
        <f>IF(A42="","",#REF!)</f>
        <v>#REF!</v>
      </c>
      <c r="E42" t="e">
        <f t="shared" si="0"/>
        <v>#REF!</v>
      </c>
      <c r="F42" t="e">
        <f t="shared" si="1"/>
        <v>#REF!</v>
      </c>
      <c r="G42" t="e">
        <f t="shared" si="2"/>
        <v>#REF!</v>
      </c>
    </row>
    <row r="43" spans="1:7" x14ac:dyDescent="0.3">
      <c r="A43" t="e">
        <f>IF(#REF!="","",#REF!)</f>
        <v>#REF!</v>
      </c>
      <c r="B43" t="e">
        <f>IF(A43="","",#REF!)</f>
        <v>#REF!</v>
      </c>
      <c r="C43" t="e">
        <f>IF(A43="","",#REF!)</f>
        <v>#REF!</v>
      </c>
      <c r="D43" t="e">
        <f>IF(A43="","",#REF!)</f>
        <v>#REF!</v>
      </c>
      <c r="E43" t="e">
        <f t="shared" si="0"/>
        <v>#REF!</v>
      </c>
      <c r="F43" t="e">
        <f t="shared" si="1"/>
        <v>#REF!</v>
      </c>
      <c r="G43" t="e">
        <f t="shared" si="2"/>
        <v>#REF!</v>
      </c>
    </row>
    <row r="44" spans="1:7" x14ac:dyDescent="0.3">
      <c r="A44" t="e">
        <f>IF(#REF!="","",#REF!)</f>
        <v>#REF!</v>
      </c>
      <c r="B44" t="e">
        <f>IF(A44="","",#REF!)</f>
        <v>#REF!</v>
      </c>
      <c r="C44" t="e">
        <f>IF(A44="","",#REF!)</f>
        <v>#REF!</v>
      </c>
      <c r="D44" t="e">
        <f>IF(A44="","",#REF!)</f>
        <v>#REF!</v>
      </c>
      <c r="E44" t="e">
        <f t="shared" si="0"/>
        <v>#REF!</v>
      </c>
      <c r="F44" t="e">
        <f t="shared" si="1"/>
        <v>#REF!</v>
      </c>
      <c r="G44" t="e">
        <f t="shared" si="2"/>
        <v>#REF!</v>
      </c>
    </row>
    <row r="45" spans="1:7" x14ac:dyDescent="0.3">
      <c r="A45" t="e">
        <f>IF(#REF!="","",#REF!)</f>
        <v>#REF!</v>
      </c>
      <c r="B45" t="e">
        <f>IF(A45="","",#REF!)</f>
        <v>#REF!</v>
      </c>
      <c r="C45" t="e">
        <f>IF(A45="","",#REF!)</f>
        <v>#REF!</v>
      </c>
      <c r="D45" t="e">
        <f>IF(A45="","",#REF!)</f>
        <v>#REF!</v>
      </c>
      <c r="E45" t="e">
        <f t="shared" si="0"/>
        <v>#REF!</v>
      </c>
      <c r="F45" t="e">
        <f t="shared" si="1"/>
        <v>#REF!</v>
      </c>
      <c r="G45" t="e">
        <f t="shared" si="2"/>
        <v>#REF!</v>
      </c>
    </row>
    <row r="46" spans="1:7" x14ac:dyDescent="0.3">
      <c r="A46" t="e">
        <f>IF(#REF!="","",#REF!)</f>
        <v>#REF!</v>
      </c>
      <c r="B46" t="e">
        <f>IF(A46="","",#REF!)</f>
        <v>#REF!</v>
      </c>
      <c r="C46" t="e">
        <f>IF(A46="","",#REF!)</f>
        <v>#REF!</v>
      </c>
      <c r="D46" t="e">
        <f>IF(A46="","",#REF!)</f>
        <v>#REF!</v>
      </c>
      <c r="E46" t="e">
        <f t="shared" si="0"/>
        <v>#REF!</v>
      </c>
      <c r="F46" t="e">
        <f t="shared" si="1"/>
        <v>#REF!</v>
      </c>
      <c r="G46" t="e">
        <f t="shared" si="2"/>
        <v>#REF!</v>
      </c>
    </row>
    <row r="47" spans="1:7" x14ac:dyDescent="0.3">
      <c r="A47" t="e">
        <f>IF(#REF!="","",#REF!)</f>
        <v>#REF!</v>
      </c>
      <c r="B47" t="e">
        <f>IF(A47="","",#REF!)</f>
        <v>#REF!</v>
      </c>
      <c r="C47" t="e">
        <f>IF(A47="","",#REF!)</f>
        <v>#REF!</v>
      </c>
      <c r="D47" t="e">
        <f>IF(A47="","",#REF!)</f>
        <v>#REF!</v>
      </c>
      <c r="E47" t="e">
        <f t="shared" si="0"/>
        <v>#REF!</v>
      </c>
      <c r="F47" t="e">
        <f t="shared" si="1"/>
        <v>#REF!</v>
      </c>
      <c r="G47" t="e">
        <f t="shared" si="2"/>
        <v>#REF!</v>
      </c>
    </row>
    <row r="48" spans="1:7" x14ac:dyDescent="0.3">
      <c r="A48" t="e">
        <f>IF(#REF!="","",#REF!)</f>
        <v>#REF!</v>
      </c>
      <c r="B48" t="e">
        <f>IF(A48="","",#REF!)</f>
        <v>#REF!</v>
      </c>
      <c r="C48" t="e">
        <f>IF(A48="","",#REF!)</f>
        <v>#REF!</v>
      </c>
      <c r="D48" t="e">
        <f>IF(A48="","",#REF!)</f>
        <v>#REF!</v>
      </c>
      <c r="E48" t="e">
        <f t="shared" si="0"/>
        <v>#REF!</v>
      </c>
      <c r="F48" t="e">
        <f t="shared" si="1"/>
        <v>#REF!</v>
      </c>
      <c r="G48" t="e">
        <f t="shared" si="2"/>
        <v>#REF!</v>
      </c>
    </row>
    <row r="49" spans="1:7" x14ac:dyDescent="0.3">
      <c r="A49" t="e">
        <f>IF(#REF!="","",#REF!)</f>
        <v>#REF!</v>
      </c>
      <c r="B49" t="e">
        <f>IF(A49="","",#REF!)</f>
        <v>#REF!</v>
      </c>
      <c r="C49" t="e">
        <f>IF(A49="","",#REF!)</f>
        <v>#REF!</v>
      </c>
      <c r="D49" t="e">
        <f>IF(A49="","",#REF!)</f>
        <v>#REF!</v>
      </c>
      <c r="E49" t="e">
        <f t="shared" si="0"/>
        <v>#REF!</v>
      </c>
      <c r="F49" t="e">
        <f t="shared" si="1"/>
        <v>#REF!</v>
      </c>
      <c r="G49" t="e">
        <f t="shared" si="2"/>
        <v>#REF!</v>
      </c>
    </row>
    <row r="50" spans="1:7" x14ac:dyDescent="0.3">
      <c r="A50" t="e">
        <f>IF(#REF!="","",#REF!)</f>
        <v>#REF!</v>
      </c>
      <c r="B50" t="e">
        <f>IF(A50="","",#REF!)</f>
        <v>#REF!</v>
      </c>
      <c r="C50" t="e">
        <f>IF(A50="","",#REF!)</f>
        <v>#REF!</v>
      </c>
      <c r="D50" t="e">
        <f>IF(A50="","",#REF!)</f>
        <v>#REF!</v>
      </c>
      <c r="E50" t="e">
        <f t="shared" si="0"/>
        <v>#REF!</v>
      </c>
      <c r="F50" t="e">
        <f t="shared" si="1"/>
        <v>#REF!</v>
      </c>
      <c r="G50" t="e">
        <f t="shared" si="2"/>
        <v>#REF!</v>
      </c>
    </row>
    <row r="51" spans="1:7" x14ac:dyDescent="0.3">
      <c r="A51" t="e">
        <f>IF(#REF!="","",#REF!)</f>
        <v>#REF!</v>
      </c>
      <c r="B51" t="e">
        <f>IF(A51="","",#REF!)</f>
        <v>#REF!</v>
      </c>
      <c r="C51" t="e">
        <f>IF(A51="","",#REF!)</f>
        <v>#REF!</v>
      </c>
      <c r="D51" t="e">
        <f>IF(A51="","",#REF!)</f>
        <v>#REF!</v>
      </c>
      <c r="E51" t="e">
        <f t="shared" si="0"/>
        <v>#REF!</v>
      </c>
      <c r="F51" t="e">
        <f t="shared" si="1"/>
        <v>#REF!</v>
      </c>
      <c r="G51" t="e">
        <f t="shared" si="2"/>
        <v>#REF!</v>
      </c>
    </row>
    <row r="52" spans="1:7" x14ac:dyDescent="0.3">
      <c r="A52" t="e">
        <f>IF(#REF!="","",#REF!)</f>
        <v>#REF!</v>
      </c>
      <c r="B52" t="e">
        <f>IF(A52="","",#REF!)</f>
        <v>#REF!</v>
      </c>
      <c r="C52" t="e">
        <f>IF(A52="","",#REF!)</f>
        <v>#REF!</v>
      </c>
      <c r="D52" t="e">
        <f>IF(A52="","",#REF!)</f>
        <v>#REF!</v>
      </c>
      <c r="E52" t="e">
        <f t="shared" si="0"/>
        <v>#REF!</v>
      </c>
      <c r="F52" t="e">
        <f t="shared" si="1"/>
        <v>#REF!</v>
      </c>
      <c r="G52" t="e">
        <f t="shared" si="2"/>
        <v>#REF!</v>
      </c>
    </row>
    <row r="53" spans="1:7" x14ac:dyDescent="0.3">
      <c r="A53" t="e">
        <f>IF(#REF!="","",#REF!)</f>
        <v>#REF!</v>
      </c>
      <c r="B53" t="e">
        <f>IF(A53="","",#REF!)</f>
        <v>#REF!</v>
      </c>
      <c r="C53" t="e">
        <f>IF(A53="","",#REF!)</f>
        <v>#REF!</v>
      </c>
      <c r="D53" t="e">
        <f>IF(A53="","",#REF!)</f>
        <v>#REF!</v>
      </c>
      <c r="E53" t="e">
        <f t="shared" si="0"/>
        <v>#REF!</v>
      </c>
      <c r="F53" t="e">
        <f t="shared" si="1"/>
        <v>#REF!</v>
      </c>
      <c r="G53" t="e">
        <f t="shared" si="2"/>
        <v>#REF!</v>
      </c>
    </row>
    <row r="54" spans="1:7" x14ac:dyDescent="0.3">
      <c r="A54" t="e">
        <f>IF(#REF!="","",#REF!)</f>
        <v>#REF!</v>
      </c>
      <c r="B54" t="e">
        <f>IF(A54="","",#REF!)</f>
        <v>#REF!</v>
      </c>
      <c r="C54" t="e">
        <f>IF(A54="","",#REF!)</f>
        <v>#REF!</v>
      </c>
      <c r="D54" t="e">
        <f>IF(A54="","",#REF!)</f>
        <v>#REF!</v>
      </c>
      <c r="E54" t="e">
        <f t="shared" si="0"/>
        <v>#REF!</v>
      </c>
      <c r="F54" t="e">
        <f t="shared" si="1"/>
        <v>#REF!</v>
      </c>
      <c r="G54" t="e">
        <f t="shared" si="2"/>
        <v>#REF!</v>
      </c>
    </row>
    <row r="55" spans="1:7" x14ac:dyDescent="0.3">
      <c r="A55" t="e">
        <f>IF(#REF!="","",#REF!)</f>
        <v>#REF!</v>
      </c>
      <c r="B55" t="e">
        <f>IF(A55="","",#REF!)</f>
        <v>#REF!</v>
      </c>
      <c r="C55" t="e">
        <f>IF(A55="","",#REF!)</f>
        <v>#REF!</v>
      </c>
      <c r="D55" t="e">
        <f>IF(A55="","",#REF!)</f>
        <v>#REF!</v>
      </c>
      <c r="E55" t="e">
        <f t="shared" si="0"/>
        <v>#REF!</v>
      </c>
      <c r="F55" t="e">
        <f t="shared" si="1"/>
        <v>#REF!</v>
      </c>
      <c r="G55" t="e">
        <f t="shared" si="2"/>
        <v>#REF!</v>
      </c>
    </row>
    <row r="56" spans="1:7" x14ac:dyDescent="0.3">
      <c r="A56" t="e">
        <f>IF(#REF!="","",#REF!)</f>
        <v>#REF!</v>
      </c>
      <c r="B56" t="e">
        <f>IF(A56="","",#REF!)</f>
        <v>#REF!</v>
      </c>
      <c r="C56" t="e">
        <f>IF(A56="","",#REF!)</f>
        <v>#REF!</v>
      </c>
      <c r="D56" t="e">
        <f>IF(A56="","",#REF!)</f>
        <v>#REF!</v>
      </c>
      <c r="E56" t="e">
        <f t="shared" si="0"/>
        <v>#REF!</v>
      </c>
      <c r="F56" t="e">
        <f t="shared" si="1"/>
        <v>#REF!</v>
      </c>
      <c r="G56" t="e">
        <f t="shared" si="2"/>
        <v>#REF!</v>
      </c>
    </row>
    <row r="57" spans="1:7" x14ac:dyDescent="0.3">
      <c r="A57" t="e">
        <f>IF(#REF!="","",#REF!)</f>
        <v>#REF!</v>
      </c>
      <c r="B57" t="e">
        <f>IF(A57="","",#REF!)</f>
        <v>#REF!</v>
      </c>
      <c r="C57" t="e">
        <f>IF(A57="","",#REF!)</f>
        <v>#REF!</v>
      </c>
      <c r="D57" t="e">
        <f>IF(A57="","",#REF!)</f>
        <v>#REF!</v>
      </c>
      <c r="E57" t="e">
        <f t="shared" si="0"/>
        <v>#REF!</v>
      </c>
      <c r="F57" t="e">
        <f t="shared" si="1"/>
        <v>#REF!</v>
      </c>
      <c r="G57" t="e">
        <f t="shared" si="2"/>
        <v>#REF!</v>
      </c>
    </row>
    <row r="58" spans="1:7" x14ac:dyDescent="0.3">
      <c r="A58" t="e">
        <f>IF(#REF!="","",#REF!)</f>
        <v>#REF!</v>
      </c>
      <c r="B58" t="e">
        <f>IF(A58="","",#REF!)</f>
        <v>#REF!</v>
      </c>
      <c r="C58" t="e">
        <f>IF(A58="","",#REF!)</f>
        <v>#REF!</v>
      </c>
      <c r="D58" t="e">
        <f>IF(A58="","",#REF!)</f>
        <v>#REF!</v>
      </c>
      <c r="E58" t="e">
        <f t="shared" si="0"/>
        <v>#REF!</v>
      </c>
      <c r="F58" t="e">
        <f t="shared" si="1"/>
        <v>#REF!</v>
      </c>
      <c r="G58" t="e">
        <f t="shared" si="2"/>
        <v>#REF!</v>
      </c>
    </row>
    <row r="59" spans="1:7" x14ac:dyDescent="0.3">
      <c r="A59" t="e">
        <f>IF(#REF!="","",#REF!)</f>
        <v>#REF!</v>
      </c>
      <c r="B59" t="e">
        <f>IF(A59="","",#REF!)</f>
        <v>#REF!</v>
      </c>
      <c r="C59" t="e">
        <f>IF(A59="","",#REF!)</f>
        <v>#REF!</v>
      </c>
      <c r="D59" t="e">
        <f>IF(A59="","",#REF!)</f>
        <v>#REF!</v>
      </c>
      <c r="E59" t="e">
        <f t="shared" si="0"/>
        <v>#REF!</v>
      </c>
      <c r="F59" t="e">
        <f t="shared" si="1"/>
        <v>#REF!</v>
      </c>
      <c r="G59" t="e">
        <f t="shared" si="2"/>
        <v>#REF!</v>
      </c>
    </row>
    <row r="60" spans="1:7" x14ac:dyDescent="0.3">
      <c r="A60" t="e">
        <f>IF(#REF!="","",#REF!)</f>
        <v>#REF!</v>
      </c>
      <c r="B60" t="e">
        <f>IF(A60="","",#REF!)</f>
        <v>#REF!</v>
      </c>
      <c r="C60" t="e">
        <f>IF(A60="","",#REF!)</f>
        <v>#REF!</v>
      </c>
      <c r="D60" t="e">
        <f>IF(A60="","",#REF!)</f>
        <v>#REF!</v>
      </c>
      <c r="E60" t="e">
        <f t="shared" si="0"/>
        <v>#REF!</v>
      </c>
      <c r="F60" t="e">
        <f t="shared" si="1"/>
        <v>#REF!</v>
      </c>
      <c r="G60" t="e">
        <f t="shared" si="2"/>
        <v>#REF!</v>
      </c>
    </row>
    <row r="61" spans="1:7" x14ac:dyDescent="0.3">
      <c r="A61" t="e">
        <f>IF(#REF!="","",#REF!)</f>
        <v>#REF!</v>
      </c>
      <c r="B61" t="e">
        <f>IF(A61="","",#REF!)</f>
        <v>#REF!</v>
      </c>
      <c r="C61" t="e">
        <f>IF(A61="","",#REF!)</f>
        <v>#REF!</v>
      </c>
      <c r="D61" t="e">
        <f>IF(A61="","",#REF!)</f>
        <v>#REF!</v>
      </c>
      <c r="E61" t="e">
        <f t="shared" si="0"/>
        <v>#REF!</v>
      </c>
      <c r="F61" t="e">
        <f t="shared" si="1"/>
        <v>#REF!</v>
      </c>
      <c r="G61" t="e">
        <f t="shared" si="2"/>
        <v>#REF!</v>
      </c>
    </row>
    <row r="62" spans="1:7" x14ac:dyDescent="0.3">
      <c r="A62" t="e">
        <f>IF(#REF!="","",#REF!)</f>
        <v>#REF!</v>
      </c>
      <c r="B62" t="e">
        <f>IF(A62="","",#REF!)</f>
        <v>#REF!</v>
      </c>
      <c r="C62" t="e">
        <f>IF(A62="","",#REF!)</f>
        <v>#REF!</v>
      </c>
      <c r="D62" t="e">
        <f>IF(A62="","",#REF!)</f>
        <v>#REF!</v>
      </c>
      <c r="E62" t="e">
        <f t="shared" si="0"/>
        <v>#REF!</v>
      </c>
      <c r="F62" t="e">
        <f t="shared" si="1"/>
        <v>#REF!</v>
      </c>
      <c r="G62" t="e">
        <f t="shared" si="2"/>
        <v>#REF!</v>
      </c>
    </row>
    <row r="63" spans="1:7" x14ac:dyDescent="0.3">
      <c r="A63" t="e">
        <f>IF(#REF!="","",#REF!)</f>
        <v>#REF!</v>
      </c>
      <c r="B63" t="e">
        <f>IF(A63="","",#REF!)</f>
        <v>#REF!</v>
      </c>
      <c r="C63" t="e">
        <f>IF(A63="","",#REF!)</f>
        <v>#REF!</v>
      </c>
      <c r="D63" t="e">
        <f>IF(A63="","",#REF!)</f>
        <v>#REF!</v>
      </c>
      <c r="E63" t="e">
        <f t="shared" si="0"/>
        <v>#REF!</v>
      </c>
      <c r="F63" t="e">
        <f t="shared" si="1"/>
        <v>#REF!</v>
      </c>
      <c r="G63" t="e">
        <f t="shared" si="2"/>
        <v>#REF!</v>
      </c>
    </row>
    <row r="64" spans="1:7" x14ac:dyDescent="0.3">
      <c r="A64" t="e">
        <f>IF(#REF!="","",#REF!)</f>
        <v>#REF!</v>
      </c>
      <c r="B64" t="e">
        <f>IF(A64="","",#REF!)</f>
        <v>#REF!</v>
      </c>
      <c r="C64" t="e">
        <f>IF(A64="","",#REF!)</f>
        <v>#REF!</v>
      </c>
      <c r="D64" t="e">
        <f>IF(A64="","",#REF!)</f>
        <v>#REF!</v>
      </c>
      <c r="E64" t="e">
        <f t="shared" si="0"/>
        <v>#REF!</v>
      </c>
      <c r="F64" t="e">
        <f t="shared" si="1"/>
        <v>#REF!</v>
      </c>
      <c r="G64" t="e">
        <f t="shared" si="2"/>
        <v>#REF!</v>
      </c>
    </row>
    <row r="65" spans="1:7" x14ac:dyDescent="0.3">
      <c r="A65" t="e">
        <f>IF(#REF!="","",#REF!)</f>
        <v>#REF!</v>
      </c>
      <c r="B65" t="e">
        <f>IF(A65="","",#REF!)</f>
        <v>#REF!</v>
      </c>
      <c r="C65" t="e">
        <f>IF(A65="","",#REF!)</f>
        <v>#REF!</v>
      </c>
      <c r="D65" t="e">
        <f>IF(A65="","",#REF!)</f>
        <v>#REF!</v>
      </c>
      <c r="E65" t="e">
        <f t="shared" si="0"/>
        <v>#REF!</v>
      </c>
      <c r="F65" t="e">
        <f t="shared" si="1"/>
        <v>#REF!</v>
      </c>
      <c r="G65" t="e">
        <f t="shared" si="2"/>
        <v>#REF!</v>
      </c>
    </row>
    <row r="66" spans="1:7" x14ac:dyDescent="0.3">
      <c r="A66" t="e">
        <f>IF(#REF!="","",#REF!)</f>
        <v>#REF!</v>
      </c>
      <c r="B66" t="e">
        <f>IF(A66="","",#REF!)</f>
        <v>#REF!</v>
      </c>
      <c r="C66" t="e">
        <f>IF(A66="","",#REF!)</f>
        <v>#REF!</v>
      </c>
      <c r="D66" t="e">
        <f>IF(A66="","",#REF!)</f>
        <v>#REF!</v>
      </c>
      <c r="E66" t="e">
        <f t="shared" si="0"/>
        <v>#REF!</v>
      </c>
      <c r="F66" t="e">
        <f t="shared" si="1"/>
        <v>#REF!</v>
      </c>
      <c r="G66" t="e">
        <f t="shared" si="2"/>
        <v>#REF!</v>
      </c>
    </row>
    <row r="67" spans="1:7" x14ac:dyDescent="0.3">
      <c r="A67" t="e">
        <f>IF(#REF!="","",#REF!)</f>
        <v>#REF!</v>
      </c>
      <c r="B67" t="e">
        <f>IF(A67="","",#REF!)</f>
        <v>#REF!</v>
      </c>
      <c r="C67" t="e">
        <f>IF(A67="","",#REF!)</f>
        <v>#REF!</v>
      </c>
      <c r="D67" t="e">
        <f>IF(A67="","",#REF!)</f>
        <v>#REF!</v>
      </c>
      <c r="E67" t="e">
        <f t="shared" si="0"/>
        <v>#REF!</v>
      </c>
      <c r="F67" t="e">
        <f t="shared" si="1"/>
        <v>#REF!</v>
      </c>
      <c r="G67" t="e">
        <f t="shared" si="2"/>
        <v>#REF!</v>
      </c>
    </row>
    <row r="68" spans="1:7" x14ac:dyDescent="0.3">
      <c r="A68" t="e">
        <f>IF(#REF!="","",#REF!)</f>
        <v>#REF!</v>
      </c>
      <c r="B68" t="e">
        <f>IF(A68="","",#REF!)</f>
        <v>#REF!</v>
      </c>
      <c r="C68" t="e">
        <f>IF(A68="","",#REF!)</f>
        <v>#REF!</v>
      </c>
      <c r="D68" t="e">
        <f>IF(A68="","",#REF!)</f>
        <v>#REF!</v>
      </c>
      <c r="E68" t="e">
        <f t="shared" si="0"/>
        <v>#REF!</v>
      </c>
      <c r="F68" t="e">
        <f t="shared" si="1"/>
        <v>#REF!</v>
      </c>
      <c r="G68" t="e">
        <f t="shared" si="2"/>
        <v>#REF!</v>
      </c>
    </row>
    <row r="69" spans="1:7" x14ac:dyDescent="0.3">
      <c r="A69" t="e">
        <f>IF(#REF!="","",#REF!)</f>
        <v>#REF!</v>
      </c>
      <c r="B69" t="e">
        <f>IF(A69="","",#REF!)</f>
        <v>#REF!</v>
      </c>
      <c r="C69" t="e">
        <f>IF(A69="","",#REF!)</f>
        <v>#REF!</v>
      </c>
      <c r="D69" t="e">
        <f>IF(A69="","",#REF!)</f>
        <v>#REF!</v>
      </c>
      <c r="E69" t="e">
        <f t="shared" ref="E69:E132" si="3">IF(A69="","",IF(COUNTIF($A$5:$A$504,A69)&gt;1,"Duplicate","Unique"))</f>
        <v>#REF!</v>
      </c>
      <c r="F69" t="e">
        <f t="shared" ref="F69:F132" si="4">IF(A69="","",IF(C69="","Missing Date","Date Present"))</f>
        <v>#REF!</v>
      </c>
      <c r="G69" t="e">
        <f t="shared" ref="G69:G132" si="5">IF(A69="","",IF(OR(E69="Duplicate",F69="Missing Date"),"Review","Pass"))</f>
        <v>#REF!</v>
      </c>
    </row>
    <row r="70" spans="1:7" x14ac:dyDescent="0.3">
      <c r="A70" t="e">
        <f>IF(#REF!="","",#REF!)</f>
        <v>#REF!</v>
      </c>
      <c r="B70" t="e">
        <f>IF(A70="","",#REF!)</f>
        <v>#REF!</v>
      </c>
      <c r="C70" t="e">
        <f>IF(A70="","",#REF!)</f>
        <v>#REF!</v>
      </c>
      <c r="D70" t="e">
        <f>IF(A70="","",#REF!)</f>
        <v>#REF!</v>
      </c>
      <c r="E70" t="e">
        <f t="shared" si="3"/>
        <v>#REF!</v>
      </c>
      <c r="F70" t="e">
        <f t="shared" si="4"/>
        <v>#REF!</v>
      </c>
      <c r="G70" t="e">
        <f t="shared" si="5"/>
        <v>#REF!</v>
      </c>
    </row>
    <row r="71" spans="1:7" x14ac:dyDescent="0.3">
      <c r="A71" t="e">
        <f>IF(#REF!="","",#REF!)</f>
        <v>#REF!</v>
      </c>
      <c r="B71" t="e">
        <f>IF(A71="","",#REF!)</f>
        <v>#REF!</v>
      </c>
      <c r="C71" t="e">
        <f>IF(A71="","",#REF!)</f>
        <v>#REF!</v>
      </c>
      <c r="D71" t="e">
        <f>IF(A71="","",#REF!)</f>
        <v>#REF!</v>
      </c>
      <c r="E71" t="e">
        <f t="shared" si="3"/>
        <v>#REF!</v>
      </c>
      <c r="F71" t="e">
        <f t="shared" si="4"/>
        <v>#REF!</v>
      </c>
      <c r="G71" t="e">
        <f t="shared" si="5"/>
        <v>#REF!</v>
      </c>
    </row>
    <row r="72" spans="1:7" x14ac:dyDescent="0.3">
      <c r="A72" t="e">
        <f>IF(#REF!="","",#REF!)</f>
        <v>#REF!</v>
      </c>
      <c r="B72" t="e">
        <f>IF(A72="","",#REF!)</f>
        <v>#REF!</v>
      </c>
      <c r="C72" t="e">
        <f>IF(A72="","",#REF!)</f>
        <v>#REF!</v>
      </c>
      <c r="D72" t="e">
        <f>IF(A72="","",#REF!)</f>
        <v>#REF!</v>
      </c>
      <c r="E72" t="e">
        <f t="shared" si="3"/>
        <v>#REF!</v>
      </c>
      <c r="F72" t="e">
        <f t="shared" si="4"/>
        <v>#REF!</v>
      </c>
      <c r="G72" t="e">
        <f t="shared" si="5"/>
        <v>#REF!</v>
      </c>
    </row>
    <row r="73" spans="1:7" x14ac:dyDescent="0.3">
      <c r="A73" t="e">
        <f>IF(#REF!="","",#REF!)</f>
        <v>#REF!</v>
      </c>
      <c r="B73" t="e">
        <f>IF(A73="","",#REF!)</f>
        <v>#REF!</v>
      </c>
      <c r="C73" t="e">
        <f>IF(A73="","",#REF!)</f>
        <v>#REF!</v>
      </c>
      <c r="D73" t="e">
        <f>IF(A73="","",#REF!)</f>
        <v>#REF!</v>
      </c>
      <c r="E73" t="e">
        <f t="shared" si="3"/>
        <v>#REF!</v>
      </c>
      <c r="F73" t="e">
        <f t="shared" si="4"/>
        <v>#REF!</v>
      </c>
      <c r="G73" t="e">
        <f t="shared" si="5"/>
        <v>#REF!</v>
      </c>
    </row>
    <row r="74" spans="1:7" x14ac:dyDescent="0.3">
      <c r="A74" t="e">
        <f>IF(#REF!="","",#REF!)</f>
        <v>#REF!</v>
      </c>
      <c r="B74" t="e">
        <f>IF(A74="","",#REF!)</f>
        <v>#REF!</v>
      </c>
      <c r="C74" t="e">
        <f>IF(A74="","",#REF!)</f>
        <v>#REF!</v>
      </c>
      <c r="D74" t="e">
        <f>IF(A74="","",#REF!)</f>
        <v>#REF!</v>
      </c>
      <c r="E74" t="e">
        <f t="shared" si="3"/>
        <v>#REF!</v>
      </c>
      <c r="F74" t="e">
        <f t="shared" si="4"/>
        <v>#REF!</v>
      </c>
      <c r="G74" t="e">
        <f t="shared" si="5"/>
        <v>#REF!</v>
      </c>
    </row>
    <row r="75" spans="1:7" x14ac:dyDescent="0.3">
      <c r="A75" t="e">
        <f>IF(#REF!="","",#REF!)</f>
        <v>#REF!</v>
      </c>
      <c r="B75" t="e">
        <f>IF(A75="","",#REF!)</f>
        <v>#REF!</v>
      </c>
      <c r="C75" t="e">
        <f>IF(A75="","",#REF!)</f>
        <v>#REF!</v>
      </c>
      <c r="D75" t="e">
        <f>IF(A75="","",#REF!)</f>
        <v>#REF!</v>
      </c>
      <c r="E75" t="e">
        <f t="shared" si="3"/>
        <v>#REF!</v>
      </c>
      <c r="F75" t="e">
        <f t="shared" si="4"/>
        <v>#REF!</v>
      </c>
      <c r="G75" t="e">
        <f t="shared" si="5"/>
        <v>#REF!</v>
      </c>
    </row>
    <row r="76" spans="1:7" x14ac:dyDescent="0.3">
      <c r="A76" t="e">
        <f>IF(#REF!="","",#REF!)</f>
        <v>#REF!</v>
      </c>
      <c r="B76" t="e">
        <f>IF(A76="","",#REF!)</f>
        <v>#REF!</v>
      </c>
      <c r="C76" t="e">
        <f>IF(A76="","",#REF!)</f>
        <v>#REF!</v>
      </c>
      <c r="D76" t="e">
        <f>IF(A76="","",#REF!)</f>
        <v>#REF!</v>
      </c>
      <c r="E76" t="e">
        <f t="shared" si="3"/>
        <v>#REF!</v>
      </c>
      <c r="F76" t="e">
        <f t="shared" si="4"/>
        <v>#REF!</v>
      </c>
      <c r="G76" t="e">
        <f t="shared" si="5"/>
        <v>#REF!</v>
      </c>
    </row>
    <row r="77" spans="1:7" x14ac:dyDescent="0.3">
      <c r="A77" t="e">
        <f>IF(#REF!="","",#REF!)</f>
        <v>#REF!</v>
      </c>
      <c r="B77" t="e">
        <f>IF(A77="","",#REF!)</f>
        <v>#REF!</v>
      </c>
      <c r="C77" t="e">
        <f>IF(A77="","",#REF!)</f>
        <v>#REF!</v>
      </c>
      <c r="D77" t="e">
        <f>IF(A77="","",#REF!)</f>
        <v>#REF!</v>
      </c>
      <c r="E77" t="e">
        <f t="shared" si="3"/>
        <v>#REF!</v>
      </c>
      <c r="F77" t="e">
        <f t="shared" si="4"/>
        <v>#REF!</v>
      </c>
      <c r="G77" t="e">
        <f t="shared" si="5"/>
        <v>#REF!</v>
      </c>
    </row>
    <row r="78" spans="1:7" x14ac:dyDescent="0.3">
      <c r="A78" t="e">
        <f>IF(#REF!="","",#REF!)</f>
        <v>#REF!</v>
      </c>
      <c r="B78" t="e">
        <f>IF(A78="","",#REF!)</f>
        <v>#REF!</v>
      </c>
      <c r="C78" t="e">
        <f>IF(A78="","",#REF!)</f>
        <v>#REF!</v>
      </c>
      <c r="D78" t="e">
        <f>IF(A78="","",#REF!)</f>
        <v>#REF!</v>
      </c>
      <c r="E78" t="e">
        <f t="shared" si="3"/>
        <v>#REF!</v>
      </c>
      <c r="F78" t="e">
        <f t="shared" si="4"/>
        <v>#REF!</v>
      </c>
      <c r="G78" t="e">
        <f t="shared" si="5"/>
        <v>#REF!</v>
      </c>
    </row>
    <row r="79" spans="1:7" x14ac:dyDescent="0.3">
      <c r="A79" t="e">
        <f>IF(#REF!="","",#REF!)</f>
        <v>#REF!</v>
      </c>
      <c r="B79" t="e">
        <f>IF(A79="","",#REF!)</f>
        <v>#REF!</v>
      </c>
      <c r="C79" t="e">
        <f>IF(A79="","",#REF!)</f>
        <v>#REF!</v>
      </c>
      <c r="D79" t="e">
        <f>IF(A79="","",#REF!)</f>
        <v>#REF!</v>
      </c>
      <c r="E79" t="e">
        <f t="shared" si="3"/>
        <v>#REF!</v>
      </c>
      <c r="F79" t="e">
        <f t="shared" si="4"/>
        <v>#REF!</v>
      </c>
      <c r="G79" t="e">
        <f t="shared" si="5"/>
        <v>#REF!</v>
      </c>
    </row>
    <row r="80" spans="1:7" x14ac:dyDescent="0.3">
      <c r="A80" t="e">
        <f>IF(#REF!="","",#REF!)</f>
        <v>#REF!</v>
      </c>
      <c r="B80" t="e">
        <f>IF(A80="","",#REF!)</f>
        <v>#REF!</v>
      </c>
      <c r="C80" t="e">
        <f>IF(A80="","",#REF!)</f>
        <v>#REF!</v>
      </c>
      <c r="D80" t="e">
        <f>IF(A80="","",#REF!)</f>
        <v>#REF!</v>
      </c>
      <c r="E80" t="e">
        <f t="shared" si="3"/>
        <v>#REF!</v>
      </c>
      <c r="F80" t="e">
        <f t="shared" si="4"/>
        <v>#REF!</v>
      </c>
      <c r="G80" t="e">
        <f t="shared" si="5"/>
        <v>#REF!</v>
      </c>
    </row>
    <row r="81" spans="1:7" x14ac:dyDescent="0.3">
      <c r="A81" t="e">
        <f>IF(#REF!="","",#REF!)</f>
        <v>#REF!</v>
      </c>
      <c r="B81" t="e">
        <f>IF(A81="","",#REF!)</f>
        <v>#REF!</v>
      </c>
      <c r="C81" t="e">
        <f>IF(A81="","",#REF!)</f>
        <v>#REF!</v>
      </c>
      <c r="D81" t="e">
        <f>IF(A81="","",#REF!)</f>
        <v>#REF!</v>
      </c>
      <c r="E81" t="e">
        <f t="shared" si="3"/>
        <v>#REF!</v>
      </c>
      <c r="F81" t="e">
        <f t="shared" si="4"/>
        <v>#REF!</v>
      </c>
      <c r="G81" t="e">
        <f t="shared" si="5"/>
        <v>#REF!</v>
      </c>
    </row>
    <row r="82" spans="1:7" x14ac:dyDescent="0.3">
      <c r="A82" t="e">
        <f>IF(#REF!="","",#REF!)</f>
        <v>#REF!</v>
      </c>
      <c r="B82" t="e">
        <f>IF(A82="","",#REF!)</f>
        <v>#REF!</v>
      </c>
      <c r="C82" t="e">
        <f>IF(A82="","",#REF!)</f>
        <v>#REF!</v>
      </c>
      <c r="D82" t="e">
        <f>IF(A82="","",#REF!)</f>
        <v>#REF!</v>
      </c>
      <c r="E82" t="e">
        <f t="shared" si="3"/>
        <v>#REF!</v>
      </c>
      <c r="F82" t="e">
        <f t="shared" si="4"/>
        <v>#REF!</v>
      </c>
      <c r="G82" t="e">
        <f t="shared" si="5"/>
        <v>#REF!</v>
      </c>
    </row>
    <row r="83" spans="1:7" x14ac:dyDescent="0.3">
      <c r="A83" t="e">
        <f>IF(#REF!="","",#REF!)</f>
        <v>#REF!</v>
      </c>
      <c r="B83" t="e">
        <f>IF(A83="","",#REF!)</f>
        <v>#REF!</v>
      </c>
      <c r="C83" t="e">
        <f>IF(A83="","",#REF!)</f>
        <v>#REF!</v>
      </c>
      <c r="D83" t="e">
        <f>IF(A83="","",#REF!)</f>
        <v>#REF!</v>
      </c>
      <c r="E83" t="e">
        <f t="shared" si="3"/>
        <v>#REF!</v>
      </c>
      <c r="F83" t="e">
        <f t="shared" si="4"/>
        <v>#REF!</v>
      </c>
      <c r="G83" t="e">
        <f t="shared" si="5"/>
        <v>#REF!</v>
      </c>
    </row>
    <row r="84" spans="1:7" x14ac:dyDescent="0.3">
      <c r="A84" t="e">
        <f>IF(#REF!="","",#REF!)</f>
        <v>#REF!</v>
      </c>
      <c r="B84" t="e">
        <f>IF(A84="","",#REF!)</f>
        <v>#REF!</v>
      </c>
      <c r="C84" t="e">
        <f>IF(A84="","",#REF!)</f>
        <v>#REF!</v>
      </c>
      <c r="D84" t="e">
        <f>IF(A84="","",#REF!)</f>
        <v>#REF!</v>
      </c>
      <c r="E84" t="e">
        <f t="shared" si="3"/>
        <v>#REF!</v>
      </c>
      <c r="F84" t="e">
        <f t="shared" si="4"/>
        <v>#REF!</v>
      </c>
      <c r="G84" t="e">
        <f t="shared" si="5"/>
        <v>#REF!</v>
      </c>
    </row>
    <row r="85" spans="1:7" x14ac:dyDescent="0.3">
      <c r="A85" t="e">
        <f>IF(#REF!="","",#REF!)</f>
        <v>#REF!</v>
      </c>
      <c r="B85" t="e">
        <f>IF(A85="","",#REF!)</f>
        <v>#REF!</v>
      </c>
      <c r="C85" t="e">
        <f>IF(A85="","",#REF!)</f>
        <v>#REF!</v>
      </c>
      <c r="D85" t="e">
        <f>IF(A85="","",#REF!)</f>
        <v>#REF!</v>
      </c>
      <c r="E85" t="e">
        <f t="shared" si="3"/>
        <v>#REF!</v>
      </c>
      <c r="F85" t="e">
        <f t="shared" si="4"/>
        <v>#REF!</v>
      </c>
      <c r="G85" t="e">
        <f t="shared" si="5"/>
        <v>#REF!</v>
      </c>
    </row>
    <row r="86" spans="1:7" x14ac:dyDescent="0.3">
      <c r="A86" t="e">
        <f>IF(#REF!="","",#REF!)</f>
        <v>#REF!</v>
      </c>
      <c r="B86" t="e">
        <f>IF(A86="","",#REF!)</f>
        <v>#REF!</v>
      </c>
      <c r="C86" t="e">
        <f>IF(A86="","",#REF!)</f>
        <v>#REF!</v>
      </c>
      <c r="D86" t="e">
        <f>IF(A86="","",#REF!)</f>
        <v>#REF!</v>
      </c>
      <c r="E86" t="e">
        <f t="shared" si="3"/>
        <v>#REF!</v>
      </c>
      <c r="F86" t="e">
        <f t="shared" si="4"/>
        <v>#REF!</v>
      </c>
      <c r="G86" t="e">
        <f t="shared" si="5"/>
        <v>#REF!</v>
      </c>
    </row>
    <row r="87" spans="1:7" x14ac:dyDescent="0.3">
      <c r="A87" t="e">
        <f>IF(#REF!="","",#REF!)</f>
        <v>#REF!</v>
      </c>
      <c r="B87" t="e">
        <f>IF(A87="","",#REF!)</f>
        <v>#REF!</v>
      </c>
      <c r="C87" t="e">
        <f>IF(A87="","",#REF!)</f>
        <v>#REF!</v>
      </c>
      <c r="D87" t="e">
        <f>IF(A87="","",#REF!)</f>
        <v>#REF!</v>
      </c>
      <c r="E87" t="e">
        <f t="shared" si="3"/>
        <v>#REF!</v>
      </c>
      <c r="F87" t="e">
        <f t="shared" si="4"/>
        <v>#REF!</v>
      </c>
      <c r="G87" t="e">
        <f t="shared" si="5"/>
        <v>#REF!</v>
      </c>
    </row>
    <row r="88" spans="1:7" x14ac:dyDescent="0.3">
      <c r="A88" t="e">
        <f>IF(#REF!="","",#REF!)</f>
        <v>#REF!</v>
      </c>
      <c r="B88" t="e">
        <f>IF(A88="","",#REF!)</f>
        <v>#REF!</v>
      </c>
      <c r="C88" t="e">
        <f>IF(A88="","",#REF!)</f>
        <v>#REF!</v>
      </c>
      <c r="D88" t="e">
        <f>IF(A88="","",#REF!)</f>
        <v>#REF!</v>
      </c>
      <c r="E88" t="e">
        <f t="shared" si="3"/>
        <v>#REF!</v>
      </c>
      <c r="F88" t="e">
        <f t="shared" si="4"/>
        <v>#REF!</v>
      </c>
      <c r="G88" t="e">
        <f t="shared" si="5"/>
        <v>#REF!</v>
      </c>
    </row>
    <row r="89" spans="1:7" x14ac:dyDescent="0.3">
      <c r="A89" t="e">
        <f>IF(#REF!="","",#REF!)</f>
        <v>#REF!</v>
      </c>
      <c r="B89" t="e">
        <f>IF(A89="","",#REF!)</f>
        <v>#REF!</v>
      </c>
      <c r="C89" t="e">
        <f>IF(A89="","",#REF!)</f>
        <v>#REF!</v>
      </c>
      <c r="D89" t="e">
        <f>IF(A89="","",#REF!)</f>
        <v>#REF!</v>
      </c>
      <c r="E89" t="e">
        <f t="shared" si="3"/>
        <v>#REF!</v>
      </c>
      <c r="F89" t="e">
        <f t="shared" si="4"/>
        <v>#REF!</v>
      </c>
      <c r="G89" t="e">
        <f t="shared" si="5"/>
        <v>#REF!</v>
      </c>
    </row>
    <row r="90" spans="1:7" x14ac:dyDescent="0.3">
      <c r="A90" t="e">
        <f>IF(#REF!="","",#REF!)</f>
        <v>#REF!</v>
      </c>
      <c r="B90" t="e">
        <f>IF(A90="","",#REF!)</f>
        <v>#REF!</v>
      </c>
      <c r="C90" t="e">
        <f>IF(A90="","",#REF!)</f>
        <v>#REF!</v>
      </c>
      <c r="D90" t="e">
        <f>IF(A90="","",#REF!)</f>
        <v>#REF!</v>
      </c>
      <c r="E90" t="e">
        <f t="shared" si="3"/>
        <v>#REF!</v>
      </c>
      <c r="F90" t="e">
        <f t="shared" si="4"/>
        <v>#REF!</v>
      </c>
      <c r="G90" t="e">
        <f t="shared" si="5"/>
        <v>#REF!</v>
      </c>
    </row>
    <row r="91" spans="1:7" x14ac:dyDescent="0.3">
      <c r="A91" t="e">
        <f>IF(#REF!="","",#REF!)</f>
        <v>#REF!</v>
      </c>
      <c r="B91" t="e">
        <f>IF(A91="","",#REF!)</f>
        <v>#REF!</v>
      </c>
      <c r="C91" t="e">
        <f>IF(A91="","",#REF!)</f>
        <v>#REF!</v>
      </c>
      <c r="D91" t="e">
        <f>IF(A91="","",#REF!)</f>
        <v>#REF!</v>
      </c>
      <c r="E91" t="e">
        <f t="shared" si="3"/>
        <v>#REF!</v>
      </c>
      <c r="F91" t="e">
        <f t="shared" si="4"/>
        <v>#REF!</v>
      </c>
      <c r="G91" t="e">
        <f t="shared" si="5"/>
        <v>#REF!</v>
      </c>
    </row>
    <row r="92" spans="1:7" x14ac:dyDescent="0.3">
      <c r="A92" t="e">
        <f>IF(#REF!="","",#REF!)</f>
        <v>#REF!</v>
      </c>
      <c r="B92" t="e">
        <f>IF(A92="","",#REF!)</f>
        <v>#REF!</v>
      </c>
      <c r="C92" t="e">
        <f>IF(A92="","",#REF!)</f>
        <v>#REF!</v>
      </c>
      <c r="D92" t="e">
        <f>IF(A92="","",#REF!)</f>
        <v>#REF!</v>
      </c>
      <c r="E92" t="e">
        <f t="shared" si="3"/>
        <v>#REF!</v>
      </c>
      <c r="F92" t="e">
        <f t="shared" si="4"/>
        <v>#REF!</v>
      </c>
      <c r="G92" t="e">
        <f t="shared" si="5"/>
        <v>#REF!</v>
      </c>
    </row>
    <row r="93" spans="1:7" x14ac:dyDescent="0.3">
      <c r="A93" t="e">
        <f>IF(#REF!="","",#REF!)</f>
        <v>#REF!</v>
      </c>
      <c r="B93" t="e">
        <f>IF(A93="","",#REF!)</f>
        <v>#REF!</v>
      </c>
      <c r="C93" t="e">
        <f>IF(A93="","",#REF!)</f>
        <v>#REF!</v>
      </c>
      <c r="D93" t="e">
        <f>IF(A93="","",#REF!)</f>
        <v>#REF!</v>
      </c>
      <c r="E93" t="e">
        <f t="shared" si="3"/>
        <v>#REF!</v>
      </c>
      <c r="F93" t="e">
        <f t="shared" si="4"/>
        <v>#REF!</v>
      </c>
      <c r="G93" t="e">
        <f t="shared" si="5"/>
        <v>#REF!</v>
      </c>
    </row>
    <row r="94" spans="1:7" x14ac:dyDescent="0.3">
      <c r="A94" t="e">
        <f>IF(#REF!="","",#REF!)</f>
        <v>#REF!</v>
      </c>
      <c r="B94" t="e">
        <f>IF(A94="","",#REF!)</f>
        <v>#REF!</v>
      </c>
      <c r="C94" t="e">
        <f>IF(A94="","",#REF!)</f>
        <v>#REF!</v>
      </c>
      <c r="D94" t="e">
        <f>IF(A94="","",#REF!)</f>
        <v>#REF!</v>
      </c>
      <c r="E94" t="e">
        <f t="shared" si="3"/>
        <v>#REF!</v>
      </c>
      <c r="F94" t="e">
        <f t="shared" si="4"/>
        <v>#REF!</v>
      </c>
      <c r="G94" t="e">
        <f t="shared" si="5"/>
        <v>#REF!</v>
      </c>
    </row>
    <row r="95" spans="1:7" x14ac:dyDescent="0.3">
      <c r="A95" t="e">
        <f>IF(#REF!="","",#REF!)</f>
        <v>#REF!</v>
      </c>
      <c r="B95" t="e">
        <f>IF(A95="","",#REF!)</f>
        <v>#REF!</v>
      </c>
      <c r="C95" t="e">
        <f>IF(A95="","",#REF!)</f>
        <v>#REF!</v>
      </c>
      <c r="D95" t="e">
        <f>IF(A95="","",#REF!)</f>
        <v>#REF!</v>
      </c>
      <c r="E95" t="e">
        <f t="shared" si="3"/>
        <v>#REF!</v>
      </c>
      <c r="F95" t="e">
        <f t="shared" si="4"/>
        <v>#REF!</v>
      </c>
      <c r="G95" t="e">
        <f t="shared" si="5"/>
        <v>#REF!</v>
      </c>
    </row>
    <row r="96" spans="1:7" x14ac:dyDescent="0.3">
      <c r="A96" t="e">
        <f>IF(#REF!="","",#REF!)</f>
        <v>#REF!</v>
      </c>
      <c r="B96" t="e">
        <f>IF(A96="","",#REF!)</f>
        <v>#REF!</v>
      </c>
      <c r="C96" t="e">
        <f>IF(A96="","",#REF!)</f>
        <v>#REF!</v>
      </c>
      <c r="D96" t="e">
        <f>IF(A96="","",#REF!)</f>
        <v>#REF!</v>
      </c>
      <c r="E96" t="e">
        <f t="shared" si="3"/>
        <v>#REF!</v>
      </c>
      <c r="F96" t="e">
        <f t="shared" si="4"/>
        <v>#REF!</v>
      </c>
      <c r="G96" t="e">
        <f t="shared" si="5"/>
        <v>#REF!</v>
      </c>
    </row>
    <row r="97" spans="1:7" x14ac:dyDescent="0.3">
      <c r="A97" t="e">
        <f>IF(#REF!="","",#REF!)</f>
        <v>#REF!</v>
      </c>
      <c r="B97" t="e">
        <f>IF(A97="","",#REF!)</f>
        <v>#REF!</v>
      </c>
      <c r="C97" t="e">
        <f>IF(A97="","",#REF!)</f>
        <v>#REF!</v>
      </c>
      <c r="D97" t="e">
        <f>IF(A97="","",#REF!)</f>
        <v>#REF!</v>
      </c>
      <c r="E97" t="e">
        <f t="shared" si="3"/>
        <v>#REF!</v>
      </c>
      <c r="F97" t="e">
        <f t="shared" si="4"/>
        <v>#REF!</v>
      </c>
      <c r="G97" t="e">
        <f t="shared" si="5"/>
        <v>#REF!</v>
      </c>
    </row>
    <row r="98" spans="1:7" x14ac:dyDescent="0.3">
      <c r="A98" t="e">
        <f>IF(#REF!="","",#REF!)</f>
        <v>#REF!</v>
      </c>
      <c r="B98" t="e">
        <f>IF(A98="","",#REF!)</f>
        <v>#REF!</v>
      </c>
      <c r="C98" t="e">
        <f>IF(A98="","",#REF!)</f>
        <v>#REF!</v>
      </c>
      <c r="D98" t="e">
        <f>IF(A98="","",#REF!)</f>
        <v>#REF!</v>
      </c>
      <c r="E98" t="e">
        <f t="shared" si="3"/>
        <v>#REF!</v>
      </c>
      <c r="F98" t="e">
        <f t="shared" si="4"/>
        <v>#REF!</v>
      </c>
      <c r="G98" t="e">
        <f t="shared" si="5"/>
        <v>#REF!</v>
      </c>
    </row>
    <row r="99" spans="1:7" x14ac:dyDescent="0.3">
      <c r="A99" t="e">
        <f>IF(#REF!="","",#REF!)</f>
        <v>#REF!</v>
      </c>
      <c r="B99" t="e">
        <f>IF(A99="","",#REF!)</f>
        <v>#REF!</v>
      </c>
      <c r="C99" t="e">
        <f>IF(A99="","",#REF!)</f>
        <v>#REF!</v>
      </c>
      <c r="D99" t="e">
        <f>IF(A99="","",#REF!)</f>
        <v>#REF!</v>
      </c>
      <c r="E99" t="e">
        <f t="shared" si="3"/>
        <v>#REF!</v>
      </c>
      <c r="F99" t="e">
        <f t="shared" si="4"/>
        <v>#REF!</v>
      </c>
      <c r="G99" t="e">
        <f t="shared" si="5"/>
        <v>#REF!</v>
      </c>
    </row>
    <row r="100" spans="1:7" x14ac:dyDescent="0.3">
      <c r="A100" t="e">
        <f>IF(#REF!="","",#REF!)</f>
        <v>#REF!</v>
      </c>
      <c r="B100" t="e">
        <f>IF(A100="","",#REF!)</f>
        <v>#REF!</v>
      </c>
      <c r="C100" t="e">
        <f>IF(A100="","",#REF!)</f>
        <v>#REF!</v>
      </c>
      <c r="D100" t="e">
        <f>IF(A100="","",#REF!)</f>
        <v>#REF!</v>
      </c>
      <c r="E100" t="e">
        <f t="shared" si="3"/>
        <v>#REF!</v>
      </c>
      <c r="F100" t="e">
        <f t="shared" si="4"/>
        <v>#REF!</v>
      </c>
      <c r="G100" t="e">
        <f t="shared" si="5"/>
        <v>#REF!</v>
      </c>
    </row>
    <row r="101" spans="1:7" x14ac:dyDescent="0.3">
      <c r="A101" t="e">
        <f>IF(#REF!="","",#REF!)</f>
        <v>#REF!</v>
      </c>
      <c r="B101" t="e">
        <f>IF(A101="","",#REF!)</f>
        <v>#REF!</v>
      </c>
      <c r="C101" t="e">
        <f>IF(A101="","",#REF!)</f>
        <v>#REF!</v>
      </c>
      <c r="D101" t="e">
        <f>IF(A101="","",#REF!)</f>
        <v>#REF!</v>
      </c>
      <c r="E101" t="e">
        <f t="shared" si="3"/>
        <v>#REF!</v>
      </c>
      <c r="F101" t="e">
        <f t="shared" si="4"/>
        <v>#REF!</v>
      </c>
      <c r="G101" t="e">
        <f t="shared" si="5"/>
        <v>#REF!</v>
      </c>
    </row>
    <row r="102" spans="1:7" x14ac:dyDescent="0.3">
      <c r="A102" t="e">
        <f>IF(#REF!="","",#REF!)</f>
        <v>#REF!</v>
      </c>
      <c r="B102" t="e">
        <f>IF(A102="","",#REF!)</f>
        <v>#REF!</v>
      </c>
      <c r="C102" t="e">
        <f>IF(A102="","",#REF!)</f>
        <v>#REF!</v>
      </c>
      <c r="D102" t="e">
        <f>IF(A102="","",#REF!)</f>
        <v>#REF!</v>
      </c>
      <c r="E102" t="e">
        <f t="shared" si="3"/>
        <v>#REF!</v>
      </c>
      <c r="F102" t="e">
        <f t="shared" si="4"/>
        <v>#REF!</v>
      </c>
      <c r="G102" t="e">
        <f t="shared" si="5"/>
        <v>#REF!</v>
      </c>
    </row>
    <row r="103" spans="1:7" x14ac:dyDescent="0.3">
      <c r="A103" t="e">
        <f>IF(#REF!="","",#REF!)</f>
        <v>#REF!</v>
      </c>
      <c r="B103" t="e">
        <f>IF(A103="","",#REF!)</f>
        <v>#REF!</v>
      </c>
      <c r="C103" t="e">
        <f>IF(A103="","",#REF!)</f>
        <v>#REF!</v>
      </c>
      <c r="D103" t="e">
        <f>IF(A103="","",#REF!)</f>
        <v>#REF!</v>
      </c>
      <c r="E103" t="e">
        <f t="shared" si="3"/>
        <v>#REF!</v>
      </c>
      <c r="F103" t="e">
        <f t="shared" si="4"/>
        <v>#REF!</v>
      </c>
      <c r="G103" t="e">
        <f t="shared" si="5"/>
        <v>#REF!</v>
      </c>
    </row>
    <row r="104" spans="1:7" x14ac:dyDescent="0.3">
      <c r="A104" t="e">
        <f>IF(#REF!="","",#REF!)</f>
        <v>#REF!</v>
      </c>
      <c r="B104" t="e">
        <f>IF(A104="","",#REF!)</f>
        <v>#REF!</v>
      </c>
      <c r="C104" t="e">
        <f>IF(A104="","",#REF!)</f>
        <v>#REF!</v>
      </c>
      <c r="D104" t="e">
        <f>IF(A104="","",#REF!)</f>
        <v>#REF!</v>
      </c>
      <c r="E104" t="e">
        <f t="shared" si="3"/>
        <v>#REF!</v>
      </c>
      <c r="F104" t="e">
        <f t="shared" si="4"/>
        <v>#REF!</v>
      </c>
      <c r="G104" t="e">
        <f t="shared" si="5"/>
        <v>#REF!</v>
      </c>
    </row>
    <row r="105" spans="1:7" x14ac:dyDescent="0.3">
      <c r="A105" t="e">
        <f>IF(#REF!="","",#REF!)</f>
        <v>#REF!</v>
      </c>
      <c r="B105" t="e">
        <f>IF(A105="","",#REF!)</f>
        <v>#REF!</v>
      </c>
      <c r="C105" t="e">
        <f>IF(A105="","",#REF!)</f>
        <v>#REF!</v>
      </c>
      <c r="D105" t="e">
        <f>IF(A105="","",#REF!)</f>
        <v>#REF!</v>
      </c>
      <c r="E105" t="e">
        <f t="shared" si="3"/>
        <v>#REF!</v>
      </c>
      <c r="F105" t="e">
        <f t="shared" si="4"/>
        <v>#REF!</v>
      </c>
      <c r="G105" t="e">
        <f t="shared" si="5"/>
        <v>#REF!</v>
      </c>
    </row>
    <row r="106" spans="1:7" x14ac:dyDescent="0.3">
      <c r="A106" t="e">
        <f>IF(#REF!="","",#REF!)</f>
        <v>#REF!</v>
      </c>
      <c r="B106" t="e">
        <f>IF(A106="","",#REF!)</f>
        <v>#REF!</v>
      </c>
      <c r="C106" t="e">
        <f>IF(A106="","",#REF!)</f>
        <v>#REF!</v>
      </c>
      <c r="D106" t="e">
        <f>IF(A106="","",#REF!)</f>
        <v>#REF!</v>
      </c>
      <c r="E106" t="e">
        <f t="shared" si="3"/>
        <v>#REF!</v>
      </c>
      <c r="F106" t="e">
        <f t="shared" si="4"/>
        <v>#REF!</v>
      </c>
      <c r="G106" t="e">
        <f t="shared" si="5"/>
        <v>#REF!</v>
      </c>
    </row>
    <row r="107" spans="1:7" x14ac:dyDescent="0.3">
      <c r="A107" t="e">
        <f>IF(#REF!="","",#REF!)</f>
        <v>#REF!</v>
      </c>
      <c r="B107" t="e">
        <f>IF(A107="","",#REF!)</f>
        <v>#REF!</v>
      </c>
      <c r="C107" t="e">
        <f>IF(A107="","",#REF!)</f>
        <v>#REF!</v>
      </c>
      <c r="D107" t="e">
        <f>IF(A107="","",#REF!)</f>
        <v>#REF!</v>
      </c>
      <c r="E107" t="e">
        <f t="shared" si="3"/>
        <v>#REF!</v>
      </c>
      <c r="F107" t="e">
        <f t="shared" si="4"/>
        <v>#REF!</v>
      </c>
      <c r="G107" t="e">
        <f t="shared" si="5"/>
        <v>#REF!</v>
      </c>
    </row>
    <row r="108" spans="1:7" x14ac:dyDescent="0.3">
      <c r="A108" t="e">
        <f>IF(#REF!="","",#REF!)</f>
        <v>#REF!</v>
      </c>
      <c r="B108" t="e">
        <f>IF(A108="","",#REF!)</f>
        <v>#REF!</v>
      </c>
      <c r="C108" t="e">
        <f>IF(A108="","",#REF!)</f>
        <v>#REF!</v>
      </c>
      <c r="D108" t="e">
        <f>IF(A108="","",#REF!)</f>
        <v>#REF!</v>
      </c>
      <c r="E108" t="e">
        <f t="shared" si="3"/>
        <v>#REF!</v>
      </c>
      <c r="F108" t="e">
        <f t="shared" si="4"/>
        <v>#REF!</v>
      </c>
      <c r="G108" t="e">
        <f t="shared" si="5"/>
        <v>#REF!</v>
      </c>
    </row>
    <row r="109" spans="1:7" x14ac:dyDescent="0.3">
      <c r="A109" t="e">
        <f>IF(#REF!="","",#REF!)</f>
        <v>#REF!</v>
      </c>
      <c r="B109" t="e">
        <f>IF(A109="","",#REF!)</f>
        <v>#REF!</v>
      </c>
      <c r="C109" t="e">
        <f>IF(A109="","",#REF!)</f>
        <v>#REF!</v>
      </c>
      <c r="D109" t="e">
        <f>IF(A109="","",#REF!)</f>
        <v>#REF!</v>
      </c>
      <c r="E109" t="e">
        <f t="shared" si="3"/>
        <v>#REF!</v>
      </c>
      <c r="F109" t="e">
        <f t="shared" si="4"/>
        <v>#REF!</v>
      </c>
      <c r="G109" t="e">
        <f t="shared" si="5"/>
        <v>#REF!</v>
      </c>
    </row>
    <row r="110" spans="1:7" x14ac:dyDescent="0.3">
      <c r="A110" t="e">
        <f>IF(#REF!="","",#REF!)</f>
        <v>#REF!</v>
      </c>
      <c r="B110" t="e">
        <f>IF(A110="","",#REF!)</f>
        <v>#REF!</v>
      </c>
      <c r="C110" t="e">
        <f>IF(A110="","",#REF!)</f>
        <v>#REF!</v>
      </c>
      <c r="D110" t="e">
        <f>IF(A110="","",#REF!)</f>
        <v>#REF!</v>
      </c>
      <c r="E110" t="e">
        <f t="shared" si="3"/>
        <v>#REF!</v>
      </c>
      <c r="F110" t="e">
        <f t="shared" si="4"/>
        <v>#REF!</v>
      </c>
      <c r="G110" t="e">
        <f t="shared" si="5"/>
        <v>#REF!</v>
      </c>
    </row>
    <row r="111" spans="1:7" x14ac:dyDescent="0.3">
      <c r="A111" t="e">
        <f>IF(#REF!="","",#REF!)</f>
        <v>#REF!</v>
      </c>
      <c r="B111" t="e">
        <f>IF(A111="","",#REF!)</f>
        <v>#REF!</v>
      </c>
      <c r="C111" t="e">
        <f>IF(A111="","",#REF!)</f>
        <v>#REF!</v>
      </c>
      <c r="D111" t="e">
        <f>IF(A111="","",#REF!)</f>
        <v>#REF!</v>
      </c>
      <c r="E111" t="e">
        <f t="shared" si="3"/>
        <v>#REF!</v>
      </c>
      <c r="F111" t="e">
        <f t="shared" si="4"/>
        <v>#REF!</v>
      </c>
      <c r="G111" t="e">
        <f t="shared" si="5"/>
        <v>#REF!</v>
      </c>
    </row>
    <row r="112" spans="1:7" x14ac:dyDescent="0.3">
      <c r="A112" t="e">
        <f>IF(#REF!="","",#REF!)</f>
        <v>#REF!</v>
      </c>
      <c r="B112" t="e">
        <f>IF(A112="","",#REF!)</f>
        <v>#REF!</v>
      </c>
      <c r="C112" t="e">
        <f>IF(A112="","",#REF!)</f>
        <v>#REF!</v>
      </c>
      <c r="D112" t="e">
        <f>IF(A112="","",#REF!)</f>
        <v>#REF!</v>
      </c>
      <c r="E112" t="e">
        <f t="shared" si="3"/>
        <v>#REF!</v>
      </c>
      <c r="F112" t="e">
        <f t="shared" si="4"/>
        <v>#REF!</v>
      </c>
      <c r="G112" t="e">
        <f t="shared" si="5"/>
        <v>#REF!</v>
      </c>
    </row>
    <row r="113" spans="1:7" x14ac:dyDescent="0.3">
      <c r="A113" t="e">
        <f>IF(#REF!="","",#REF!)</f>
        <v>#REF!</v>
      </c>
      <c r="B113" t="e">
        <f>IF(A113="","",#REF!)</f>
        <v>#REF!</v>
      </c>
      <c r="C113" t="e">
        <f>IF(A113="","",#REF!)</f>
        <v>#REF!</v>
      </c>
      <c r="D113" t="e">
        <f>IF(A113="","",#REF!)</f>
        <v>#REF!</v>
      </c>
      <c r="E113" t="e">
        <f t="shared" si="3"/>
        <v>#REF!</v>
      </c>
      <c r="F113" t="e">
        <f t="shared" si="4"/>
        <v>#REF!</v>
      </c>
      <c r="G113" t="e">
        <f t="shared" si="5"/>
        <v>#REF!</v>
      </c>
    </row>
    <row r="114" spans="1:7" x14ac:dyDescent="0.3">
      <c r="A114" t="e">
        <f>IF(#REF!="","",#REF!)</f>
        <v>#REF!</v>
      </c>
      <c r="B114" t="e">
        <f>IF(A114="","",#REF!)</f>
        <v>#REF!</v>
      </c>
      <c r="C114" t="e">
        <f>IF(A114="","",#REF!)</f>
        <v>#REF!</v>
      </c>
      <c r="D114" t="e">
        <f>IF(A114="","",#REF!)</f>
        <v>#REF!</v>
      </c>
      <c r="E114" t="e">
        <f t="shared" si="3"/>
        <v>#REF!</v>
      </c>
      <c r="F114" t="e">
        <f t="shared" si="4"/>
        <v>#REF!</v>
      </c>
      <c r="G114" t="e">
        <f t="shared" si="5"/>
        <v>#REF!</v>
      </c>
    </row>
    <row r="115" spans="1:7" x14ac:dyDescent="0.3">
      <c r="A115" t="e">
        <f>IF(#REF!="","",#REF!)</f>
        <v>#REF!</v>
      </c>
      <c r="B115" t="e">
        <f>IF(A115="","",#REF!)</f>
        <v>#REF!</v>
      </c>
      <c r="C115" t="e">
        <f>IF(A115="","",#REF!)</f>
        <v>#REF!</v>
      </c>
      <c r="D115" t="e">
        <f>IF(A115="","",#REF!)</f>
        <v>#REF!</v>
      </c>
      <c r="E115" t="e">
        <f t="shared" si="3"/>
        <v>#REF!</v>
      </c>
      <c r="F115" t="e">
        <f t="shared" si="4"/>
        <v>#REF!</v>
      </c>
      <c r="G115" t="e">
        <f t="shared" si="5"/>
        <v>#REF!</v>
      </c>
    </row>
    <row r="116" spans="1:7" x14ac:dyDescent="0.3">
      <c r="A116" t="e">
        <f>IF(#REF!="","",#REF!)</f>
        <v>#REF!</v>
      </c>
      <c r="B116" t="e">
        <f>IF(A116="","",#REF!)</f>
        <v>#REF!</v>
      </c>
      <c r="C116" t="e">
        <f>IF(A116="","",#REF!)</f>
        <v>#REF!</v>
      </c>
      <c r="D116" t="e">
        <f>IF(A116="","",#REF!)</f>
        <v>#REF!</v>
      </c>
      <c r="E116" t="e">
        <f t="shared" si="3"/>
        <v>#REF!</v>
      </c>
      <c r="F116" t="e">
        <f t="shared" si="4"/>
        <v>#REF!</v>
      </c>
      <c r="G116" t="e">
        <f t="shared" si="5"/>
        <v>#REF!</v>
      </c>
    </row>
    <row r="117" spans="1:7" x14ac:dyDescent="0.3">
      <c r="A117" t="e">
        <f>IF(#REF!="","",#REF!)</f>
        <v>#REF!</v>
      </c>
      <c r="B117" t="e">
        <f>IF(A117="","",#REF!)</f>
        <v>#REF!</v>
      </c>
      <c r="C117" t="e">
        <f>IF(A117="","",#REF!)</f>
        <v>#REF!</v>
      </c>
      <c r="D117" t="e">
        <f>IF(A117="","",#REF!)</f>
        <v>#REF!</v>
      </c>
      <c r="E117" t="e">
        <f t="shared" si="3"/>
        <v>#REF!</v>
      </c>
      <c r="F117" t="e">
        <f t="shared" si="4"/>
        <v>#REF!</v>
      </c>
      <c r="G117" t="e">
        <f t="shared" si="5"/>
        <v>#REF!</v>
      </c>
    </row>
    <row r="118" spans="1:7" x14ac:dyDescent="0.3">
      <c r="A118" t="e">
        <f>IF(#REF!="","",#REF!)</f>
        <v>#REF!</v>
      </c>
      <c r="B118" t="e">
        <f>IF(A118="","",#REF!)</f>
        <v>#REF!</v>
      </c>
      <c r="C118" t="e">
        <f>IF(A118="","",#REF!)</f>
        <v>#REF!</v>
      </c>
      <c r="D118" t="e">
        <f>IF(A118="","",#REF!)</f>
        <v>#REF!</v>
      </c>
      <c r="E118" t="e">
        <f t="shared" si="3"/>
        <v>#REF!</v>
      </c>
      <c r="F118" t="e">
        <f t="shared" si="4"/>
        <v>#REF!</v>
      </c>
      <c r="G118" t="e">
        <f t="shared" si="5"/>
        <v>#REF!</v>
      </c>
    </row>
    <row r="119" spans="1:7" x14ac:dyDescent="0.3">
      <c r="A119" t="e">
        <f>IF(#REF!="","",#REF!)</f>
        <v>#REF!</v>
      </c>
      <c r="B119" t="e">
        <f>IF(A119="","",#REF!)</f>
        <v>#REF!</v>
      </c>
      <c r="C119" t="e">
        <f>IF(A119="","",#REF!)</f>
        <v>#REF!</v>
      </c>
      <c r="D119" t="e">
        <f>IF(A119="","",#REF!)</f>
        <v>#REF!</v>
      </c>
      <c r="E119" t="e">
        <f t="shared" si="3"/>
        <v>#REF!</v>
      </c>
      <c r="F119" t="e">
        <f t="shared" si="4"/>
        <v>#REF!</v>
      </c>
      <c r="G119" t="e">
        <f t="shared" si="5"/>
        <v>#REF!</v>
      </c>
    </row>
    <row r="120" spans="1:7" x14ac:dyDescent="0.3">
      <c r="A120" t="e">
        <f>IF(#REF!="","",#REF!)</f>
        <v>#REF!</v>
      </c>
      <c r="B120" t="e">
        <f>IF(A120="","",#REF!)</f>
        <v>#REF!</v>
      </c>
      <c r="C120" t="e">
        <f>IF(A120="","",#REF!)</f>
        <v>#REF!</v>
      </c>
      <c r="D120" t="e">
        <f>IF(A120="","",#REF!)</f>
        <v>#REF!</v>
      </c>
      <c r="E120" t="e">
        <f t="shared" si="3"/>
        <v>#REF!</v>
      </c>
      <c r="F120" t="e">
        <f t="shared" si="4"/>
        <v>#REF!</v>
      </c>
      <c r="G120" t="e">
        <f t="shared" si="5"/>
        <v>#REF!</v>
      </c>
    </row>
    <row r="121" spans="1:7" x14ac:dyDescent="0.3">
      <c r="A121" t="e">
        <f>IF(#REF!="","",#REF!)</f>
        <v>#REF!</v>
      </c>
      <c r="B121" t="e">
        <f>IF(A121="","",#REF!)</f>
        <v>#REF!</v>
      </c>
      <c r="C121" t="e">
        <f>IF(A121="","",#REF!)</f>
        <v>#REF!</v>
      </c>
      <c r="D121" t="e">
        <f>IF(A121="","",#REF!)</f>
        <v>#REF!</v>
      </c>
      <c r="E121" t="e">
        <f t="shared" si="3"/>
        <v>#REF!</v>
      </c>
      <c r="F121" t="e">
        <f t="shared" si="4"/>
        <v>#REF!</v>
      </c>
      <c r="G121" t="e">
        <f t="shared" si="5"/>
        <v>#REF!</v>
      </c>
    </row>
    <row r="122" spans="1:7" x14ac:dyDescent="0.3">
      <c r="A122" t="e">
        <f>IF(#REF!="","",#REF!)</f>
        <v>#REF!</v>
      </c>
      <c r="B122" t="e">
        <f>IF(A122="","",#REF!)</f>
        <v>#REF!</v>
      </c>
      <c r="C122" t="e">
        <f>IF(A122="","",#REF!)</f>
        <v>#REF!</v>
      </c>
      <c r="D122" t="e">
        <f>IF(A122="","",#REF!)</f>
        <v>#REF!</v>
      </c>
      <c r="E122" t="e">
        <f t="shared" si="3"/>
        <v>#REF!</v>
      </c>
      <c r="F122" t="e">
        <f t="shared" si="4"/>
        <v>#REF!</v>
      </c>
      <c r="G122" t="e">
        <f t="shared" si="5"/>
        <v>#REF!</v>
      </c>
    </row>
    <row r="123" spans="1:7" x14ac:dyDescent="0.3">
      <c r="A123" t="e">
        <f>IF(#REF!="","",#REF!)</f>
        <v>#REF!</v>
      </c>
      <c r="B123" t="e">
        <f>IF(A123="","",#REF!)</f>
        <v>#REF!</v>
      </c>
      <c r="C123" t="e">
        <f>IF(A123="","",#REF!)</f>
        <v>#REF!</v>
      </c>
      <c r="D123" t="e">
        <f>IF(A123="","",#REF!)</f>
        <v>#REF!</v>
      </c>
      <c r="E123" t="e">
        <f t="shared" si="3"/>
        <v>#REF!</v>
      </c>
      <c r="F123" t="e">
        <f t="shared" si="4"/>
        <v>#REF!</v>
      </c>
      <c r="G123" t="e">
        <f t="shared" si="5"/>
        <v>#REF!</v>
      </c>
    </row>
    <row r="124" spans="1:7" x14ac:dyDescent="0.3">
      <c r="A124" t="e">
        <f>IF(#REF!="","",#REF!)</f>
        <v>#REF!</v>
      </c>
      <c r="B124" t="e">
        <f>IF(A124="","",#REF!)</f>
        <v>#REF!</v>
      </c>
      <c r="C124" t="e">
        <f>IF(A124="","",#REF!)</f>
        <v>#REF!</v>
      </c>
      <c r="D124" t="e">
        <f>IF(A124="","",#REF!)</f>
        <v>#REF!</v>
      </c>
      <c r="E124" t="e">
        <f t="shared" si="3"/>
        <v>#REF!</v>
      </c>
      <c r="F124" t="e">
        <f t="shared" si="4"/>
        <v>#REF!</v>
      </c>
      <c r="G124" t="e">
        <f t="shared" si="5"/>
        <v>#REF!</v>
      </c>
    </row>
    <row r="125" spans="1:7" x14ac:dyDescent="0.3">
      <c r="A125" t="e">
        <f>IF(#REF!="","",#REF!)</f>
        <v>#REF!</v>
      </c>
      <c r="B125" t="e">
        <f>IF(A125="","",#REF!)</f>
        <v>#REF!</v>
      </c>
      <c r="C125" t="e">
        <f>IF(A125="","",#REF!)</f>
        <v>#REF!</v>
      </c>
      <c r="D125" t="e">
        <f>IF(A125="","",#REF!)</f>
        <v>#REF!</v>
      </c>
      <c r="E125" t="e">
        <f t="shared" si="3"/>
        <v>#REF!</v>
      </c>
      <c r="F125" t="e">
        <f t="shared" si="4"/>
        <v>#REF!</v>
      </c>
      <c r="G125" t="e">
        <f t="shared" si="5"/>
        <v>#REF!</v>
      </c>
    </row>
    <row r="126" spans="1:7" x14ac:dyDescent="0.3">
      <c r="A126" t="e">
        <f>IF(#REF!="","",#REF!)</f>
        <v>#REF!</v>
      </c>
      <c r="B126" t="e">
        <f>IF(A126="","",#REF!)</f>
        <v>#REF!</v>
      </c>
      <c r="C126" t="e">
        <f>IF(A126="","",#REF!)</f>
        <v>#REF!</v>
      </c>
      <c r="D126" t="e">
        <f>IF(A126="","",#REF!)</f>
        <v>#REF!</v>
      </c>
      <c r="E126" t="e">
        <f t="shared" si="3"/>
        <v>#REF!</v>
      </c>
      <c r="F126" t="e">
        <f t="shared" si="4"/>
        <v>#REF!</v>
      </c>
      <c r="G126" t="e">
        <f t="shared" si="5"/>
        <v>#REF!</v>
      </c>
    </row>
    <row r="127" spans="1:7" x14ac:dyDescent="0.3">
      <c r="A127" t="e">
        <f>IF(#REF!="","",#REF!)</f>
        <v>#REF!</v>
      </c>
      <c r="B127" t="e">
        <f>IF(A127="","",#REF!)</f>
        <v>#REF!</v>
      </c>
      <c r="C127" t="e">
        <f>IF(A127="","",#REF!)</f>
        <v>#REF!</v>
      </c>
      <c r="D127" t="e">
        <f>IF(A127="","",#REF!)</f>
        <v>#REF!</v>
      </c>
      <c r="E127" t="e">
        <f t="shared" si="3"/>
        <v>#REF!</v>
      </c>
      <c r="F127" t="e">
        <f t="shared" si="4"/>
        <v>#REF!</v>
      </c>
      <c r="G127" t="e">
        <f t="shared" si="5"/>
        <v>#REF!</v>
      </c>
    </row>
    <row r="128" spans="1:7" x14ac:dyDescent="0.3">
      <c r="A128" t="e">
        <f>IF(#REF!="","",#REF!)</f>
        <v>#REF!</v>
      </c>
      <c r="B128" t="e">
        <f>IF(A128="","",#REF!)</f>
        <v>#REF!</v>
      </c>
      <c r="C128" t="e">
        <f>IF(A128="","",#REF!)</f>
        <v>#REF!</v>
      </c>
      <c r="D128" t="e">
        <f>IF(A128="","",#REF!)</f>
        <v>#REF!</v>
      </c>
      <c r="E128" t="e">
        <f t="shared" si="3"/>
        <v>#REF!</v>
      </c>
      <c r="F128" t="e">
        <f t="shared" si="4"/>
        <v>#REF!</v>
      </c>
      <c r="G128" t="e">
        <f t="shared" si="5"/>
        <v>#REF!</v>
      </c>
    </row>
    <row r="129" spans="1:7" x14ac:dyDescent="0.3">
      <c r="A129" t="e">
        <f>IF(#REF!="","",#REF!)</f>
        <v>#REF!</v>
      </c>
      <c r="B129" t="e">
        <f>IF(A129="","",#REF!)</f>
        <v>#REF!</v>
      </c>
      <c r="C129" t="e">
        <f>IF(A129="","",#REF!)</f>
        <v>#REF!</v>
      </c>
      <c r="D129" t="e">
        <f>IF(A129="","",#REF!)</f>
        <v>#REF!</v>
      </c>
      <c r="E129" t="e">
        <f t="shared" si="3"/>
        <v>#REF!</v>
      </c>
      <c r="F129" t="e">
        <f t="shared" si="4"/>
        <v>#REF!</v>
      </c>
      <c r="G129" t="e">
        <f t="shared" si="5"/>
        <v>#REF!</v>
      </c>
    </row>
    <row r="130" spans="1:7" x14ac:dyDescent="0.3">
      <c r="A130" t="e">
        <f>IF(#REF!="","",#REF!)</f>
        <v>#REF!</v>
      </c>
      <c r="B130" t="e">
        <f>IF(A130="","",#REF!)</f>
        <v>#REF!</v>
      </c>
      <c r="C130" t="e">
        <f>IF(A130="","",#REF!)</f>
        <v>#REF!</v>
      </c>
      <c r="D130" t="e">
        <f>IF(A130="","",#REF!)</f>
        <v>#REF!</v>
      </c>
      <c r="E130" t="e">
        <f t="shared" si="3"/>
        <v>#REF!</v>
      </c>
      <c r="F130" t="e">
        <f t="shared" si="4"/>
        <v>#REF!</v>
      </c>
      <c r="G130" t="e">
        <f t="shared" si="5"/>
        <v>#REF!</v>
      </c>
    </row>
    <row r="131" spans="1:7" x14ac:dyDescent="0.3">
      <c r="A131" t="e">
        <f>IF(#REF!="","",#REF!)</f>
        <v>#REF!</v>
      </c>
      <c r="B131" t="e">
        <f>IF(A131="","",#REF!)</f>
        <v>#REF!</v>
      </c>
      <c r="C131" t="e">
        <f>IF(A131="","",#REF!)</f>
        <v>#REF!</v>
      </c>
      <c r="D131" t="e">
        <f>IF(A131="","",#REF!)</f>
        <v>#REF!</v>
      </c>
      <c r="E131" t="e">
        <f t="shared" si="3"/>
        <v>#REF!</v>
      </c>
      <c r="F131" t="e">
        <f t="shared" si="4"/>
        <v>#REF!</v>
      </c>
      <c r="G131" t="e">
        <f t="shared" si="5"/>
        <v>#REF!</v>
      </c>
    </row>
    <row r="132" spans="1:7" x14ac:dyDescent="0.3">
      <c r="A132" t="e">
        <f>IF(#REF!="","",#REF!)</f>
        <v>#REF!</v>
      </c>
      <c r="B132" t="e">
        <f>IF(A132="","",#REF!)</f>
        <v>#REF!</v>
      </c>
      <c r="C132" t="e">
        <f>IF(A132="","",#REF!)</f>
        <v>#REF!</v>
      </c>
      <c r="D132" t="e">
        <f>IF(A132="","",#REF!)</f>
        <v>#REF!</v>
      </c>
      <c r="E132" t="e">
        <f t="shared" si="3"/>
        <v>#REF!</v>
      </c>
      <c r="F132" t="e">
        <f t="shared" si="4"/>
        <v>#REF!</v>
      </c>
      <c r="G132" t="e">
        <f t="shared" si="5"/>
        <v>#REF!</v>
      </c>
    </row>
    <row r="133" spans="1:7" x14ac:dyDescent="0.3">
      <c r="A133" t="e">
        <f>IF(#REF!="","",#REF!)</f>
        <v>#REF!</v>
      </c>
      <c r="B133" t="e">
        <f>IF(A133="","",#REF!)</f>
        <v>#REF!</v>
      </c>
      <c r="C133" t="e">
        <f>IF(A133="","",#REF!)</f>
        <v>#REF!</v>
      </c>
      <c r="D133" t="e">
        <f>IF(A133="","",#REF!)</f>
        <v>#REF!</v>
      </c>
      <c r="E133" t="e">
        <f t="shared" ref="E133:E196" si="6">IF(A133="","",IF(COUNTIF($A$5:$A$504,A133)&gt;1,"Duplicate","Unique"))</f>
        <v>#REF!</v>
      </c>
      <c r="F133" t="e">
        <f t="shared" ref="F133:F196" si="7">IF(A133="","",IF(C133="","Missing Date","Date Present"))</f>
        <v>#REF!</v>
      </c>
      <c r="G133" t="e">
        <f t="shared" ref="G133:G196" si="8">IF(A133="","",IF(OR(E133="Duplicate",F133="Missing Date"),"Review","Pass"))</f>
        <v>#REF!</v>
      </c>
    </row>
    <row r="134" spans="1:7" x14ac:dyDescent="0.3">
      <c r="A134" t="e">
        <f>IF(#REF!="","",#REF!)</f>
        <v>#REF!</v>
      </c>
      <c r="B134" t="e">
        <f>IF(A134="","",#REF!)</f>
        <v>#REF!</v>
      </c>
      <c r="C134" t="e">
        <f>IF(A134="","",#REF!)</f>
        <v>#REF!</v>
      </c>
      <c r="D134" t="e">
        <f>IF(A134="","",#REF!)</f>
        <v>#REF!</v>
      </c>
      <c r="E134" t="e">
        <f t="shared" si="6"/>
        <v>#REF!</v>
      </c>
      <c r="F134" t="e">
        <f t="shared" si="7"/>
        <v>#REF!</v>
      </c>
      <c r="G134" t="e">
        <f t="shared" si="8"/>
        <v>#REF!</v>
      </c>
    </row>
    <row r="135" spans="1:7" x14ac:dyDescent="0.3">
      <c r="A135" t="e">
        <f>IF(#REF!="","",#REF!)</f>
        <v>#REF!</v>
      </c>
      <c r="B135" t="e">
        <f>IF(A135="","",#REF!)</f>
        <v>#REF!</v>
      </c>
      <c r="C135" t="e">
        <f>IF(A135="","",#REF!)</f>
        <v>#REF!</v>
      </c>
      <c r="D135" t="e">
        <f>IF(A135="","",#REF!)</f>
        <v>#REF!</v>
      </c>
      <c r="E135" t="e">
        <f t="shared" si="6"/>
        <v>#REF!</v>
      </c>
      <c r="F135" t="e">
        <f t="shared" si="7"/>
        <v>#REF!</v>
      </c>
      <c r="G135" t="e">
        <f t="shared" si="8"/>
        <v>#REF!</v>
      </c>
    </row>
    <row r="136" spans="1:7" x14ac:dyDescent="0.3">
      <c r="A136" t="e">
        <f>IF(#REF!="","",#REF!)</f>
        <v>#REF!</v>
      </c>
      <c r="B136" t="e">
        <f>IF(A136="","",#REF!)</f>
        <v>#REF!</v>
      </c>
      <c r="C136" t="e">
        <f>IF(A136="","",#REF!)</f>
        <v>#REF!</v>
      </c>
      <c r="D136" t="e">
        <f>IF(A136="","",#REF!)</f>
        <v>#REF!</v>
      </c>
      <c r="E136" t="e">
        <f t="shared" si="6"/>
        <v>#REF!</v>
      </c>
      <c r="F136" t="e">
        <f t="shared" si="7"/>
        <v>#REF!</v>
      </c>
      <c r="G136" t="e">
        <f t="shared" si="8"/>
        <v>#REF!</v>
      </c>
    </row>
    <row r="137" spans="1:7" x14ac:dyDescent="0.3">
      <c r="A137" t="e">
        <f>IF(#REF!="","",#REF!)</f>
        <v>#REF!</v>
      </c>
      <c r="B137" t="e">
        <f>IF(A137="","",#REF!)</f>
        <v>#REF!</v>
      </c>
      <c r="C137" t="e">
        <f>IF(A137="","",#REF!)</f>
        <v>#REF!</v>
      </c>
      <c r="D137" t="e">
        <f>IF(A137="","",#REF!)</f>
        <v>#REF!</v>
      </c>
      <c r="E137" t="e">
        <f t="shared" si="6"/>
        <v>#REF!</v>
      </c>
      <c r="F137" t="e">
        <f t="shared" si="7"/>
        <v>#REF!</v>
      </c>
      <c r="G137" t="e">
        <f t="shared" si="8"/>
        <v>#REF!</v>
      </c>
    </row>
    <row r="138" spans="1:7" x14ac:dyDescent="0.3">
      <c r="A138" t="e">
        <f>IF(#REF!="","",#REF!)</f>
        <v>#REF!</v>
      </c>
      <c r="B138" t="e">
        <f>IF(A138="","",#REF!)</f>
        <v>#REF!</v>
      </c>
      <c r="C138" t="e">
        <f>IF(A138="","",#REF!)</f>
        <v>#REF!</v>
      </c>
      <c r="D138" t="e">
        <f>IF(A138="","",#REF!)</f>
        <v>#REF!</v>
      </c>
      <c r="E138" t="e">
        <f t="shared" si="6"/>
        <v>#REF!</v>
      </c>
      <c r="F138" t="e">
        <f t="shared" si="7"/>
        <v>#REF!</v>
      </c>
      <c r="G138" t="e">
        <f t="shared" si="8"/>
        <v>#REF!</v>
      </c>
    </row>
    <row r="139" spans="1:7" x14ac:dyDescent="0.3">
      <c r="A139" t="e">
        <f>IF(#REF!="","",#REF!)</f>
        <v>#REF!</v>
      </c>
      <c r="B139" t="e">
        <f>IF(A139="","",#REF!)</f>
        <v>#REF!</v>
      </c>
      <c r="C139" t="e">
        <f>IF(A139="","",#REF!)</f>
        <v>#REF!</v>
      </c>
      <c r="D139" t="e">
        <f>IF(A139="","",#REF!)</f>
        <v>#REF!</v>
      </c>
      <c r="E139" t="e">
        <f t="shared" si="6"/>
        <v>#REF!</v>
      </c>
      <c r="F139" t="e">
        <f t="shared" si="7"/>
        <v>#REF!</v>
      </c>
      <c r="G139" t="e">
        <f t="shared" si="8"/>
        <v>#REF!</v>
      </c>
    </row>
    <row r="140" spans="1:7" x14ac:dyDescent="0.3">
      <c r="A140" t="e">
        <f>IF(#REF!="","",#REF!)</f>
        <v>#REF!</v>
      </c>
      <c r="B140" t="e">
        <f>IF(A140="","",#REF!)</f>
        <v>#REF!</v>
      </c>
      <c r="C140" t="e">
        <f>IF(A140="","",#REF!)</f>
        <v>#REF!</v>
      </c>
      <c r="D140" t="e">
        <f>IF(A140="","",#REF!)</f>
        <v>#REF!</v>
      </c>
      <c r="E140" t="e">
        <f t="shared" si="6"/>
        <v>#REF!</v>
      </c>
      <c r="F140" t="e">
        <f t="shared" si="7"/>
        <v>#REF!</v>
      </c>
      <c r="G140" t="e">
        <f t="shared" si="8"/>
        <v>#REF!</v>
      </c>
    </row>
    <row r="141" spans="1:7" x14ac:dyDescent="0.3">
      <c r="A141" t="e">
        <f>IF(#REF!="","",#REF!)</f>
        <v>#REF!</v>
      </c>
      <c r="B141" t="e">
        <f>IF(A141="","",#REF!)</f>
        <v>#REF!</v>
      </c>
      <c r="C141" t="e">
        <f>IF(A141="","",#REF!)</f>
        <v>#REF!</v>
      </c>
      <c r="D141" t="e">
        <f>IF(A141="","",#REF!)</f>
        <v>#REF!</v>
      </c>
      <c r="E141" t="e">
        <f t="shared" si="6"/>
        <v>#REF!</v>
      </c>
      <c r="F141" t="e">
        <f t="shared" si="7"/>
        <v>#REF!</v>
      </c>
      <c r="G141" t="e">
        <f t="shared" si="8"/>
        <v>#REF!</v>
      </c>
    </row>
    <row r="142" spans="1:7" x14ac:dyDescent="0.3">
      <c r="A142" t="e">
        <f>IF(#REF!="","",#REF!)</f>
        <v>#REF!</v>
      </c>
      <c r="B142" t="e">
        <f>IF(A142="","",#REF!)</f>
        <v>#REF!</v>
      </c>
      <c r="C142" t="e">
        <f>IF(A142="","",#REF!)</f>
        <v>#REF!</v>
      </c>
      <c r="D142" t="e">
        <f>IF(A142="","",#REF!)</f>
        <v>#REF!</v>
      </c>
      <c r="E142" t="e">
        <f t="shared" si="6"/>
        <v>#REF!</v>
      </c>
      <c r="F142" t="e">
        <f t="shared" si="7"/>
        <v>#REF!</v>
      </c>
      <c r="G142" t="e">
        <f t="shared" si="8"/>
        <v>#REF!</v>
      </c>
    </row>
    <row r="143" spans="1:7" x14ac:dyDescent="0.3">
      <c r="A143" t="e">
        <f>IF(#REF!="","",#REF!)</f>
        <v>#REF!</v>
      </c>
      <c r="B143" t="e">
        <f>IF(A143="","",#REF!)</f>
        <v>#REF!</v>
      </c>
      <c r="C143" t="e">
        <f>IF(A143="","",#REF!)</f>
        <v>#REF!</v>
      </c>
      <c r="D143" t="e">
        <f>IF(A143="","",#REF!)</f>
        <v>#REF!</v>
      </c>
      <c r="E143" t="e">
        <f t="shared" si="6"/>
        <v>#REF!</v>
      </c>
      <c r="F143" t="e">
        <f t="shared" si="7"/>
        <v>#REF!</v>
      </c>
      <c r="G143" t="e">
        <f t="shared" si="8"/>
        <v>#REF!</v>
      </c>
    </row>
    <row r="144" spans="1:7" x14ac:dyDescent="0.3">
      <c r="A144" t="e">
        <f>IF(#REF!="","",#REF!)</f>
        <v>#REF!</v>
      </c>
      <c r="B144" t="e">
        <f>IF(A144="","",#REF!)</f>
        <v>#REF!</v>
      </c>
      <c r="C144" t="e">
        <f>IF(A144="","",#REF!)</f>
        <v>#REF!</v>
      </c>
      <c r="D144" t="e">
        <f>IF(A144="","",#REF!)</f>
        <v>#REF!</v>
      </c>
      <c r="E144" t="e">
        <f t="shared" si="6"/>
        <v>#REF!</v>
      </c>
      <c r="F144" t="e">
        <f t="shared" si="7"/>
        <v>#REF!</v>
      </c>
      <c r="G144" t="e">
        <f t="shared" si="8"/>
        <v>#REF!</v>
      </c>
    </row>
    <row r="145" spans="1:7" x14ac:dyDescent="0.3">
      <c r="A145" t="e">
        <f>IF(#REF!="","",#REF!)</f>
        <v>#REF!</v>
      </c>
      <c r="B145" t="e">
        <f>IF(A145="","",#REF!)</f>
        <v>#REF!</v>
      </c>
      <c r="C145" t="e">
        <f>IF(A145="","",#REF!)</f>
        <v>#REF!</v>
      </c>
      <c r="D145" t="e">
        <f>IF(A145="","",#REF!)</f>
        <v>#REF!</v>
      </c>
      <c r="E145" t="e">
        <f t="shared" si="6"/>
        <v>#REF!</v>
      </c>
      <c r="F145" t="e">
        <f t="shared" si="7"/>
        <v>#REF!</v>
      </c>
      <c r="G145" t="e">
        <f t="shared" si="8"/>
        <v>#REF!</v>
      </c>
    </row>
    <row r="146" spans="1:7" x14ac:dyDescent="0.3">
      <c r="A146" t="e">
        <f>IF(#REF!="","",#REF!)</f>
        <v>#REF!</v>
      </c>
      <c r="B146" t="e">
        <f>IF(A146="","",#REF!)</f>
        <v>#REF!</v>
      </c>
      <c r="C146" t="e">
        <f>IF(A146="","",#REF!)</f>
        <v>#REF!</v>
      </c>
      <c r="D146" t="e">
        <f>IF(A146="","",#REF!)</f>
        <v>#REF!</v>
      </c>
      <c r="E146" t="e">
        <f t="shared" si="6"/>
        <v>#REF!</v>
      </c>
      <c r="F146" t="e">
        <f t="shared" si="7"/>
        <v>#REF!</v>
      </c>
      <c r="G146" t="e">
        <f t="shared" si="8"/>
        <v>#REF!</v>
      </c>
    </row>
    <row r="147" spans="1:7" x14ac:dyDescent="0.3">
      <c r="A147" t="e">
        <f>IF(#REF!="","",#REF!)</f>
        <v>#REF!</v>
      </c>
      <c r="B147" t="e">
        <f>IF(A147="","",#REF!)</f>
        <v>#REF!</v>
      </c>
      <c r="C147" t="e">
        <f>IF(A147="","",#REF!)</f>
        <v>#REF!</v>
      </c>
      <c r="D147" t="e">
        <f>IF(A147="","",#REF!)</f>
        <v>#REF!</v>
      </c>
      <c r="E147" t="e">
        <f t="shared" si="6"/>
        <v>#REF!</v>
      </c>
      <c r="F147" t="e">
        <f t="shared" si="7"/>
        <v>#REF!</v>
      </c>
      <c r="G147" t="e">
        <f t="shared" si="8"/>
        <v>#REF!</v>
      </c>
    </row>
    <row r="148" spans="1:7" x14ac:dyDescent="0.3">
      <c r="A148" t="e">
        <f>IF(#REF!="","",#REF!)</f>
        <v>#REF!</v>
      </c>
      <c r="B148" t="e">
        <f>IF(A148="","",#REF!)</f>
        <v>#REF!</v>
      </c>
      <c r="C148" t="e">
        <f>IF(A148="","",#REF!)</f>
        <v>#REF!</v>
      </c>
      <c r="D148" t="e">
        <f>IF(A148="","",#REF!)</f>
        <v>#REF!</v>
      </c>
      <c r="E148" t="e">
        <f t="shared" si="6"/>
        <v>#REF!</v>
      </c>
      <c r="F148" t="e">
        <f t="shared" si="7"/>
        <v>#REF!</v>
      </c>
      <c r="G148" t="e">
        <f t="shared" si="8"/>
        <v>#REF!</v>
      </c>
    </row>
    <row r="149" spans="1:7" x14ac:dyDescent="0.3">
      <c r="A149" t="e">
        <f>IF(#REF!="","",#REF!)</f>
        <v>#REF!</v>
      </c>
      <c r="B149" t="e">
        <f>IF(A149="","",#REF!)</f>
        <v>#REF!</v>
      </c>
      <c r="C149" t="e">
        <f>IF(A149="","",#REF!)</f>
        <v>#REF!</v>
      </c>
      <c r="D149" t="e">
        <f>IF(A149="","",#REF!)</f>
        <v>#REF!</v>
      </c>
      <c r="E149" t="e">
        <f t="shared" si="6"/>
        <v>#REF!</v>
      </c>
      <c r="F149" t="e">
        <f t="shared" si="7"/>
        <v>#REF!</v>
      </c>
      <c r="G149" t="e">
        <f t="shared" si="8"/>
        <v>#REF!</v>
      </c>
    </row>
    <row r="150" spans="1:7" x14ac:dyDescent="0.3">
      <c r="A150" t="e">
        <f>IF(#REF!="","",#REF!)</f>
        <v>#REF!</v>
      </c>
      <c r="B150" t="e">
        <f>IF(A150="","",#REF!)</f>
        <v>#REF!</v>
      </c>
      <c r="C150" t="e">
        <f>IF(A150="","",#REF!)</f>
        <v>#REF!</v>
      </c>
      <c r="D150" t="e">
        <f>IF(A150="","",#REF!)</f>
        <v>#REF!</v>
      </c>
      <c r="E150" t="e">
        <f t="shared" si="6"/>
        <v>#REF!</v>
      </c>
      <c r="F150" t="e">
        <f t="shared" si="7"/>
        <v>#REF!</v>
      </c>
      <c r="G150" t="e">
        <f t="shared" si="8"/>
        <v>#REF!</v>
      </c>
    </row>
    <row r="151" spans="1:7" x14ac:dyDescent="0.3">
      <c r="A151" t="e">
        <f>IF(#REF!="","",#REF!)</f>
        <v>#REF!</v>
      </c>
      <c r="B151" t="e">
        <f>IF(A151="","",#REF!)</f>
        <v>#REF!</v>
      </c>
      <c r="C151" t="e">
        <f>IF(A151="","",#REF!)</f>
        <v>#REF!</v>
      </c>
      <c r="D151" t="e">
        <f>IF(A151="","",#REF!)</f>
        <v>#REF!</v>
      </c>
      <c r="E151" t="e">
        <f t="shared" si="6"/>
        <v>#REF!</v>
      </c>
      <c r="F151" t="e">
        <f t="shared" si="7"/>
        <v>#REF!</v>
      </c>
      <c r="G151" t="e">
        <f t="shared" si="8"/>
        <v>#REF!</v>
      </c>
    </row>
    <row r="152" spans="1:7" x14ac:dyDescent="0.3">
      <c r="A152" t="e">
        <f>IF(#REF!="","",#REF!)</f>
        <v>#REF!</v>
      </c>
      <c r="B152" t="e">
        <f>IF(A152="","",#REF!)</f>
        <v>#REF!</v>
      </c>
      <c r="C152" t="e">
        <f>IF(A152="","",#REF!)</f>
        <v>#REF!</v>
      </c>
      <c r="D152" t="e">
        <f>IF(A152="","",#REF!)</f>
        <v>#REF!</v>
      </c>
      <c r="E152" t="e">
        <f t="shared" si="6"/>
        <v>#REF!</v>
      </c>
      <c r="F152" t="e">
        <f t="shared" si="7"/>
        <v>#REF!</v>
      </c>
      <c r="G152" t="e">
        <f t="shared" si="8"/>
        <v>#REF!</v>
      </c>
    </row>
    <row r="153" spans="1:7" x14ac:dyDescent="0.3">
      <c r="A153" t="e">
        <f>IF(#REF!="","",#REF!)</f>
        <v>#REF!</v>
      </c>
      <c r="B153" t="e">
        <f>IF(A153="","",#REF!)</f>
        <v>#REF!</v>
      </c>
      <c r="C153" t="e">
        <f>IF(A153="","",#REF!)</f>
        <v>#REF!</v>
      </c>
      <c r="D153" t="e">
        <f>IF(A153="","",#REF!)</f>
        <v>#REF!</v>
      </c>
      <c r="E153" t="e">
        <f t="shared" si="6"/>
        <v>#REF!</v>
      </c>
      <c r="F153" t="e">
        <f t="shared" si="7"/>
        <v>#REF!</v>
      </c>
      <c r="G153" t="e">
        <f t="shared" si="8"/>
        <v>#REF!</v>
      </c>
    </row>
    <row r="154" spans="1:7" x14ac:dyDescent="0.3">
      <c r="A154" t="e">
        <f>IF(#REF!="","",#REF!)</f>
        <v>#REF!</v>
      </c>
      <c r="B154" t="e">
        <f>IF(A154="","",#REF!)</f>
        <v>#REF!</v>
      </c>
      <c r="C154" t="e">
        <f>IF(A154="","",#REF!)</f>
        <v>#REF!</v>
      </c>
      <c r="D154" t="e">
        <f>IF(A154="","",#REF!)</f>
        <v>#REF!</v>
      </c>
      <c r="E154" t="e">
        <f t="shared" si="6"/>
        <v>#REF!</v>
      </c>
      <c r="F154" t="e">
        <f t="shared" si="7"/>
        <v>#REF!</v>
      </c>
      <c r="G154" t="e">
        <f t="shared" si="8"/>
        <v>#REF!</v>
      </c>
    </row>
    <row r="155" spans="1:7" x14ac:dyDescent="0.3">
      <c r="A155" t="e">
        <f>IF(#REF!="","",#REF!)</f>
        <v>#REF!</v>
      </c>
      <c r="B155" t="e">
        <f>IF(A155="","",#REF!)</f>
        <v>#REF!</v>
      </c>
      <c r="C155" t="e">
        <f>IF(A155="","",#REF!)</f>
        <v>#REF!</v>
      </c>
      <c r="D155" t="e">
        <f>IF(A155="","",#REF!)</f>
        <v>#REF!</v>
      </c>
      <c r="E155" t="e">
        <f t="shared" si="6"/>
        <v>#REF!</v>
      </c>
      <c r="F155" t="e">
        <f t="shared" si="7"/>
        <v>#REF!</v>
      </c>
      <c r="G155" t="e">
        <f t="shared" si="8"/>
        <v>#REF!</v>
      </c>
    </row>
    <row r="156" spans="1:7" x14ac:dyDescent="0.3">
      <c r="A156" t="e">
        <f>IF(#REF!="","",#REF!)</f>
        <v>#REF!</v>
      </c>
      <c r="B156" t="e">
        <f>IF(A156="","",#REF!)</f>
        <v>#REF!</v>
      </c>
      <c r="C156" t="e">
        <f>IF(A156="","",#REF!)</f>
        <v>#REF!</v>
      </c>
      <c r="D156" t="e">
        <f>IF(A156="","",#REF!)</f>
        <v>#REF!</v>
      </c>
      <c r="E156" t="e">
        <f t="shared" si="6"/>
        <v>#REF!</v>
      </c>
      <c r="F156" t="e">
        <f t="shared" si="7"/>
        <v>#REF!</v>
      </c>
      <c r="G156" t="e">
        <f t="shared" si="8"/>
        <v>#REF!</v>
      </c>
    </row>
    <row r="157" spans="1:7" x14ac:dyDescent="0.3">
      <c r="A157" t="e">
        <f>IF(#REF!="","",#REF!)</f>
        <v>#REF!</v>
      </c>
      <c r="B157" t="e">
        <f>IF(A157="","",#REF!)</f>
        <v>#REF!</v>
      </c>
      <c r="C157" t="e">
        <f>IF(A157="","",#REF!)</f>
        <v>#REF!</v>
      </c>
      <c r="D157" t="e">
        <f>IF(A157="","",#REF!)</f>
        <v>#REF!</v>
      </c>
      <c r="E157" t="e">
        <f t="shared" si="6"/>
        <v>#REF!</v>
      </c>
      <c r="F157" t="e">
        <f t="shared" si="7"/>
        <v>#REF!</v>
      </c>
      <c r="G157" t="e">
        <f t="shared" si="8"/>
        <v>#REF!</v>
      </c>
    </row>
    <row r="158" spans="1:7" x14ac:dyDescent="0.3">
      <c r="A158" t="e">
        <f>IF(#REF!="","",#REF!)</f>
        <v>#REF!</v>
      </c>
      <c r="B158" t="e">
        <f>IF(A158="","",#REF!)</f>
        <v>#REF!</v>
      </c>
      <c r="C158" t="e">
        <f>IF(A158="","",#REF!)</f>
        <v>#REF!</v>
      </c>
      <c r="D158" t="e">
        <f>IF(A158="","",#REF!)</f>
        <v>#REF!</v>
      </c>
      <c r="E158" t="e">
        <f t="shared" si="6"/>
        <v>#REF!</v>
      </c>
      <c r="F158" t="e">
        <f t="shared" si="7"/>
        <v>#REF!</v>
      </c>
      <c r="G158" t="e">
        <f t="shared" si="8"/>
        <v>#REF!</v>
      </c>
    </row>
    <row r="159" spans="1:7" x14ac:dyDescent="0.3">
      <c r="A159" t="e">
        <f>IF(#REF!="","",#REF!)</f>
        <v>#REF!</v>
      </c>
      <c r="B159" t="e">
        <f>IF(A159="","",#REF!)</f>
        <v>#REF!</v>
      </c>
      <c r="C159" t="e">
        <f>IF(A159="","",#REF!)</f>
        <v>#REF!</v>
      </c>
      <c r="D159" t="e">
        <f>IF(A159="","",#REF!)</f>
        <v>#REF!</v>
      </c>
      <c r="E159" t="e">
        <f t="shared" si="6"/>
        <v>#REF!</v>
      </c>
      <c r="F159" t="e">
        <f t="shared" si="7"/>
        <v>#REF!</v>
      </c>
      <c r="G159" t="e">
        <f t="shared" si="8"/>
        <v>#REF!</v>
      </c>
    </row>
    <row r="160" spans="1:7" x14ac:dyDescent="0.3">
      <c r="A160" t="e">
        <f>IF(#REF!="","",#REF!)</f>
        <v>#REF!</v>
      </c>
      <c r="B160" t="e">
        <f>IF(A160="","",#REF!)</f>
        <v>#REF!</v>
      </c>
      <c r="C160" t="e">
        <f>IF(A160="","",#REF!)</f>
        <v>#REF!</v>
      </c>
      <c r="D160" t="e">
        <f>IF(A160="","",#REF!)</f>
        <v>#REF!</v>
      </c>
      <c r="E160" t="e">
        <f t="shared" si="6"/>
        <v>#REF!</v>
      </c>
      <c r="F160" t="e">
        <f t="shared" si="7"/>
        <v>#REF!</v>
      </c>
      <c r="G160" t="e">
        <f t="shared" si="8"/>
        <v>#REF!</v>
      </c>
    </row>
    <row r="161" spans="1:7" x14ac:dyDescent="0.3">
      <c r="A161" t="e">
        <f>IF(#REF!="","",#REF!)</f>
        <v>#REF!</v>
      </c>
      <c r="B161" t="e">
        <f>IF(A161="","",#REF!)</f>
        <v>#REF!</v>
      </c>
      <c r="C161" t="e">
        <f>IF(A161="","",#REF!)</f>
        <v>#REF!</v>
      </c>
      <c r="D161" t="e">
        <f>IF(A161="","",#REF!)</f>
        <v>#REF!</v>
      </c>
      <c r="E161" t="e">
        <f t="shared" si="6"/>
        <v>#REF!</v>
      </c>
      <c r="F161" t="e">
        <f t="shared" si="7"/>
        <v>#REF!</v>
      </c>
      <c r="G161" t="e">
        <f t="shared" si="8"/>
        <v>#REF!</v>
      </c>
    </row>
    <row r="162" spans="1:7" x14ac:dyDescent="0.3">
      <c r="A162" t="e">
        <f>IF(#REF!="","",#REF!)</f>
        <v>#REF!</v>
      </c>
      <c r="B162" t="e">
        <f>IF(A162="","",#REF!)</f>
        <v>#REF!</v>
      </c>
      <c r="C162" t="e">
        <f>IF(A162="","",#REF!)</f>
        <v>#REF!</v>
      </c>
      <c r="D162" t="e">
        <f>IF(A162="","",#REF!)</f>
        <v>#REF!</v>
      </c>
      <c r="E162" t="e">
        <f t="shared" si="6"/>
        <v>#REF!</v>
      </c>
      <c r="F162" t="e">
        <f t="shared" si="7"/>
        <v>#REF!</v>
      </c>
      <c r="G162" t="e">
        <f t="shared" si="8"/>
        <v>#REF!</v>
      </c>
    </row>
    <row r="163" spans="1:7" x14ac:dyDescent="0.3">
      <c r="A163" t="e">
        <f>IF(#REF!="","",#REF!)</f>
        <v>#REF!</v>
      </c>
      <c r="B163" t="e">
        <f>IF(A163="","",#REF!)</f>
        <v>#REF!</v>
      </c>
      <c r="C163" t="e">
        <f>IF(A163="","",#REF!)</f>
        <v>#REF!</v>
      </c>
      <c r="D163" t="e">
        <f>IF(A163="","",#REF!)</f>
        <v>#REF!</v>
      </c>
      <c r="E163" t="e">
        <f t="shared" si="6"/>
        <v>#REF!</v>
      </c>
      <c r="F163" t="e">
        <f t="shared" si="7"/>
        <v>#REF!</v>
      </c>
      <c r="G163" t="e">
        <f t="shared" si="8"/>
        <v>#REF!</v>
      </c>
    </row>
    <row r="164" spans="1:7" x14ac:dyDescent="0.3">
      <c r="A164" t="e">
        <f>IF(#REF!="","",#REF!)</f>
        <v>#REF!</v>
      </c>
      <c r="B164" t="e">
        <f>IF(A164="","",#REF!)</f>
        <v>#REF!</v>
      </c>
      <c r="C164" t="e">
        <f>IF(A164="","",#REF!)</f>
        <v>#REF!</v>
      </c>
      <c r="D164" t="e">
        <f>IF(A164="","",#REF!)</f>
        <v>#REF!</v>
      </c>
      <c r="E164" t="e">
        <f t="shared" si="6"/>
        <v>#REF!</v>
      </c>
      <c r="F164" t="e">
        <f t="shared" si="7"/>
        <v>#REF!</v>
      </c>
      <c r="G164" t="e">
        <f t="shared" si="8"/>
        <v>#REF!</v>
      </c>
    </row>
    <row r="165" spans="1:7" x14ac:dyDescent="0.3">
      <c r="A165" t="e">
        <f>IF(#REF!="","",#REF!)</f>
        <v>#REF!</v>
      </c>
      <c r="B165" t="e">
        <f>IF(A165="","",#REF!)</f>
        <v>#REF!</v>
      </c>
      <c r="C165" t="e">
        <f>IF(A165="","",#REF!)</f>
        <v>#REF!</v>
      </c>
      <c r="D165" t="e">
        <f>IF(A165="","",#REF!)</f>
        <v>#REF!</v>
      </c>
      <c r="E165" t="e">
        <f t="shared" si="6"/>
        <v>#REF!</v>
      </c>
      <c r="F165" t="e">
        <f t="shared" si="7"/>
        <v>#REF!</v>
      </c>
      <c r="G165" t="e">
        <f t="shared" si="8"/>
        <v>#REF!</v>
      </c>
    </row>
    <row r="166" spans="1:7" x14ac:dyDescent="0.3">
      <c r="A166" t="e">
        <f>IF(#REF!="","",#REF!)</f>
        <v>#REF!</v>
      </c>
      <c r="B166" t="e">
        <f>IF(A166="","",#REF!)</f>
        <v>#REF!</v>
      </c>
      <c r="C166" t="e">
        <f>IF(A166="","",#REF!)</f>
        <v>#REF!</v>
      </c>
      <c r="D166" t="e">
        <f>IF(A166="","",#REF!)</f>
        <v>#REF!</v>
      </c>
      <c r="E166" t="e">
        <f t="shared" si="6"/>
        <v>#REF!</v>
      </c>
      <c r="F166" t="e">
        <f t="shared" si="7"/>
        <v>#REF!</v>
      </c>
      <c r="G166" t="e">
        <f t="shared" si="8"/>
        <v>#REF!</v>
      </c>
    </row>
    <row r="167" spans="1:7" x14ac:dyDescent="0.3">
      <c r="A167" t="e">
        <f>IF(#REF!="","",#REF!)</f>
        <v>#REF!</v>
      </c>
      <c r="B167" t="e">
        <f>IF(A167="","",#REF!)</f>
        <v>#REF!</v>
      </c>
      <c r="C167" t="e">
        <f>IF(A167="","",#REF!)</f>
        <v>#REF!</v>
      </c>
      <c r="D167" t="e">
        <f>IF(A167="","",#REF!)</f>
        <v>#REF!</v>
      </c>
      <c r="E167" t="e">
        <f t="shared" si="6"/>
        <v>#REF!</v>
      </c>
      <c r="F167" t="e">
        <f t="shared" si="7"/>
        <v>#REF!</v>
      </c>
      <c r="G167" t="e">
        <f t="shared" si="8"/>
        <v>#REF!</v>
      </c>
    </row>
    <row r="168" spans="1:7" x14ac:dyDescent="0.3">
      <c r="A168" t="e">
        <f>IF(#REF!="","",#REF!)</f>
        <v>#REF!</v>
      </c>
      <c r="B168" t="e">
        <f>IF(A168="","",#REF!)</f>
        <v>#REF!</v>
      </c>
      <c r="C168" t="e">
        <f>IF(A168="","",#REF!)</f>
        <v>#REF!</v>
      </c>
      <c r="D168" t="e">
        <f>IF(A168="","",#REF!)</f>
        <v>#REF!</v>
      </c>
      <c r="E168" t="e">
        <f t="shared" si="6"/>
        <v>#REF!</v>
      </c>
      <c r="F168" t="e">
        <f t="shared" si="7"/>
        <v>#REF!</v>
      </c>
      <c r="G168" t="e">
        <f t="shared" si="8"/>
        <v>#REF!</v>
      </c>
    </row>
    <row r="169" spans="1:7" x14ac:dyDescent="0.3">
      <c r="A169" t="e">
        <f>IF(#REF!="","",#REF!)</f>
        <v>#REF!</v>
      </c>
      <c r="B169" t="e">
        <f>IF(A169="","",#REF!)</f>
        <v>#REF!</v>
      </c>
      <c r="C169" t="e">
        <f>IF(A169="","",#REF!)</f>
        <v>#REF!</v>
      </c>
      <c r="D169" t="e">
        <f>IF(A169="","",#REF!)</f>
        <v>#REF!</v>
      </c>
      <c r="E169" t="e">
        <f t="shared" si="6"/>
        <v>#REF!</v>
      </c>
      <c r="F169" t="e">
        <f t="shared" si="7"/>
        <v>#REF!</v>
      </c>
      <c r="G169" t="e">
        <f t="shared" si="8"/>
        <v>#REF!</v>
      </c>
    </row>
    <row r="170" spans="1:7" x14ac:dyDescent="0.3">
      <c r="A170" t="e">
        <f>IF(#REF!="","",#REF!)</f>
        <v>#REF!</v>
      </c>
      <c r="B170" t="e">
        <f>IF(A170="","",#REF!)</f>
        <v>#REF!</v>
      </c>
      <c r="C170" t="e">
        <f>IF(A170="","",#REF!)</f>
        <v>#REF!</v>
      </c>
      <c r="D170" t="e">
        <f>IF(A170="","",#REF!)</f>
        <v>#REF!</v>
      </c>
      <c r="E170" t="e">
        <f t="shared" si="6"/>
        <v>#REF!</v>
      </c>
      <c r="F170" t="e">
        <f t="shared" si="7"/>
        <v>#REF!</v>
      </c>
      <c r="G170" t="e">
        <f t="shared" si="8"/>
        <v>#REF!</v>
      </c>
    </row>
    <row r="171" spans="1:7" x14ac:dyDescent="0.3">
      <c r="A171" t="e">
        <f>IF(#REF!="","",#REF!)</f>
        <v>#REF!</v>
      </c>
      <c r="B171" t="e">
        <f>IF(A171="","",#REF!)</f>
        <v>#REF!</v>
      </c>
      <c r="C171" t="e">
        <f>IF(A171="","",#REF!)</f>
        <v>#REF!</v>
      </c>
      <c r="D171" t="e">
        <f>IF(A171="","",#REF!)</f>
        <v>#REF!</v>
      </c>
      <c r="E171" t="e">
        <f t="shared" si="6"/>
        <v>#REF!</v>
      </c>
      <c r="F171" t="e">
        <f t="shared" si="7"/>
        <v>#REF!</v>
      </c>
      <c r="G171" t="e">
        <f t="shared" si="8"/>
        <v>#REF!</v>
      </c>
    </row>
    <row r="172" spans="1:7" x14ac:dyDescent="0.3">
      <c r="A172" t="e">
        <f>IF(#REF!="","",#REF!)</f>
        <v>#REF!</v>
      </c>
      <c r="B172" t="e">
        <f>IF(A172="","",#REF!)</f>
        <v>#REF!</v>
      </c>
      <c r="C172" t="e">
        <f>IF(A172="","",#REF!)</f>
        <v>#REF!</v>
      </c>
      <c r="D172" t="e">
        <f>IF(A172="","",#REF!)</f>
        <v>#REF!</v>
      </c>
      <c r="E172" t="e">
        <f t="shared" si="6"/>
        <v>#REF!</v>
      </c>
      <c r="F172" t="e">
        <f t="shared" si="7"/>
        <v>#REF!</v>
      </c>
      <c r="G172" t="e">
        <f t="shared" si="8"/>
        <v>#REF!</v>
      </c>
    </row>
    <row r="173" spans="1:7" x14ac:dyDescent="0.3">
      <c r="A173" t="e">
        <f>IF(#REF!="","",#REF!)</f>
        <v>#REF!</v>
      </c>
      <c r="B173" t="e">
        <f>IF(A173="","",#REF!)</f>
        <v>#REF!</v>
      </c>
      <c r="C173" t="e">
        <f>IF(A173="","",#REF!)</f>
        <v>#REF!</v>
      </c>
      <c r="D173" t="e">
        <f>IF(A173="","",#REF!)</f>
        <v>#REF!</v>
      </c>
      <c r="E173" t="e">
        <f t="shared" si="6"/>
        <v>#REF!</v>
      </c>
      <c r="F173" t="e">
        <f t="shared" si="7"/>
        <v>#REF!</v>
      </c>
      <c r="G173" t="e">
        <f t="shared" si="8"/>
        <v>#REF!</v>
      </c>
    </row>
    <row r="174" spans="1:7" x14ac:dyDescent="0.3">
      <c r="A174" t="e">
        <f>IF(#REF!="","",#REF!)</f>
        <v>#REF!</v>
      </c>
      <c r="B174" t="e">
        <f>IF(A174="","",#REF!)</f>
        <v>#REF!</v>
      </c>
      <c r="C174" t="e">
        <f>IF(A174="","",#REF!)</f>
        <v>#REF!</v>
      </c>
      <c r="D174" t="e">
        <f>IF(A174="","",#REF!)</f>
        <v>#REF!</v>
      </c>
      <c r="E174" t="e">
        <f t="shared" si="6"/>
        <v>#REF!</v>
      </c>
      <c r="F174" t="e">
        <f t="shared" si="7"/>
        <v>#REF!</v>
      </c>
      <c r="G174" t="e">
        <f t="shared" si="8"/>
        <v>#REF!</v>
      </c>
    </row>
    <row r="175" spans="1:7" x14ac:dyDescent="0.3">
      <c r="A175" t="e">
        <f>IF(#REF!="","",#REF!)</f>
        <v>#REF!</v>
      </c>
      <c r="B175" t="e">
        <f>IF(A175="","",#REF!)</f>
        <v>#REF!</v>
      </c>
      <c r="C175" t="e">
        <f>IF(A175="","",#REF!)</f>
        <v>#REF!</v>
      </c>
      <c r="D175" t="e">
        <f>IF(A175="","",#REF!)</f>
        <v>#REF!</v>
      </c>
      <c r="E175" t="e">
        <f t="shared" si="6"/>
        <v>#REF!</v>
      </c>
      <c r="F175" t="e">
        <f t="shared" si="7"/>
        <v>#REF!</v>
      </c>
      <c r="G175" t="e">
        <f t="shared" si="8"/>
        <v>#REF!</v>
      </c>
    </row>
    <row r="176" spans="1:7" x14ac:dyDescent="0.3">
      <c r="A176" t="e">
        <f>IF(#REF!="","",#REF!)</f>
        <v>#REF!</v>
      </c>
      <c r="B176" t="e">
        <f>IF(A176="","",#REF!)</f>
        <v>#REF!</v>
      </c>
      <c r="C176" t="e">
        <f>IF(A176="","",#REF!)</f>
        <v>#REF!</v>
      </c>
      <c r="D176" t="e">
        <f>IF(A176="","",#REF!)</f>
        <v>#REF!</v>
      </c>
      <c r="E176" t="e">
        <f t="shared" si="6"/>
        <v>#REF!</v>
      </c>
      <c r="F176" t="e">
        <f t="shared" si="7"/>
        <v>#REF!</v>
      </c>
      <c r="G176" t="e">
        <f t="shared" si="8"/>
        <v>#REF!</v>
      </c>
    </row>
    <row r="177" spans="1:7" x14ac:dyDescent="0.3">
      <c r="A177" t="e">
        <f>IF(#REF!="","",#REF!)</f>
        <v>#REF!</v>
      </c>
      <c r="B177" t="e">
        <f>IF(A177="","",#REF!)</f>
        <v>#REF!</v>
      </c>
      <c r="C177" t="e">
        <f>IF(A177="","",#REF!)</f>
        <v>#REF!</v>
      </c>
      <c r="D177" t="e">
        <f>IF(A177="","",#REF!)</f>
        <v>#REF!</v>
      </c>
      <c r="E177" t="e">
        <f t="shared" si="6"/>
        <v>#REF!</v>
      </c>
      <c r="F177" t="e">
        <f t="shared" si="7"/>
        <v>#REF!</v>
      </c>
      <c r="G177" t="e">
        <f t="shared" si="8"/>
        <v>#REF!</v>
      </c>
    </row>
    <row r="178" spans="1:7" x14ac:dyDescent="0.3">
      <c r="A178" t="e">
        <f>IF(#REF!="","",#REF!)</f>
        <v>#REF!</v>
      </c>
      <c r="B178" t="e">
        <f>IF(A178="","",#REF!)</f>
        <v>#REF!</v>
      </c>
      <c r="C178" t="e">
        <f>IF(A178="","",#REF!)</f>
        <v>#REF!</v>
      </c>
      <c r="D178" t="e">
        <f>IF(A178="","",#REF!)</f>
        <v>#REF!</v>
      </c>
      <c r="E178" t="e">
        <f t="shared" si="6"/>
        <v>#REF!</v>
      </c>
      <c r="F178" t="e">
        <f t="shared" si="7"/>
        <v>#REF!</v>
      </c>
      <c r="G178" t="e">
        <f t="shared" si="8"/>
        <v>#REF!</v>
      </c>
    </row>
    <row r="179" spans="1:7" x14ac:dyDescent="0.3">
      <c r="A179" t="e">
        <f>IF(#REF!="","",#REF!)</f>
        <v>#REF!</v>
      </c>
      <c r="B179" t="e">
        <f>IF(A179="","",#REF!)</f>
        <v>#REF!</v>
      </c>
      <c r="C179" t="e">
        <f>IF(A179="","",#REF!)</f>
        <v>#REF!</v>
      </c>
      <c r="D179" t="e">
        <f>IF(A179="","",#REF!)</f>
        <v>#REF!</v>
      </c>
      <c r="E179" t="e">
        <f t="shared" si="6"/>
        <v>#REF!</v>
      </c>
      <c r="F179" t="e">
        <f t="shared" si="7"/>
        <v>#REF!</v>
      </c>
      <c r="G179" t="e">
        <f t="shared" si="8"/>
        <v>#REF!</v>
      </c>
    </row>
    <row r="180" spans="1:7" x14ac:dyDescent="0.3">
      <c r="A180" t="e">
        <f>IF(#REF!="","",#REF!)</f>
        <v>#REF!</v>
      </c>
      <c r="B180" t="e">
        <f>IF(A180="","",#REF!)</f>
        <v>#REF!</v>
      </c>
      <c r="C180" t="e">
        <f>IF(A180="","",#REF!)</f>
        <v>#REF!</v>
      </c>
      <c r="D180" t="e">
        <f>IF(A180="","",#REF!)</f>
        <v>#REF!</v>
      </c>
      <c r="E180" t="e">
        <f t="shared" si="6"/>
        <v>#REF!</v>
      </c>
      <c r="F180" t="e">
        <f t="shared" si="7"/>
        <v>#REF!</v>
      </c>
      <c r="G180" t="e">
        <f t="shared" si="8"/>
        <v>#REF!</v>
      </c>
    </row>
    <row r="181" spans="1:7" x14ac:dyDescent="0.3">
      <c r="A181" t="e">
        <f>IF(#REF!="","",#REF!)</f>
        <v>#REF!</v>
      </c>
      <c r="B181" t="e">
        <f>IF(A181="","",#REF!)</f>
        <v>#REF!</v>
      </c>
      <c r="C181" t="e">
        <f>IF(A181="","",#REF!)</f>
        <v>#REF!</v>
      </c>
      <c r="D181" t="e">
        <f>IF(A181="","",#REF!)</f>
        <v>#REF!</v>
      </c>
      <c r="E181" t="e">
        <f t="shared" si="6"/>
        <v>#REF!</v>
      </c>
      <c r="F181" t="e">
        <f t="shared" si="7"/>
        <v>#REF!</v>
      </c>
      <c r="G181" t="e">
        <f t="shared" si="8"/>
        <v>#REF!</v>
      </c>
    </row>
    <row r="182" spans="1:7" x14ac:dyDescent="0.3">
      <c r="A182" t="e">
        <f>IF(#REF!="","",#REF!)</f>
        <v>#REF!</v>
      </c>
      <c r="B182" t="e">
        <f>IF(A182="","",#REF!)</f>
        <v>#REF!</v>
      </c>
      <c r="C182" t="e">
        <f>IF(A182="","",#REF!)</f>
        <v>#REF!</v>
      </c>
      <c r="D182" t="e">
        <f>IF(A182="","",#REF!)</f>
        <v>#REF!</v>
      </c>
      <c r="E182" t="e">
        <f t="shared" si="6"/>
        <v>#REF!</v>
      </c>
      <c r="F182" t="e">
        <f t="shared" si="7"/>
        <v>#REF!</v>
      </c>
      <c r="G182" t="e">
        <f t="shared" si="8"/>
        <v>#REF!</v>
      </c>
    </row>
    <row r="183" spans="1:7" x14ac:dyDescent="0.3">
      <c r="A183" t="e">
        <f>IF(#REF!="","",#REF!)</f>
        <v>#REF!</v>
      </c>
      <c r="B183" t="e">
        <f>IF(A183="","",#REF!)</f>
        <v>#REF!</v>
      </c>
      <c r="C183" t="e">
        <f>IF(A183="","",#REF!)</f>
        <v>#REF!</v>
      </c>
      <c r="D183" t="e">
        <f>IF(A183="","",#REF!)</f>
        <v>#REF!</v>
      </c>
      <c r="E183" t="e">
        <f t="shared" si="6"/>
        <v>#REF!</v>
      </c>
      <c r="F183" t="e">
        <f t="shared" si="7"/>
        <v>#REF!</v>
      </c>
      <c r="G183" t="e">
        <f t="shared" si="8"/>
        <v>#REF!</v>
      </c>
    </row>
    <row r="184" spans="1:7" x14ac:dyDescent="0.3">
      <c r="A184" t="e">
        <f>IF(#REF!="","",#REF!)</f>
        <v>#REF!</v>
      </c>
      <c r="B184" t="e">
        <f>IF(A184="","",#REF!)</f>
        <v>#REF!</v>
      </c>
      <c r="C184" t="e">
        <f>IF(A184="","",#REF!)</f>
        <v>#REF!</v>
      </c>
      <c r="D184" t="e">
        <f>IF(A184="","",#REF!)</f>
        <v>#REF!</v>
      </c>
      <c r="E184" t="e">
        <f t="shared" si="6"/>
        <v>#REF!</v>
      </c>
      <c r="F184" t="e">
        <f t="shared" si="7"/>
        <v>#REF!</v>
      </c>
      <c r="G184" t="e">
        <f t="shared" si="8"/>
        <v>#REF!</v>
      </c>
    </row>
    <row r="185" spans="1:7" x14ac:dyDescent="0.3">
      <c r="A185" t="e">
        <f>IF(#REF!="","",#REF!)</f>
        <v>#REF!</v>
      </c>
      <c r="B185" t="e">
        <f>IF(A185="","",#REF!)</f>
        <v>#REF!</v>
      </c>
      <c r="C185" t="e">
        <f>IF(A185="","",#REF!)</f>
        <v>#REF!</v>
      </c>
      <c r="D185" t="e">
        <f>IF(A185="","",#REF!)</f>
        <v>#REF!</v>
      </c>
      <c r="E185" t="e">
        <f t="shared" si="6"/>
        <v>#REF!</v>
      </c>
      <c r="F185" t="e">
        <f t="shared" si="7"/>
        <v>#REF!</v>
      </c>
      <c r="G185" t="e">
        <f t="shared" si="8"/>
        <v>#REF!</v>
      </c>
    </row>
    <row r="186" spans="1:7" x14ac:dyDescent="0.3">
      <c r="A186" t="e">
        <f>IF(#REF!="","",#REF!)</f>
        <v>#REF!</v>
      </c>
      <c r="B186" t="e">
        <f>IF(A186="","",#REF!)</f>
        <v>#REF!</v>
      </c>
      <c r="C186" t="e">
        <f>IF(A186="","",#REF!)</f>
        <v>#REF!</v>
      </c>
      <c r="D186" t="e">
        <f>IF(A186="","",#REF!)</f>
        <v>#REF!</v>
      </c>
      <c r="E186" t="e">
        <f t="shared" si="6"/>
        <v>#REF!</v>
      </c>
      <c r="F186" t="e">
        <f t="shared" si="7"/>
        <v>#REF!</v>
      </c>
      <c r="G186" t="e">
        <f t="shared" si="8"/>
        <v>#REF!</v>
      </c>
    </row>
    <row r="187" spans="1:7" x14ac:dyDescent="0.3">
      <c r="A187" t="e">
        <f>IF(#REF!="","",#REF!)</f>
        <v>#REF!</v>
      </c>
      <c r="B187" t="e">
        <f>IF(A187="","",#REF!)</f>
        <v>#REF!</v>
      </c>
      <c r="C187" t="e">
        <f>IF(A187="","",#REF!)</f>
        <v>#REF!</v>
      </c>
      <c r="D187" t="e">
        <f>IF(A187="","",#REF!)</f>
        <v>#REF!</v>
      </c>
      <c r="E187" t="e">
        <f t="shared" si="6"/>
        <v>#REF!</v>
      </c>
      <c r="F187" t="e">
        <f t="shared" si="7"/>
        <v>#REF!</v>
      </c>
      <c r="G187" t="e">
        <f t="shared" si="8"/>
        <v>#REF!</v>
      </c>
    </row>
    <row r="188" spans="1:7" x14ac:dyDescent="0.3">
      <c r="A188" t="e">
        <f>IF(#REF!="","",#REF!)</f>
        <v>#REF!</v>
      </c>
      <c r="B188" t="e">
        <f>IF(A188="","",#REF!)</f>
        <v>#REF!</v>
      </c>
      <c r="C188" t="e">
        <f>IF(A188="","",#REF!)</f>
        <v>#REF!</v>
      </c>
      <c r="D188" t="e">
        <f>IF(A188="","",#REF!)</f>
        <v>#REF!</v>
      </c>
      <c r="E188" t="e">
        <f t="shared" si="6"/>
        <v>#REF!</v>
      </c>
      <c r="F188" t="e">
        <f t="shared" si="7"/>
        <v>#REF!</v>
      </c>
      <c r="G188" t="e">
        <f t="shared" si="8"/>
        <v>#REF!</v>
      </c>
    </row>
    <row r="189" spans="1:7" x14ac:dyDescent="0.3">
      <c r="A189" t="e">
        <f>IF(#REF!="","",#REF!)</f>
        <v>#REF!</v>
      </c>
      <c r="B189" t="e">
        <f>IF(A189="","",#REF!)</f>
        <v>#REF!</v>
      </c>
      <c r="C189" t="e">
        <f>IF(A189="","",#REF!)</f>
        <v>#REF!</v>
      </c>
      <c r="D189" t="e">
        <f>IF(A189="","",#REF!)</f>
        <v>#REF!</v>
      </c>
      <c r="E189" t="e">
        <f t="shared" si="6"/>
        <v>#REF!</v>
      </c>
      <c r="F189" t="e">
        <f t="shared" si="7"/>
        <v>#REF!</v>
      </c>
      <c r="G189" t="e">
        <f t="shared" si="8"/>
        <v>#REF!</v>
      </c>
    </row>
    <row r="190" spans="1:7" x14ac:dyDescent="0.3">
      <c r="A190" t="e">
        <f>IF(#REF!="","",#REF!)</f>
        <v>#REF!</v>
      </c>
      <c r="B190" t="e">
        <f>IF(A190="","",#REF!)</f>
        <v>#REF!</v>
      </c>
      <c r="C190" t="e">
        <f>IF(A190="","",#REF!)</f>
        <v>#REF!</v>
      </c>
      <c r="D190" t="e">
        <f>IF(A190="","",#REF!)</f>
        <v>#REF!</v>
      </c>
      <c r="E190" t="e">
        <f t="shared" si="6"/>
        <v>#REF!</v>
      </c>
      <c r="F190" t="e">
        <f t="shared" si="7"/>
        <v>#REF!</v>
      </c>
      <c r="G190" t="e">
        <f t="shared" si="8"/>
        <v>#REF!</v>
      </c>
    </row>
    <row r="191" spans="1:7" x14ac:dyDescent="0.3">
      <c r="A191" t="e">
        <f>IF(#REF!="","",#REF!)</f>
        <v>#REF!</v>
      </c>
      <c r="B191" t="e">
        <f>IF(A191="","",#REF!)</f>
        <v>#REF!</v>
      </c>
      <c r="C191" t="e">
        <f>IF(A191="","",#REF!)</f>
        <v>#REF!</v>
      </c>
      <c r="D191" t="e">
        <f>IF(A191="","",#REF!)</f>
        <v>#REF!</v>
      </c>
      <c r="E191" t="e">
        <f t="shared" si="6"/>
        <v>#REF!</v>
      </c>
      <c r="F191" t="e">
        <f t="shared" si="7"/>
        <v>#REF!</v>
      </c>
      <c r="G191" t="e">
        <f t="shared" si="8"/>
        <v>#REF!</v>
      </c>
    </row>
    <row r="192" spans="1:7" x14ac:dyDescent="0.3">
      <c r="A192" t="e">
        <f>IF(#REF!="","",#REF!)</f>
        <v>#REF!</v>
      </c>
      <c r="B192" t="e">
        <f>IF(A192="","",#REF!)</f>
        <v>#REF!</v>
      </c>
      <c r="C192" t="e">
        <f>IF(A192="","",#REF!)</f>
        <v>#REF!</v>
      </c>
      <c r="D192" t="e">
        <f>IF(A192="","",#REF!)</f>
        <v>#REF!</v>
      </c>
      <c r="E192" t="e">
        <f t="shared" si="6"/>
        <v>#REF!</v>
      </c>
      <c r="F192" t="e">
        <f t="shared" si="7"/>
        <v>#REF!</v>
      </c>
      <c r="G192" t="e">
        <f t="shared" si="8"/>
        <v>#REF!</v>
      </c>
    </row>
    <row r="193" spans="1:7" x14ac:dyDescent="0.3">
      <c r="A193" t="e">
        <f>IF(#REF!="","",#REF!)</f>
        <v>#REF!</v>
      </c>
      <c r="B193" t="e">
        <f>IF(A193="","",#REF!)</f>
        <v>#REF!</v>
      </c>
      <c r="C193" t="e">
        <f>IF(A193="","",#REF!)</f>
        <v>#REF!</v>
      </c>
      <c r="D193" t="e">
        <f>IF(A193="","",#REF!)</f>
        <v>#REF!</v>
      </c>
      <c r="E193" t="e">
        <f t="shared" si="6"/>
        <v>#REF!</v>
      </c>
      <c r="F193" t="e">
        <f t="shared" si="7"/>
        <v>#REF!</v>
      </c>
      <c r="G193" t="e">
        <f t="shared" si="8"/>
        <v>#REF!</v>
      </c>
    </row>
    <row r="194" spans="1:7" x14ac:dyDescent="0.3">
      <c r="A194" t="e">
        <f>IF(#REF!="","",#REF!)</f>
        <v>#REF!</v>
      </c>
      <c r="B194" t="e">
        <f>IF(A194="","",#REF!)</f>
        <v>#REF!</v>
      </c>
      <c r="C194" t="e">
        <f>IF(A194="","",#REF!)</f>
        <v>#REF!</v>
      </c>
      <c r="D194" t="e">
        <f>IF(A194="","",#REF!)</f>
        <v>#REF!</v>
      </c>
      <c r="E194" t="e">
        <f t="shared" si="6"/>
        <v>#REF!</v>
      </c>
      <c r="F194" t="e">
        <f t="shared" si="7"/>
        <v>#REF!</v>
      </c>
      <c r="G194" t="e">
        <f t="shared" si="8"/>
        <v>#REF!</v>
      </c>
    </row>
    <row r="195" spans="1:7" x14ac:dyDescent="0.3">
      <c r="A195" t="e">
        <f>IF(#REF!="","",#REF!)</f>
        <v>#REF!</v>
      </c>
      <c r="B195" t="e">
        <f>IF(A195="","",#REF!)</f>
        <v>#REF!</v>
      </c>
      <c r="C195" t="e">
        <f>IF(A195="","",#REF!)</f>
        <v>#REF!</v>
      </c>
      <c r="D195" t="e">
        <f>IF(A195="","",#REF!)</f>
        <v>#REF!</v>
      </c>
      <c r="E195" t="e">
        <f t="shared" si="6"/>
        <v>#REF!</v>
      </c>
      <c r="F195" t="e">
        <f t="shared" si="7"/>
        <v>#REF!</v>
      </c>
      <c r="G195" t="e">
        <f t="shared" si="8"/>
        <v>#REF!</v>
      </c>
    </row>
    <row r="196" spans="1:7" x14ac:dyDescent="0.3">
      <c r="A196" t="e">
        <f>IF(#REF!="","",#REF!)</f>
        <v>#REF!</v>
      </c>
      <c r="B196" t="e">
        <f>IF(A196="","",#REF!)</f>
        <v>#REF!</v>
      </c>
      <c r="C196" t="e">
        <f>IF(A196="","",#REF!)</f>
        <v>#REF!</v>
      </c>
      <c r="D196" t="e">
        <f>IF(A196="","",#REF!)</f>
        <v>#REF!</v>
      </c>
      <c r="E196" t="e">
        <f t="shared" si="6"/>
        <v>#REF!</v>
      </c>
      <c r="F196" t="e">
        <f t="shared" si="7"/>
        <v>#REF!</v>
      </c>
      <c r="G196" t="e">
        <f t="shared" si="8"/>
        <v>#REF!</v>
      </c>
    </row>
    <row r="197" spans="1:7" x14ac:dyDescent="0.3">
      <c r="A197" t="e">
        <f>IF(#REF!="","",#REF!)</f>
        <v>#REF!</v>
      </c>
      <c r="B197" t="e">
        <f>IF(A197="","",#REF!)</f>
        <v>#REF!</v>
      </c>
      <c r="C197" t="e">
        <f>IF(A197="","",#REF!)</f>
        <v>#REF!</v>
      </c>
      <c r="D197" t="e">
        <f>IF(A197="","",#REF!)</f>
        <v>#REF!</v>
      </c>
      <c r="E197" t="e">
        <f t="shared" ref="E197:E260" si="9">IF(A197="","",IF(COUNTIF($A$5:$A$504,A197)&gt;1,"Duplicate","Unique"))</f>
        <v>#REF!</v>
      </c>
      <c r="F197" t="e">
        <f t="shared" ref="F197:F260" si="10">IF(A197="","",IF(C197="","Missing Date","Date Present"))</f>
        <v>#REF!</v>
      </c>
      <c r="G197" t="e">
        <f t="shared" ref="G197:G260" si="11">IF(A197="","",IF(OR(E197="Duplicate",F197="Missing Date"),"Review","Pass"))</f>
        <v>#REF!</v>
      </c>
    </row>
    <row r="198" spans="1:7" x14ac:dyDescent="0.3">
      <c r="A198" t="e">
        <f>IF(#REF!="","",#REF!)</f>
        <v>#REF!</v>
      </c>
      <c r="B198" t="e">
        <f>IF(A198="","",#REF!)</f>
        <v>#REF!</v>
      </c>
      <c r="C198" t="e">
        <f>IF(A198="","",#REF!)</f>
        <v>#REF!</v>
      </c>
      <c r="D198" t="e">
        <f>IF(A198="","",#REF!)</f>
        <v>#REF!</v>
      </c>
      <c r="E198" t="e">
        <f t="shared" si="9"/>
        <v>#REF!</v>
      </c>
      <c r="F198" t="e">
        <f t="shared" si="10"/>
        <v>#REF!</v>
      </c>
      <c r="G198" t="e">
        <f t="shared" si="11"/>
        <v>#REF!</v>
      </c>
    </row>
    <row r="199" spans="1:7" x14ac:dyDescent="0.3">
      <c r="A199" t="e">
        <f>IF(#REF!="","",#REF!)</f>
        <v>#REF!</v>
      </c>
      <c r="B199" t="e">
        <f>IF(A199="","",#REF!)</f>
        <v>#REF!</v>
      </c>
      <c r="C199" t="e">
        <f>IF(A199="","",#REF!)</f>
        <v>#REF!</v>
      </c>
      <c r="D199" t="e">
        <f>IF(A199="","",#REF!)</f>
        <v>#REF!</v>
      </c>
      <c r="E199" t="e">
        <f t="shared" si="9"/>
        <v>#REF!</v>
      </c>
      <c r="F199" t="e">
        <f t="shared" si="10"/>
        <v>#REF!</v>
      </c>
      <c r="G199" t="e">
        <f t="shared" si="11"/>
        <v>#REF!</v>
      </c>
    </row>
    <row r="200" spans="1:7" x14ac:dyDescent="0.3">
      <c r="A200" t="e">
        <f>IF(#REF!="","",#REF!)</f>
        <v>#REF!</v>
      </c>
      <c r="B200" t="e">
        <f>IF(A200="","",#REF!)</f>
        <v>#REF!</v>
      </c>
      <c r="C200" t="e">
        <f>IF(A200="","",#REF!)</f>
        <v>#REF!</v>
      </c>
      <c r="D200" t="e">
        <f>IF(A200="","",#REF!)</f>
        <v>#REF!</v>
      </c>
      <c r="E200" t="e">
        <f t="shared" si="9"/>
        <v>#REF!</v>
      </c>
      <c r="F200" t="e">
        <f t="shared" si="10"/>
        <v>#REF!</v>
      </c>
      <c r="G200" t="e">
        <f t="shared" si="11"/>
        <v>#REF!</v>
      </c>
    </row>
    <row r="201" spans="1:7" x14ac:dyDescent="0.3">
      <c r="A201" t="e">
        <f>IF(#REF!="","",#REF!)</f>
        <v>#REF!</v>
      </c>
      <c r="B201" t="e">
        <f>IF(A201="","",#REF!)</f>
        <v>#REF!</v>
      </c>
      <c r="C201" t="e">
        <f>IF(A201="","",#REF!)</f>
        <v>#REF!</v>
      </c>
      <c r="D201" t="e">
        <f>IF(A201="","",#REF!)</f>
        <v>#REF!</v>
      </c>
      <c r="E201" t="e">
        <f t="shared" si="9"/>
        <v>#REF!</v>
      </c>
      <c r="F201" t="e">
        <f t="shared" si="10"/>
        <v>#REF!</v>
      </c>
      <c r="G201" t="e">
        <f t="shared" si="11"/>
        <v>#REF!</v>
      </c>
    </row>
    <row r="202" spans="1:7" x14ac:dyDescent="0.3">
      <c r="A202" t="e">
        <f>IF(#REF!="","",#REF!)</f>
        <v>#REF!</v>
      </c>
      <c r="B202" t="e">
        <f>IF(A202="","",#REF!)</f>
        <v>#REF!</v>
      </c>
      <c r="C202" t="e">
        <f>IF(A202="","",#REF!)</f>
        <v>#REF!</v>
      </c>
      <c r="D202" t="e">
        <f>IF(A202="","",#REF!)</f>
        <v>#REF!</v>
      </c>
      <c r="E202" t="e">
        <f t="shared" si="9"/>
        <v>#REF!</v>
      </c>
      <c r="F202" t="e">
        <f t="shared" si="10"/>
        <v>#REF!</v>
      </c>
      <c r="G202" t="e">
        <f t="shared" si="11"/>
        <v>#REF!</v>
      </c>
    </row>
    <row r="203" spans="1:7" x14ac:dyDescent="0.3">
      <c r="A203" t="e">
        <f>IF(#REF!="","",#REF!)</f>
        <v>#REF!</v>
      </c>
      <c r="B203" t="e">
        <f>IF(A203="","",#REF!)</f>
        <v>#REF!</v>
      </c>
      <c r="C203" t="e">
        <f>IF(A203="","",#REF!)</f>
        <v>#REF!</v>
      </c>
      <c r="D203" t="e">
        <f>IF(A203="","",#REF!)</f>
        <v>#REF!</v>
      </c>
      <c r="E203" t="e">
        <f t="shared" si="9"/>
        <v>#REF!</v>
      </c>
      <c r="F203" t="e">
        <f t="shared" si="10"/>
        <v>#REF!</v>
      </c>
      <c r="G203" t="e">
        <f t="shared" si="11"/>
        <v>#REF!</v>
      </c>
    </row>
    <row r="204" spans="1:7" x14ac:dyDescent="0.3">
      <c r="A204" t="e">
        <f>IF(#REF!="","",#REF!)</f>
        <v>#REF!</v>
      </c>
      <c r="B204" t="e">
        <f>IF(A204="","",#REF!)</f>
        <v>#REF!</v>
      </c>
      <c r="C204" t="e">
        <f>IF(A204="","",#REF!)</f>
        <v>#REF!</v>
      </c>
      <c r="D204" t="e">
        <f>IF(A204="","",#REF!)</f>
        <v>#REF!</v>
      </c>
      <c r="E204" t="e">
        <f t="shared" si="9"/>
        <v>#REF!</v>
      </c>
      <c r="F204" t="e">
        <f t="shared" si="10"/>
        <v>#REF!</v>
      </c>
      <c r="G204" t="e">
        <f t="shared" si="11"/>
        <v>#REF!</v>
      </c>
    </row>
    <row r="205" spans="1:7" x14ac:dyDescent="0.3">
      <c r="A205" t="e">
        <f>IF(#REF!="","",#REF!)</f>
        <v>#REF!</v>
      </c>
      <c r="B205" t="e">
        <f>IF(A205="","",#REF!)</f>
        <v>#REF!</v>
      </c>
      <c r="C205" t="e">
        <f>IF(A205="","",#REF!)</f>
        <v>#REF!</v>
      </c>
      <c r="D205" t="e">
        <f>IF(A205="","",#REF!)</f>
        <v>#REF!</v>
      </c>
      <c r="E205" t="e">
        <f t="shared" si="9"/>
        <v>#REF!</v>
      </c>
      <c r="F205" t="e">
        <f t="shared" si="10"/>
        <v>#REF!</v>
      </c>
      <c r="G205" t="e">
        <f t="shared" si="11"/>
        <v>#REF!</v>
      </c>
    </row>
    <row r="206" spans="1:7" x14ac:dyDescent="0.3">
      <c r="A206" t="e">
        <f>IF(#REF!="","",#REF!)</f>
        <v>#REF!</v>
      </c>
      <c r="B206" t="e">
        <f>IF(A206="","",#REF!)</f>
        <v>#REF!</v>
      </c>
      <c r="C206" t="e">
        <f>IF(A206="","",#REF!)</f>
        <v>#REF!</v>
      </c>
      <c r="D206" t="e">
        <f>IF(A206="","",#REF!)</f>
        <v>#REF!</v>
      </c>
      <c r="E206" t="e">
        <f t="shared" si="9"/>
        <v>#REF!</v>
      </c>
      <c r="F206" t="e">
        <f t="shared" si="10"/>
        <v>#REF!</v>
      </c>
      <c r="G206" t="e">
        <f t="shared" si="11"/>
        <v>#REF!</v>
      </c>
    </row>
    <row r="207" spans="1:7" x14ac:dyDescent="0.3">
      <c r="A207" t="e">
        <f>IF(#REF!="","",#REF!)</f>
        <v>#REF!</v>
      </c>
      <c r="B207" t="e">
        <f>IF(A207="","",#REF!)</f>
        <v>#REF!</v>
      </c>
      <c r="C207" t="e">
        <f>IF(A207="","",#REF!)</f>
        <v>#REF!</v>
      </c>
      <c r="D207" t="e">
        <f>IF(A207="","",#REF!)</f>
        <v>#REF!</v>
      </c>
      <c r="E207" t="e">
        <f t="shared" si="9"/>
        <v>#REF!</v>
      </c>
      <c r="F207" t="e">
        <f t="shared" si="10"/>
        <v>#REF!</v>
      </c>
      <c r="G207" t="e">
        <f t="shared" si="11"/>
        <v>#REF!</v>
      </c>
    </row>
    <row r="208" spans="1:7" x14ac:dyDescent="0.3">
      <c r="A208" t="e">
        <f>IF(#REF!="","",#REF!)</f>
        <v>#REF!</v>
      </c>
      <c r="B208" t="e">
        <f>IF(A208="","",#REF!)</f>
        <v>#REF!</v>
      </c>
      <c r="C208" t="e">
        <f>IF(A208="","",#REF!)</f>
        <v>#REF!</v>
      </c>
      <c r="D208" t="e">
        <f>IF(A208="","",#REF!)</f>
        <v>#REF!</v>
      </c>
      <c r="E208" t="e">
        <f t="shared" si="9"/>
        <v>#REF!</v>
      </c>
      <c r="F208" t="e">
        <f t="shared" si="10"/>
        <v>#REF!</v>
      </c>
      <c r="G208" t="e">
        <f t="shared" si="11"/>
        <v>#REF!</v>
      </c>
    </row>
    <row r="209" spans="1:7" x14ac:dyDescent="0.3">
      <c r="A209" t="e">
        <f>IF(#REF!="","",#REF!)</f>
        <v>#REF!</v>
      </c>
      <c r="B209" t="e">
        <f>IF(A209="","",#REF!)</f>
        <v>#REF!</v>
      </c>
      <c r="C209" t="e">
        <f>IF(A209="","",#REF!)</f>
        <v>#REF!</v>
      </c>
      <c r="D209" t="e">
        <f>IF(A209="","",#REF!)</f>
        <v>#REF!</v>
      </c>
      <c r="E209" t="e">
        <f t="shared" si="9"/>
        <v>#REF!</v>
      </c>
      <c r="F209" t="e">
        <f t="shared" si="10"/>
        <v>#REF!</v>
      </c>
      <c r="G209" t="e">
        <f t="shared" si="11"/>
        <v>#REF!</v>
      </c>
    </row>
    <row r="210" spans="1:7" x14ac:dyDescent="0.3">
      <c r="A210" t="e">
        <f>IF(#REF!="","",#REF!)</f>
        <v>#REF!</v>
      </c>
      <c r="B210" t="e">
        <f>IF(A210="","",#REF!)</f>
        <v>#REF!</v>
      </c>
      <c r="C210" t="e">
        <f>IF(A210="","",#REF!)</f>
        <v>#REF!</v>
      </c>
      <c r="D210" t="e">
        <f>IF(A210="","",#REF!)</f>
        <v>#REF!</v>
      </c>
      <c r="E210" t="e">
        <f t="shared" si="9"/>
        <v>#REF!</v>
      </c>
      <c r="F210" t="e">
        <f t="shared" si="10"/>
        <v>#REF!</v>
      </c>
      <c r="G210" t="e">
        <f t="shared" si="11"/>
        <v>#REF!</v>
      </c>
    </row>
    <row r="211" spans="1:7" x14ac:dyDescent="0.3">
      <c r="A211" t="e">
        <f>IF(#REF!="","",#REF!)</f>
        <v>#REF!</v>
      </c>
      <c r="B211" t="e">
        <f>IF(A211="","",#REF!)</f>
        <v>#REF!</v>
      </c>
      <c r="C211" t="e">
        <f>IF(A211="","",#REF!)</f>
        <v>#REF!</v>
      </c>
      <c r="D211" t="e">
        <f>IF(A211="","",#REF!)</f>
        <v>#REF!</v>
      </c>
      <c r="E211" t="e">
        <f t="shared" si="9"/>
        <v>#REF!</v>
      </c>
      <c r="F211" t="e">
        <f t="shared" si="10"/>
        <v>#REF!</v>
      </c>
      <c r="G211" t="e">
        <f t="shared" si="11"/>
        <v>#REF!</v>
      </c>
    </row>
    <row r="212" spans="1:7" x14ac:dyDescent="0.3">
      <c r="A212" t="e">
        <f>IF(#REF!="","",#REF!)</f>
        <v>#REF!</v>
      </c>
      <c r="B212" t="e">
        <f>IF(A212="","",#REF!)</f>
        <v>#REF!</v>
      </c>
      <c r="C212" t="e">
        <f>IF(A212="","",#REF!)</f>
        <v>#REF!</v>
      </c>
      <c r="D212" t="e">
        <f>IF(A212="","",#REF!)</f>
        <v>#REF!</v>
      </c>
      <c r="E212" t="e">
        <f t="shared" si="9"/>
        <v>#REF!</v>
      </c>
      <c r="F212" t="e">
        <f t="shared" si="10"/>
        <v>#REF!</v>
      </c>
      <c r="G212" t="e">
        <f t="shared" si="11"/>
        <v>#REF!</v>
      </c>
    </row>
    <row r="213" spans="1:7" x14ac:dyDescent="0.3">
      <c r="A213" t="e">
        <f>IF(#REF!="","",#REF!)</f>
        <v>#REF!</v>
      </c>
      <c r="B213" t="e">
        <f>IF(A213="","",#REF!)</f>
        <v>#REF!</v>
      </c>
      <c r="C213" t="e">
        <f>IF(A213="","",#REF!)</f>
        <v>#REF!</v>
      </c>
      <c r="D213" t="e">
        <f>IF(A213="","",#REF!)</f>
        <v>#REF!</v>
      </c>
      <c r="E213" t="e">
        <f t="shared" si="9"/>
        <v>#REF!</v>
      </c>
      <c r="F213" t="e">
        <f t="shared" si="10"/>
        <v>#REF!</v>
      </c>
      <c r="G213" t="e">
        <f t="shared" si="11"/>
        <v>#REF!</v>
      </c>
    </row>
    <row r="214" spans="1:7" x14ac:dyDescent="0.3">
      <c r="A214" t="e">
        <f>IF(#REF!="","",#REF!)</f>
        <v>#REF!</v>
      </c>
      <c r="B214" t="e">
        <f>IF(A214="","",#REF!)</f>
        <v>#REF!</v>
      </c>
      <c r="C214" t="e">
        <f>IF(A214="","",#REF!)</f>
        <v>#REF!</v>
      </c>
      <c r="D214" t="e">
        <f>IF(A214="","",#REF!)</f>
        <v>#REF!</v>
      </c>
      <c r="E214" t="e">
        <f t="shared" si="9"/>
        <v>#REF!</v>
      </c>
      <c r="F214" t="e">
        <f t="shared" si="10"/>
        <v>#REF!</v>
      </c>
      <c r="G214" t="e">
        <f t="shared" si="11"/>
        <v>#REF!</v>
      </c>
    </row>
    <row r="215" spans="1:7" x14ac:dyDescent="0.3">
      <c r="A215" t="e">
        <f>IF(#REF!="","",#REF!)</f>
        <v>#REF!</v>
      </c>
      <c r="B215" t="e">
        <f>IF(A215="","",#REF!)</f>
        <v>#REF!</v>
      </c>
      <c r="C215" t="e">
        <f>IF(A215="","",#REF!)</f>
        <v>#REF!</v>
      </c>
      <c r="D215" t="e">
        <f>IF(A215="","",#REF!)</f>
        <v>#REF!</v>
      </c>
      <c r="E215" t="e">
        <f t="shared" si="9"/>
        <v>#REF!</v>
      </c>
      <c r="F215" t="e">
        <f t="shared" si="10"/>
        <v>#REF!</v>
      </c>
      <c r="G215" t="e">
        <f t="shared" si="11"/>
        <v>#REF!</v>
      </c>
    </row>
    <row r="216" spans="1:7" x14ac:dyDescent="0.3">
      <c r="A216" t="e">
        <f>IF(#REF!="","",#REF!)</f>
        <v>#REF!</v>
      </c>
      <c r="B216" t="e">
        <f>IF(A216="","",#REF!)</f>
        <v>#REF!</v>
      </c>
      <c r="C216" t="e">
        <f>IF(A216="","",#REF!)</f>
        <v>#REF!</v>
      </c>
      <c r="D216" t="e">
        <f>IF(A216="","",#REF!)</f>
        <v>#REF!</v>
      </c>
      <c r="E216" t="e">
        <f t="shared" si="9"/>
        <v>#REF!</v>
      </c>
      <c r="F216" t="e">
        <f t="shared" si="10"/>
        <v>#REF!</v>
      </c>
      <c r="G216" t="e">
        <f t="shared" si="11"/>
        <v>#REF!</v>
      </c>
    </row>
    <row r="217" spans="1:7" x14ac:dyDescent="0.3">
      <c r="A217" t="e">
        <f>IF(#REF!="","",#REF!)</f>
        <v>#REF!</v>
      </c>
      <c r="B217" t="e">
        <f>IF(A217="","",#REF!)</f>
        <v>#REF!</v>
      </c>
      <c r="C217" t="e">
        <f>IF(A217="","",#REF!)</f>
        <v>#REF!</v>
      </c>
      <c r="D217" t="e">
        <f>IF(A217="","",#REF!)</f>
        <v>#REF!</v>
      </c>
      <c r="E217" t="e">
        <f t="shared" si="9"/>
        <v>#REF!</v>
      </c>
      <c r="F217" t="e">
        <f t="shared" si="10"/>
        <v>#REF!</v>
      </c>
      <c r="G217" t="e">
        <f t="shared" si="11"/>
        <v>#REF!</v>
      </c>
    </row>
    <row r="218" spans="1:7" x14ac:dyDescent="0.3">
      <c r="A218" t="e">
        <f>IF(#REF!="","",#REF!)</f>
        <v>#REF!</v>
      </c>
      <c r="B218" t="e">
        <f>IF(A218="","",#REF!)</f>
        <v>#REF!</v>
      </c>
      <c r="C218" t="e">
        <f>IF(A218="","",#REF!)</f>
        <v>#REF!</v>
      </c>
      <c r="D218" t="e">
        <f>IF(A218="","",#REF!)</f>
        <v>#REF!</v>
      </c>
      <c r="E218" t="e">
        <f t="shared" si="9"/>
        <v>#REF!</v>
      </c>
      <c r="F218" t="e">
        <f t="shared" si="10"/>
        <v>#REF!</v>
      </c>
      <c r="G218" t="e">
        <f t="shared" si="11"/>
        <v>#REF!</v>
      </c>
    </row>
    <row r="219" spans="1:7" x14ac:dyDescent="0.3">
      <c r="A219" t="e">
        <f>IF(#REF!="","",#REF!)</f>
        <v>#REF!</v>
      </c>
      <c r="B219" t="e">
        <f>IF(A219="","",#REF!)</f>
        <v>#REF!</v>
      </c>
      <c r="C219" t="e">
        <f>IF(A219="","",#REF!)</f>
        <v>#REF!</v>
      </c>
      <c r="D219" t="e">
        <f>IF(A219="","",#REF!)</f>
        <v>#REF!</v>
      </c>
      <c r="E219" t="e">
        <f t="shared" si="9"/>
        <v>#REF!</v>
      </c>
      <c r="F219" t="e">
        <f t="shared" si="10"/>
        <v>#REF!</v>
      </c>
      <c r="G219" t="e">
        <f t="shared" si="11"/>
        <v>#REF!</v>
      </c>
    </row>
    <row r="220" spans="1:7" x14ac:dyDescent="0.3">
      <c r="A220" t="e">
        <f>IF(#REF!="","",#REF!)</f>
        <v>#REF!</v>
      </c>
      <c r="B220" t="e">
        <f>IF(A220="","",#REF!)</f>
        <v>#REF!</v>
      </c>
      <c r="C220" t="e">
        <f>IF(A220="","",#REF!)</f>
        <v>#REF!</v>
      </c>
      <c r="D220" t="e">
        <f>IF(A220="","",#REF!)</f>
        <v>#REF!</v>
      </c>
      <c r="E220" t="e">
        <f t="shared" si="9"/>
        <v>#REF!</v>
      </c>
      <c r="F220" t="e">
        <f t="shared" si="10"/>
        <v>#REF!</v>
      </c>
      <c r="G220" t="e">
        <f t="shared" si="11"/>
        <v>#REF!</v>
      </c>
    </row>
    <row r="221" spans="1:7" x14ac:dyDescent="0.3">
      <c r="A221" t="e">
        <f>IF(#REF!="","",#REF!)</f>
        <v>#REF!</v>
      </c>
      <c r="B221" t="e">
        <f>IF(A221="","",#REF!)</f>
        <v>#REF!</v>
      </c>
      <c r="C221" t="e">
        <f>IF(A221="","",#REF!)</f>
        <v>#REF!</v>
      </c>
      <c r="D221" t="e">
        <f>IF(A221="","",#REF!)</f>
        <v>#REF!</v>
      </c>
      <c r="E221" t="e">
        <f t="shared" si="9"/>
        <v>#REF!</v>
      </c>
      <c r="F221" t="e">
        <f t="shared" si="10"/>
        <v>#REF!</v>
      </c>
      <c r="G221" t="e">
        <f t="shared" si="11"/>
        <v>#REF!</v>
      </c>
    </row>
    <row r="222" spans="1:7" x14ac:dyDescent="0.3">
      <c r="A222" t="e">
        <f>IF(#REF!="","",#REF!)</f>
        <v>#REF!</v>
      </c>
      <c r="B222" t="e">
        <f>IF(A222="","",#REF!)</f>
        <v>#REF!</v>
      </c>
      <c r="C222" t="e">
        <f>IF(A222="","",#REF!)</f>
        <v>#REF!</v>
      </c>
      <c r="D222" t="e">
        <f>IF(A222="","",#REF!)</f>
        <v>#REF!</v>
      </c>
      <c r="E222" t="e">
        <f t="shared" si="9"/>
        <v>#REF!</v>
      </c>
      <c r="F222" t="e">
        <f t="shared" si="10"/>
        <v>#REF!</v>
      </c>
      <c r="G222" t="e">
        <f t="shared" si="11"/>
        <v>#REF!</v>
      </c>
    </row>
    <row r="223" spans="1:7" x14ac:dyDescent="0.3">
      <c r="A223" t="e">
        <f>IF(#REF!="","",#REF!)</f>
        <v>#REF!</v>
      </c>
      <c r="B223" t="e">
        <f>IF(A223="","",#REF!)</f>
        <v>#REF!</v>
      </c>
      <c r="C223" t="e">
        <f>IF(A223="","",#REF!)</f>
        <v>#REF!</v>
      </c>
      <c r="D223" t="e">
        <f>IF(A223="","",#REF!)</f>
        <v>#REF!</v>
      </c>
      <c r="E223" t="e">
        <f t="shared" si="9"/>
        <v>#REF!</v>
      </c>
      <c r="F223" t="e">
        <f t="shared" si="10"/>
        <v>#REF!</v>
      </c>
      <c r="G223" t="e">
        <f t="shared" si="11"/>
        <v>#REF!</v>
      </c>
    </row>
    <row r="224" spans="1:7" x14ac:dyDescent="0.3">
      <c r="A224" t="e">
        <f>IF(#REF!="","",#REF!)</f>
        <v>#REF!</v>
      </c>
      <c r="B224" t="e">
        <f>IF(A224="","",#REF!)</f>
        <v>#REF!</v>
      </c>
      <c r="C224" t="e">
        <f>IF(A224="","",#REF!)</f>
        <v>#REF!</v>
      </c>
      <c r="D224" t="e">
        <f>IF(A224="","",#REF!)</f>
        <v>#REF!</v>
      </c>
      <c r="E224" t="e">
        <f t="shared" si="9"/>
        <v>#REF!</v>
      </c>
      <c r="F224" t="e">
        <f t="shared" si="10"/>
        <v>#REF!</v>
      </c>
      <c r="G224" t="e">
        <f t="shared" si="11"/>
        <v>#REF!</v>
      </c>
    </row>
    <row r="225" spans="1:7" x14ac:dyDescent="0.3">
      <c r="A225" t="e">
        <f>IF(#REF!="","",#REF!)</f>
        <v>#REF!</v>
      </c>
      <c r="B225" t="e">
        <f>IF(A225="","",#REF!)</f>
        <v>#REF!</v>
      </c>
      <c r="C225" t="e">
        <f>IF(A225="","",#REF!)</f>
        <v>#REF!</v>
      </c>
      <c r="D225" t="e">
        <f>IF(A225="","",#REF!)</f>
        <v>#REF!</v>
      </c>
      <c r="E225" t="e">
        <f t="shared" si="9"/>
        <v>#REF!</v>
      </c>
      <c r="F225" t="e">
        <f t="shared" si="10"/>
        <v>#REF!</v>
      </c>
      <c r="G225" t="e">
        <f t="shared" si="11"/>
        <v>#REF!</v>
      </c>
    </row>
    <row r="226" spans="1:7" x14ac:dyDescent="0.3">
      <c r="A226" t="e">
        <f>IF(#REF!="","",#REF!)</f>
        <v>#REF!</v>
      </c>
      <c r="B226" t="e">
        <f>IF(A226="","",#REF!)</f>
        <v>#REF!</v>
      </c>
      <c r="C226" t="e">
        <f>IF(A226="","",#REF!)</f>
        <v>#REF!</v>
      </c>
      <c r="D226" t="e">
        <f>IF(A226="","",#REF!)</f>
        <v>#REF!</v>
      </c>
      <c r="E226" t="e">
        <f t="shared" si="9"/>
        <v>#REF!</v>
      </c>
      <c r="F226" t="e">
        <f t="shared" si="10"/>
        <v>#REF!</v>
      </c>
      <c r="G226" t="e">
        <f t="shared" si="11"/>
        <v>#REF!</v>
      </c>
    </row>
    <row r="227" spans="1:7" x14ac:dyDescent="0.3">
      <c r="A227" t="e">
        <f>IF(#REF!="","",#REF!)</f>
        <v>#REF!</v>
      </c>
      <c r="B227" t="e">
        <f>IF(A227="","",#REF!)</f>
        <v>#REF!</v>
      </c>
      <c r="C227" t="e">
        <f>IF(A227="","",#REF!)</f>
        <v>#REF!</v>
      </c>
      <c r="D227" t="e">
        <f>IF(A227="","",#REF!)</f>
        <v>#REF!</v>
      </c>
      <c r="E227" t="e">
        <f t="shared" si="9"/>
        <v>#REF!</v>
      </c>
      <c r="F227" t="e">
        <f t="shared" si="10"/>
        <v>#REF!</v>
      </c>
      <c r="G227" t="e">
        <f t="shared" si="11"/>
        <v>#REF!</v>
      </c>
    </row>
    <row r="228" spans="1:7" x14ac:dyDescent="0.3">
      <c r="A228" t="e">
        <f>IF(#REF!="","",#REF!)</f>
        <v>#REF!</v>
      </c>
      <c r="B228" t="e">
        <f>IF(A228="","",#REF!)</f>
        <v>#REF!</v>
      </c>
      <c r="C228" t="e">
        <f>IF(A228="","",#REF!)</f>
        <v>#REF!</v>
      </c>
      <c r="D228" t="e">
        <f>IF(A228="","",#REF!)</f>
        <v>#REF!</v>
      </c>
      <c r="E228" t="e">
        <f t="shared" si="9"/>
        <v>#REF!</v>
      </c>
      <c r="F228" t="e">
        <f t="shared" si="10"/>
        <v>#REF!</v>
      </c>
      <c r="G228" t="e">
        <f t="shared" si="11"/>
        <v>#REF!</v>
      </c>
    </row>
    <row r="229" spans="1:7" x14ac:dyDescent="0.3">
      <c r="A229" t="e">
        <f>IF(#REF!="","",#REF!)</f>
        <v>#REF!</v>
      </c>
      <c r="B229" t="e">
        <f>IF(A229="","",#REF!)</f>
        <v>#REF!</v>
      </c>
      <c r="C229" t="e">
        <f>IF(A229="","",#REF!)</f>
        <v>#REF!</v>
      </c>
      <c r="D229" t="e">
        <f>IF(A229="","",#REF!)</f>
        <v>#REF!</v>
      </c>
      <c r="E229" t="e">
        <f t="shared" si="9"/>
        <v>#REF!</v>
      </c>
      <c r="F229" t="e">
        <f t="shared" si="10"/>
        <v>#REF!</v>
      </c>
      <c r="G229" t="e">
        <f t="shared" si="11"/>
        <v>#REF!</v>
      </c>
    </row>
    <row r="230" spans="1:7" x14ac:dyDescent="0.3">
      <c r="A230" t="e">
        <f>IF(#REF!="","",#REF!)</f>
        <v>#REF!</v>
      </c>
      <c r="B230" t="e">
        <f>IF(A230="","",#REF!)</f>
        <v>#REF!</v>
      </c>
      <c r="C230" t="e">
        <f>IF(A230="","",#REF!)</f>
        <v>#REF!</v>
      </c>
      <c r="D230" t="e">
        <f>IF(A230="","",#REF!)</f>
        <v>#REF!</v>
      </c>
      <c r="E230" t="e">
        <f t="shared" si="9"/>
        <v>#REF!</v>
      </c>
      <c r="F230" t="e">
        <f t="shared" si="10"/>
        <v>#REF!</v>
      </c>
      <c r="G230" t="e">
        <f t="shared" si="11"/>
        <v>#REF!</v>
      </c>
    </row>
    <row r="231" spans="1:7" x14ac:dyDescent="0.3">
      <c r="A231" t="e">
        <f>IF(#REF!="","",#REF!)</f>
        <v>#REF!</v>
      </c>
      <c r="B231" t="e">
        <f>IF(A231="","",#REF!)</f>
        <v>#REF!</v>
      </c>
      <c r="C231" t="e">
        <f>IF(A231="","",#REF!)</f>
        <v>#REF!</v>
      </c>
      <c r="D231" t="e">
        <f>IF(A231="","",#REF!)</f>
        <v>#REF!</v>
      </c>
      <c r="E231" t="e">
        <f t="shared" si="9"/>
        <v>#REF!</v>
      </c>
      <c r="F231" t="e">
        <f t="shared" si="10"/>
        <v>#REF!</v>
      </c>
      <c r="G231" t="e">
        <f t="shared" si="11"/>
        <v>#REF!</v>
      </c>
    </row>
    <row r="232" spans="1:7" x14ac:dyDescent="0.3">
      <c r="A232" t="e">
        <f>IF(#REF!="","",#REF!)</f>
        <v>#REF!</v>
      </c>
      <c r="B232" t="e">
        <f>IF(A232="","",#REF!)</f>
        <v>#REF!</v>
      </c>
      <c r="C232" t="e">
        <f>IF(A232="","",#REF!)</f>
        <v>#REF!</v>
      </c>
      <c r="D232" t="e">
        <f>IF(A232="","",#REF!)</f>
        <v>#REF!</v>
      </c>
      <c r="E232" t="e">
        <f t="shared" si="9"/>
        <v>#REF!</v>
      </c>
      <c r="F232" t="e">
        <f t="shared" si="10"/>
        <v>#REF!</v>
      </c>
      <c r="G232" t="e">
        <f t="shared" si="11"/>
        <v>#REF!</v>
      </c>
    </row>
    <row r="233" spans="1:7" x14ac:dyDescent="0.3">
      <c r="A233" t="e">
        <f>IF(#REF!="","",#REF!)</f>
        <v>#REF!</v>
      </c>
      <c r="B233" t="e">
        <f>IF(A233="","",#REF!)</f>
        <v>#REF!</v>
      </c>
      <c r="C233" t="e">
        <f>IF(A233="","",#REF!)</f>
        <v>#REF!</v>
      </c>
      <c r="D233" t="e">
        <f>IF(A233="","",#REF!)</f>
        <v>#REF!</v>
      </c>
      <c r="E233" t="e">
        <f t="shared" si="9"/>
        <v>#REF!</v>
      </c>
      <c r="F233" t="e">
        <f t="shared" si="10"/>
        <v>#REF!</v>
      </c>
      <c r="G233" t="e">
        <f t="shared" si="11"/>
        <v>#REF!</v>
      </c>
    </row>
    <row r="234" spans="1:7" x14ac:dyDescent="0.3">
      <c r="A234" t="e">
        <f>IF(#REF!="","",#REF!)</f>
        <v>#REF!</v>
      </c>
      <c r="B234" t="e">
        <f>IF(A234="","",#REF!)</f>
        <v>#REF!</v>
      </c>
      <c r="C234" t="e">
        <f>IF(A234="","",#REF!)</f>
        <v>#REF!</v>
      </c>
      <c r="D234" t="e">
        <f>IF(A234="","",#REF!)</f>
        <v>#REF!</v>
      </c>
      <c r="E234" t="e">
        <f t="shared" si="9"/>
        <v>#REF!</v>
      </c>
      <c r="F234" t="e">
        <f t="shared" si="10"/>
        <v>#REF!</v>
      </c>
      <c r="G234" t="e">
        <f t="shared" si="11"/>
        <v>#REF!</v>
      </c>
    </row>
    <row r="235" spans="1:7" x14ac:dyDescent="0.3">
      <c r="A235" t="e">
        <f>IF(#REF!="","",#REF!)</f>
        <v>#REF!</v>
      </c>
      <c r="B235" t="e">
        <f>IF(A235="","",#REF!)</f>
        <v>#REF!</v>
      </c>
      <c r="C235" t="e">
        <f>IF(A235="","",#REF!)</f>
        <v>#REF!</v>
      </c>
      <c r="D235" t="e">
        <f>IF(A235="","",#REF!)</f>
        <v>#REF!</v>
      </c>
      <c r="E235" t="e">
        <f t="shared" si="9"/>
        <v>#REF!</v>
      </c>
      <c r="F235" t="e">
        <f t="shared" si="10"/>
        <v>#REF!</v>
      </c>
      <c r="G235" t="e">
        <f t="shared" si="11"/>
        <v>#REF!</v>
      </c>
    </row>
    <row r="236" spans="1:7" x14ac:dyDescent="0.3">
      <c r="A236" t="e">
        <f>IF(#REF!="","",#REF!)</f>
        <v>#REF!</v>
      </c>
      <c r="B236" t="e">
        <f>IF(A236="","",#REF!)</f>
        <v>#REF!</v>
      </c>
      <c r="C236" t="e">
        <f>IF(A236="","",#REF!)</f>
        <v>#REF!</v>
      </c>
      <c r="D236" t="e">
        <f>IF(A236="","",#REF!)</f>
        <v>#REF!</v>
      </c>
      <c r="E236" t="e">
        <f t="shared" si="9"/>
        <v>#REF!</v>
      </c>
      <c r="F236" t="e">
        <f t="shared" si="10"/>
        <v>#REF!</v>
      </c>
      <c r="G236" t="e">
        <f t="shared" si="11"/>
        <v>#REF!</v>
      </c>
    </row>
    <row r="237" spans="1:7" x14ac:dyDescent="0.3">
      <c r="A237" t="e">
        <f>IF(#REF!="","",#REF!)</f>
        <v>#REF!</v>
      </c>
      <c r="B237" t="e">
        <f>IF(A237="","",#REF!)</f>
        <v>#REF!</v>
      </c>
      <c r="C237" t="e">
        <f>IF(A237="","",#REF!)</f>
        <v>#REF!</v>
      </c>
      <c r="D237" t="e">
        <f>IF(A237="","",#REF!)</f>
        <v>#REF!</v>
      </c>
      <c r="E237" t="e">
        <f t="shared" si="9"/>
        <v>#REF!</v>
      </c>
      <c r="F237" t="e">
        <f t="shared" si="10"/>
        <v>#REF!</v>
      </c>
      <c r="G237" t="e">
        <f t="shared" si="11"/>
        <v>#REF!</v>
      </c>
    </row>
    <row r="238" spans="1:7" x14ac:dyDescent="0.3">
      <c r="A238" t="e">
        <f>IF(#REF!="","",#REF!)</f>
        <v>#REF!</v>
      </c>
      <c r="B238" t="e">
        <f>IF(A238="","",#REF!)</f>
        <v>#REF!</v>
      </c>
      <c r="C238" t="e">
        <f>IF(A238="","",#REF!)</f>
        <v>#REF!</v>
      </c>
      <c r="D238" t="e">
        <f>IF(A238="","",#REF!)</f>
        <v>#REF!</v>
      </c>
      <c r="E238" t="e">
        <f t="shared" si="9"/>
        <v>#REF!</v>
      </c>
      <c r="F238" t="e">
        <f t="shared" si="10"/>
        <v>#REF!</v>
      </c>
      <c r="G238" t="e">
        <f t="shared" si="11"/>
        <v>#REF!</v>
      </c>
    </row>
    <row r="239" spans="1:7" x14ac:dyDescent="0.3">
      <c r="A239" t="e">
        <f>IF(#REF!="","",#REF!)</f>
        <v>#REF!</v>
      </c>
      <c r="B239" t="e">
        <f>IF(A239="","",#REF!)</f>
        <v>#REF!</v>
      </c>
      <c r="C239" t="e">
        <f>IF(A239="","",#REF!)</f>
        <v>#REF!</v>
      </c>
      <c r="D239" t="e">
        <f>IF(A239="","",#REF!)</f>
        <v>#REF!</v>
      </c>
      <c r="E239" t="e">
        <f t="shared" si="9"/>
        <v>#REF!</v>
      </c>
      <c r="F239" t="e">
        <f t="shared" si="10"/>
        <v>#REF!</v>
      </c>
      <c r="G239" t="e">
        <f t="shared" si="11"/>
        <v>#REF!</v>
      </c>
    </row>
    <row r="240" spans="1:7" x14ac:dyDescent="0.3">
      <c r="A240" t="e">
        <f>IF(#REF!="","",#REF!)</f>
        <v>#REF!</v>
      </c>
      <c r="B240" t="e">
        <f>IF(A240="","",#REF!)</f>
        <v>#REF!</v>
      </c>
      <c r="C240" t="e">
        <f>IF(A240="","",#REF!)</f>
        <v>#REF!</v>
      </c>
      <c r="D240" t="e">
        <f>IF(A240="","",#REF!)</f>
        <v>#REF!</v>
      </c>
      <c r="E240" t="e">
        <f t="shared" si="9"/>
        <v>#REF!</v>
      </c>
      <c r="F240" t="e">
        <f t="shared" si="10"/>
        <v>#REF!</v>
      </c>
      <c r="G240" t="e">
        <f t="shared" si="11"/>
        <v>#REF!</v>
      </c>
    </row>
    <row r="241" spans="1:7" x14ac:dyDescent="0.3">
      <c r="A241" t="e">
        <f>IF(#REF!="","",#REF!)</f>
        <v>#REF!</v>
      </c>
      <c r="B241" t="e">
        <f>IF(A241="","",#REF!)</f>
        <v>#REF!</v>
      </c>
      <c r="C241" t="e">
        <f>IF(A241="","",#REF!)</f>
        <v>#REF!</v>
      </c>
      <c r="D241" t="e">
        <f>IF(A241="","",#REF!)</f>
        <v>#REF!</v>
      </c>
      <c r="E241" t="e">
        <f t="shared" si="9"/>
        <v>#REF!</v>
      </c>
      <c r="F241" t="e">
        <f t="shared" si="10"/>
        <v>#REF!</v>
      </c>
      <c r="G241" t="e">
        <f t="shared" si="11"/>
        <v>#REF!</v>
      </c>
    </row>
    <row r="242" spans="1:7" x14ac:dyDescent="0.3">
      <c r="A242" t="e">
        <f>IF(#REF!="","",#REF!)</f>
        <v>#REF!</v>
      </c>
      <c r="B242" t="e">
        <f>IF(A242="","",#REF!)</f>
        <v>#REF!</v>
      </c>
      <c r="C242" t="e">
        <f>IF(A242="","",#REF!)</f>
        <v>#REF!</v>
      </c>
      <c r="D242" t="e">
        <f>IF(A242="","",#REF!)</f>
        <v>#REF!</v>
      </c>
      <c r="E242" t="e">
        <f t="shared" si="9"/>
        <v>#REF!</v>
      </c>
      <c r="F242" t="e">
        <f t="shared" si="10"/>
        <v>#REF!</v>
      </c>
      <c r="G242" t="e">
        <f t="shared" si="11"/>
        <v>#REF!</v>
      </c>
    </row>
    <row r="243" spans="1:7" x14ac:dyDescent="0.3">
      <c r="A243" t="e">
        <f>IF(#REF!="","",#REF!)</f>
        <v>#REF!</v>
      </c>
      <c r="B243" t="e">
        <f>IF(A243="","",#REF!)</f>
        <v>#REF!</v>
      </c>
      <c r="C243" t="e">
        <f>IF(A243="","",#REF!)</f>
        <v>#REF!</v>
      </c>
      <c r="D243" t="e">
        <f>IF(A243="","",#REF!)</f>
        <v>#REF!</v>
      </c>
      <c r="E243" t="e">
        <f t="shared" si="9"/>
        <v>#REF!</v>
      </c>
      <c r="F243" t="e">
        <f t="shared" si="10"/>
        <v>#REF!</v>
      </c>
      <c r="G243" t="e">
        <f t="shared" si="11"/>
        <v>#REF!</v>
      </c>
    </row>
    <row r="244" spans="1:7" x14ac:dyDescent="0.3">
      <c r="A244" t="e">
        <f>IF(#REF!="","",#REF!)</f>
        <v>#REF!</v>
      </c>
      <c r="B244" t="e">
        <f>IF(A244="","",#REF!)</f>
        <v>#REF!</v>
      </c>
      <c r="C244" t="e">
        <f>IF(A244="","",#REF!)</f>
        <v>#REF!</v>
      </c>
      <c r="D244" t="e">
        <f>IF(A244="","",#REF!)</f>
        <v>#REF!</v>
      </c>
      <c r="E244" t="e">
        <f t="shared" si="9"/>
        <v>#REF!</v>
      </c>
      <c r="F244" t="e">
        <f t="shared" si="10"/>
        <v>#REF!</v>
      </c>
      <c r="G244" t="e">
        <f t="shared" si="11"/>
        <v>#REF!</v>
      </c>
    </row>
    <row r="245" spans="1:7" x14ac:dyDescent="0.3">
      <c r="A245" t="e">
        <f>IF(#REF!="","",#REF!)</f>
        <v>#REF!</v>
      </c>
      <c r="B245" t="e">
        <f>IF(A245="","",#REF!)</f>
        <v>#REF!</v>
      </c>
      <c r="C245" t="e">
        <f>IF(A245="","",#REF!)</f>
        <v>#REF!</v>
      </c>
      <c r="D245" t="e">
        <f>IF(A245="","",#REF!)</f>
        <v>#REF!</v>
      </c>
      <c r="E245" t="e">
        <f t="shared" si="9"/>
        <v>#REF!</v>
      </c>
      <c r="F245" t="e">
        <f t="shared" si="10"/>
        <v>#REF!</v>
      </c>
      <c r="G245" t="e">
        <f t="shared" si="11"/>
        <v>#REF!</v>
      </c>
    </row>
    <row r="246" spans="1:7" x14ac:dyDescent="0.3">
      <c r="A246" t="e">
        <f>IF(#REF!="","",#REF!)</f>
        <v>#REF!</v>
      </c>
      <c r="B246" t="e">
        <f>IF(A246="","",#REF!)</f>
        <v>#REF!</v>
      </c>
      <c r="C246" t="e">
        <f>IF(A246="","",#REF!)</f>
        <v>#REF!</v>
      </c>
      <c r="D246" t="e">
        <f>IF(A246="","",#REF!)</f>
        <v>#REF!</v>
      </c>
      <c r="E246" t="e">
        <f t="shared" si="9"/>
        <v>#REF!</v>
      </c>
      <c r="F246" t="e">
        <f t="shared" si="10"/>
        <v>#REF!</v>
      </c>
      <c r="G246" t="e">
        <f t="shared" si="11"/>
        <v>#REF!</v>
      </c>
    </row>
    <row r="247" spans="1:7" x14ac:dyDescent="0.3">
      <c r="A247" t="e">
        <f>IF(#REF!="","",#REF!)</f>
        <v>#REF!</v>
      </c>
      <c r="B247" t="e">
        <f>IF(A247="","",#REF!)</f>
        <v>#REF!</v>
      </c>
      <c r="C247" t="e">
        <f>IF(A247="","",#REF!)</f>
        <v>#REF!</v>
      </c>
      <c r="D247" t="e">
        <f>IF(A247="","",#REF!)</f>
        <v>#REF!</v>
      </c>
      <c r="E247" t="e">
        <f t="shared" si="9"/>
        <v>#REF!</v>
      </c>
      <c r="F247" t="e">
        <f t="shared" si="10"/>
        <v>#REF!</v>
      </c>
      <c r="G247" t="e">
        <f t="shared" si="11"/>
        <v>#REF!</v>
      </c>
    </row>
    <row r="248" spans="1:7" x14ac:dyDescent="0.3">
      <c r="A248" t="e">
        <f>IF(#REF!="","",#REF!)</f>
        <v>#REF!</v>
      </c>
      <c r="B248" t="e">
        <f>IF(A248="","",#REF!)</f>
        <v>#REF!</v>
      </c>
      <c r="C248" t="e">
        <f>IF(A248="","",#REF!)</f>
        <v>#REF!</v>
      </c>
      <c r="D248" t="e">
        <f>IF(A248="","",#REF!)</f>
        <v>#REF!</v>
      </c>
      <c r="E248" t="e">
        <f t="shared" si="9"/>
        <v>#REF!</v>
      </c>
      <c r="F248" t="e">
        <f t="shared" si="10"/>
        <v>#REF!</v>
      </c>
      <c r="G248" t="e">
        <f t="shared" si="11"/>
        <v>#REF!</v>
      </c>
    </row>
    <row r="249" spans="1:7" x14ac:dyDescent="0.3">
      <c r="A249" t="e">
        <f>IF(#REF!="","",#REF!)</f>
        <v>#REF!</v>
      </c>
      <c r="B249" t="e">
        <f>IF(A249="","",#REF!)</f>
        <v>#REF!</v>
      </c>
      <c r="C249" t="e">
        <f>IF(A249="","",#REF!)</f>
        <v>#REF!</v>
      </c>
      <c r="D249" t="e">
        <f>IF(A249="","",#REF!)</f>
        <v>#REF!</v>
      </c>
      <c r="E249" t="e">
        <f t="shared" si="9"/>
        <v>#REF!</v>
      </c>
      <c r="F249" t="e">
        <f t="shared" si="10"/>
        <v>#REF!</v>
      </c>
      <c r="G249" t="e">
        <f t="shared" si="11"/>
        <v>#REF!</v>
      </c>
    </row>
    <row r="250" spans="1:7" x14ac:dyDescent="0.3">
      <c r="A250" t="e">
        <f>IF(#REF!="","",#REF!)</f>
        <v>#REF!</v>
      </c>
      <c r="B250" t="e">
        <f>IF(A250="","",#REF!)</f>
        <v>#REF!</v>
      </c>
      <c r="C250" t="e">
        <f>IF(A250="","",#REF!)</f>
        <v>#REF!</v>
      </c>
      <c r="D250" t="e">
        <f>IF(A250="","",#REF!)</f>
        <v>#REF!</v>
      </c>
      <c r="E250" t="e">
        <f t="shared" si="9"/>
        <v>#REF!</v>
      </c>
      <c r="F250" t="e">
        <f t="shared" si="10"/>
        <v>#REF!</v>
      </c>
      <c r="G250" t="e">
        <f t="shared" si="11"/>
        <v>#REF!</v>
      </c>
    </row>
    <row r="251" spans="1:7" x14ac:dyDescent="0.3">
      <c r="A251" t="e">
        <f>IF(#REF!="","",#REF!)</f>
        <v>#REF!</v>
      </c>
      <c r="B251" t="e">
        <f>IF(A251="","",#REF!)</f>
        <v>#REF!</v>
      </c>
      <c r="C251" t="e">
        <f>IF(A251="","",#REF!)</f>
        <v>#REF!</v>
      </c>
      <c r="D251" t="e">
        <f>IF(A251="","",#REF!)</f>
        <v>#REF!</v>
      </c>
      <c r="E251" t="e">
        <f t="shared" si="9"/>
        <v>#REF!</v>
      </c>
      <c r="F251" t="e">
        <f t="shared" si="10"/>
        <v>#REF!</v>
      </c>
      <c r="G251" t="e">
        <f t="shared" si="11"/>
        <v>#REF!</v>
      </c>
    </row>
    <row r="252" spans="1:7" x14ac:dyDescent="0.3">
      <c r="A252" t="e">
        <f>IF(#REF!="","",#REF!)</f>
        <v>#REF!</v>
      </c>
      <c r="B252" t="e">
        <f>IF(A252="","",#REF!)</f>
        <v>#REF!</v>
      </c>
      <c r="C252" t="e">
        <f>IF(A252="","",#REF!)</f>
        <v>#REF!</v>
      </c>
      <c r="D252" t="e">
        <f>IF(A252="","",#REF!)</f>
        <v>#REF!</v>
      </c>
      <c r="E252" t="e">
        <f t="shared" si="9"/>
        <v>#REF!</v>
      </c>
      <c r="F252" t="e">
        <f t="shared" si="10"/>
        <v>#REF!</v>
      </c>
      <c r="G252" t="e">
        <f t="shared" si="11"/>
        <v>#REF!</v>
      </c>
    </row>
    <row r="253" spans="1:7" x14ac:dyDescent="0.3">
      <c r="A253" t="e">
        <f>IF(#REF!="","",#REF!)</f>
        <v>#REF!</v>
      </c>
      <c r="B253" t="e">
        <f>IF(A253="","",#REF!)</f>
        <v>#REF!</v>
      </c>
      <c r="C253" t="e">
        <f>IF(A253="","",#REF!)</f>
        <v>#REF!</v>
      </c>
      <c r="D253" t="e">
        <f>IF(A253="","",#REF!)</f>
        <v>#REF!</v>
      </c>
      <c r="E253" t="e">
        <f t="shared" si="9"/>
        <v>#REF!</v>
      </c>
      <c r="F253" t="e">
        <f t="shared" si="10"/>
        <v>#REF!</v>
      </c>
      <c r="G253" t="e">
        <f t="shared" si="11"/>
        <v>#REF!</v>
      </c>
    </row>
    <row r="254" spans="1:7" x14ac:dyDescent="0.3">
      <c r="A254" t="e">
        <f>IF(#REF!="","",#REF!)</f>
        <v>#REF!</v>
      </c>
      <c r="B254" t="e">
        <f>IF(A254="","",#REF!)</f>
        <v>#REF!</v>
      </c>
      <c r="C254" t="e">
        <f>IF(A254="","",#REF!)</f>
        <v>#REF!</v>
      </c>
      <c r="D254" t="e">
        <f>IF(A254="","",#REF!)</f>
        <v>#REF!</v>
      </c>
      <c r="E254" t="e">
        <f t="shared" si="9"/>
        <v>#REF!</v>
      </c>
      <c r="F254" t="e">
        <f t="shared" si="10"/>
        <v>#REF!</v>
      </c>
      <c r="G254" t="e">
        <f t="shared" si="11"/>
        <v>#REF!</v>
      </c>
    </row>
    <row r="255" spans="1:7" x14ac:dyDescent="0.3">
      <c r="A255" t="e">
        <f>IF(#REF!="","",#REF!)</f>
        <v>#REF!</v>
      </c>
      <c r="B255" t="e">
        <f>IF(A255="","",#REF!)</f>
        <v>#REF!</v>
      </c>
      <c r="C255" t="e">
        <f>IF(A255="","",#REF!)</f>
        <v>#REF!</v>
      </c>
      <c r="D255" t="e">
        <f>IF(A255="","",#REF!)</f>
        <v>#REF!</v>
      </c>
      <c r="E255" t="e">
        <f t="shared" si="9"/>
        <v>#REF!</v>
      </c>
      <c r="F255" t="e">
        <f t="shared" si="10"/>
        <v>#REF!</v>
      </c>
      <c r="G255" t="e">
        <f t="shared" si="11"/>
        <v>#REF!</v>
      </c>
    </row>
    <row r="256" spans="1:7" x14ac:dyDescent="0.3">
      <c r="A256" t="e">
        <f>IF(#REF!="","",#REF!)</f>
        <v>#REF!</v>
      </c>
      <c r="B256" t="e">
        <f>IF(A256="","",#REF!)</f>
        <v>#REF!</v>
      </c>
      <c r="C256" t="e">
        <f>IF(A256="","",#REF!)</f>
        <v>#REF!</v>
      </c>
      <c r="D256" t="e">
        <f>IF(A256="","",#REF!)</f>
        <v>#REF!</v>
      </c>
      <c r="E256" t="e">
        <f t="shared" si="9"/>
        <v>#REF!</v>
      </c>
      <c r="F256" t="e">
        <f t="shared" si="10"/>
        <v>#REF!</v>
      </c>
      <c r="G256" t="e">
        <f t="shared" si="11"/>
        <v>#REF!</v>
      </c>
    </row>
    <row r="257" spans="1:7" x14ac:dyDescent="0.3">
      <c r="A257" t="e">
        <f>IF(#REF!="","",#REF!)</f>
        <v>#REF!</v>
      </c>
      <c r="B257" t="e">
        <f>IF(A257="","",#REF!)</f>
        <v>#REF!</v>
      </c>
      <c r="C257" t="e">
        <f>IF(A257="","",#REF!)</f>
        <v>#REF!</v>
      </c>
      <c r="D257" t="e">
        <f>IF(A257="","",#REF!)</f>
        <v>#REF!</v>
      </c>
      <c r="E257" t="e">
        <f t="shared" si="9"/>
        <v>#REF!</v>
      </c>
      <c r="F257" t="e">
        <f t="shared" si="10"/>
        <v>#REF!</v>
      </c>
      <c r="G257" t="e">
        <f t="shared" si="11"/>
        <v>#REF!</v>
      </c>
    </row>
    <row r="258" spans="1:7" x14ac:dyDescent="0.3">
      <c r="A258" t="e">
        <f>IF(#REF!="","",#REF!)</f>
        <v>#REF!</v>
      </c>
      <c r="B258" t="e">
        <f>IF(A258="","",#REF!)</f>
        <v>#REF!</v>
      </c>
      <c r="C258" t="e">
        <f>IF(A258="","",#REF!)</f>
        <v>#REF!</v>
      </c>
      <c r="D258" t="e">
        <f>IF(A258="","",#REF!)</f>
        <v>#REF!</v>
      </c>
      <c r="E258" t="e">
        <f t="shared" si="9"/>
        <v>#REF!</v>
      </c>
      <c r="F258" t="e">
        <f t="shared" si="10"/>
        <v>#REF!</v>
      </c>
      <c r="G258" t="e">
        <f t="shared" si="11"/>
        <v>#REF!</v>
      </c>
    </row>
    <row r="259" spans="1:7" x14ac:dyDescent="0.3">
      <c r="A259" t="e">
        <f>IF(#REF!="","",#REF!)</f>
        <v>#REF!</v>
      </c>
      <c r="B259" t="e">
        <f>IF(A259="","",#REF!)</f>
        <v>#REF!</v>
      </c>
      <c r="C259" t="e">
        <f>IF(A259="","",#REF!)</f>
        <v>#REF!</v>
      </c>
      <c r="D259" t="e">
        <f>IF(A259="","",#REF!)</f>
        <v>#REF!</v>
      </c>
      <c r="E259" t="e">
        <f t="shared" si="9"/>
        <v>#REF!</v>
      </c>
      <c r="F259" t="e">
        <f t="shared" si="10"/>
        <v>#REF!</v>
      </c>
      <c r="G259" t="e">
        <f t="shared" si="11"/>
        <v>#REF!</v>
      </c>
    </row>
    <row r="260" spans="1:7" x14ac:dyDescent="0.3">
      <c r="A260" t="e">
        <f>IF(#REF!="","",#REF!)</f>
        <v>#REF!</v>
      </c>
      <c r="B260" t="e">
        <f>IF(A260="","",#REF!)</f>
        <v>#REF!</v>
      </c>
      <c r="C260" t="e">
        <f>IF(A260="","",#REF!)</f>
        <v>#REF!</v>
      </c>
      <c r="D260" t="e">
        <f>IF(A260="","",#REF!)</f>
        <v>#REF!</v>
      </c>
      <c r="E260" t="e">
        <f t="shared" si="9"/>
        <v>#REF!</v>
      </c>
      <c r="F260" t="e">
        <f t="shared" si="10"/>
        <v>#REF!</v>
      </c>
      <c r="G260" t="e">
        <f t="shared" si="11"/>
        <v>#REF!</v>
      </c>
    </row>
    <row r="261" spans="1:7" x14ac:dyDescent="0.3">
      <c r="A261" t="e">
        <f>IF(#REF!="","",#REF!)</f>
        <v>#REF!</v>
      </c>
      <c r="B261" t="e">
        <f>IF(A261="","",#REF!)</f>
        <v>#REF!</v>
      </c>
      <c r="C261" t="e">
        <f>IF(A261="","",#REF!)</f>
        <v>#REF!</v>
      </c>
      <c r="D261" t="e">
        <f>IF(A261="","",#REF!)</f>
        <v>#REF!</v>
      </c>
      <c r="E261" t="e">
        <f t="shared" ref="E261:E324" si="12">IF(A261="","",IF(COUNTIF($A$5:$A$504,A261)&gt;1,"Duplicate","Unique"))</f>
        <v>#REF!</v>
      </c>
      <c r="F261" t="e">
        <f t="shared" ref="F261:F324" si="13">IF(A261="","",IF(C261="","Missing Date","Date Present"))</f>
        <v>#REF!</v>
      </c>
      <c r="G261" t="e">
        <f t="shared" ref="G261:G324" si="14">IF(A261="","",IF(OR(E261="Duplicate",F261="Missing Date"),"Review","Pass"))</f>
        <v>#REF!</v>
      </c>
    </row>
    <row r="262" spans="1:7" x14ac:dyDescent="0.3">
      <c r="A262" t="e">
        <f>IF(#REF!="","",#REF!)</f>
        <v>#REF!</v>
      </c>
      <c r="B262" t="e">
        <f>IF(A262="","",#REF!)</f>
        <v>#REF!</v>
      </c>
      <c r="C262" t="e">
        <f>IF(A262="","",#REF!)</f>
        <v>#REF!</v>
      </c>
      <c r="D262" t="e">
        <f>IF(A262="","",#REF!)</f>
        <v>#REF!</v>
      </c>
      <c r="E262" t="e">
        <f t="shared" si="12"/>
        <v>#REF!</v>
      </c>
      <c r="F262" t="e">
        <f t="shared" si="13"/>
        <v>#REF!</v>
      </c>
      <c r="G262" t="e">
        <f t="shared" si="14"/>
        <v>#REF!</v>
      </c>
    </row>
    <row r="263" spans="1:7" x14ac:dyDescent="0.3">
      <c r="A263" t="e">
        <f>IF(#REF!="","",#REF!)</f>
        <v>#REF!</v>
      </c>
      <c r="B263" t="e">
        <f>IF(A263="","",#REF!)</f>
        <v>#REF!</v>
      </c>
      <c r="C263" t="e">
        <f>IF(A263="","",#REF!)</f>
        <v>#REF!</v>
      </c>
      <c r="D263" t="e">
        <f>IF(A263="","",#REF!)</f>
        <v>#REF!</v>
      </c>
      <c r="E263" t="e">
        <f t="shared" si="12"/>
        <v>#REF!</v>
      </c>
      <c r="F263" t="e">
        <f t="shared" si="13"/>
        <v>#REF!</v>
      </c>
      <c r="G263" t="e">
        <f t="shared" si="14"/>
        <v>#REF!</v>
      </c>
    </row>
    <row r="264" spans="1:7" x14ac:dyDescent="0.3">
      <c r="A264" t="e">
        <f>IF(#REF!="","",#REF!)</f>
        <v>#REF!</v>
      </c>
      <c r="B264" t="e">
        <f>IF(A264="","",#REF!)</f>
        <v>#REF!</v>
      </c>
      <c r="C264" t="e">
        <f>IF(A264="","",#REF!)</f>
        <v>#REF!</v>
      </c>
      <c r="D264" t="e">
        <f>IF(A264="","",#REF!)</f>
        <v>#REF!</v>
      </c>
      <c r="E264" t="e">
        <f t="shared" si="12"/>
        <v>#REF!</v>
      </c>
      <c r="F264" t="e">
        <f t="shared" si="13"/>
        <v>#REF!</v>
      </c>
      <c r="G264" t="e">
        <f t="shared" si="14"/>
        <v>#REF!</v>
      </c>
    </row>
    <row r="265" spans="1:7" x14ac:dyDescent="0.3">
      <c r="A265" t="e">
        <f>IF(#REF!="","",#REF!)</f>
        <v>#REF!</v>
      </c>
      <c r="B265" t="e">
        <f>IF(A265="","",#REF!)</f>
        <v>#REF!</v>
      </c>
      <c r="C265" t="e">
        <f>IF(A265="","",#REF!)</f>
        <v>#REF!</v>
      </c>
      <c r="D265" t="e">
        <f>IF(A265="","",#REF!)</f>
        <v>#REF!</v>
      </c>
      <c r="E265" t="e">
        <f t="shared" si="12"/>
        <v>#REF!</v>
      </c>
      <c r="F265" t="e">
        <f t="shared" si="13"/>
        <v>#REF!</v>
      </c>
      <c r="G265" t="e">
        <f t="shared" si="14"/>
        <v>#REF!</v>
      </c>
    </row>
    <row r="266" spans="1:7" x14ac:dyDescent="0.3">
      <c r="A266" t="e">
        <f>IF(#REF!="","",#REF!)</f>
        <v>#REF!</v>
      </c>
      <c r="B266" t="e">
        <f>IF(A266="","",#REF!)</f>
        <v>#REF!</v>
      </c>
      <c r="C266" t="e">
        <f>IF(A266="","",#REF!)</f>
        <v>#REF!</v>
      </c>
      <c r="D266" t="e">
        <f>IF(A266="","",#REF!)</f>
        <v>#REF!</v>
      </c>
      <c r="E266" t="e">
        <f t="shared" si="12"/>
        <v>#REF!</v>
      </c>
      <c r="F266" t="e">
        <f t="shared" si="13"/>
        <v>#REF!</v>
      </c>
      <c r="G266" t="e">
        <f t="shared" si="14"/>
        <v>#REF!</v>
      </c>
    </row>
    <row r="267" spans="1:7" x14ac:dyDescent="0.3">
      <c r="A267" t="e">
        <f>IF(#REF!="","",#REF!)</f>
        <v>#REF!</v>
      </c>
      <c r="B267" t="e">
        <f>IF(A267="","",#REF!)</f>
        <v>#REF!</v>
      </c>
      <c r="C267" t="e">
        <f>IF(A267="","",#REF!)</f>
        <v>#REF!</v>
      </c>
      <c r="D267" t="e">
        <f>IF(A267="","",#REF!)</f>
        <v>#REF!</v>
      </c>
      <c r="E267" t="e">
        <f t="shared" si="12"/>
        <v>#REF!</v>
      </c>
      <c r="F267" t="e">
        <f t="shared" si="13"/>
        <v>#REF!</v>
      </c>
      <c r="G267" t="e">
        <f t="shared" si="14"/>
        <v>#REF!</v>
      </c>
    </row>
    <row r="268" spans="1:7" x14ac:dyDescent="0.3">
      <c r="A268" t="e">
        <f>IF(#REF!="","",#REF!)</f>
        <v>#REF!</v>
      </c>
      <c r="B268" t="e">
        <f>IF(A268="","",#REF!)</f>
        <v>#REF!</v>
      </c>
      <c r="C268" t="e">
        <f>IF(A268="","",#REF!)</f>
        <v>#REF!</v>
      </c>
      <c r="D268" t="e">
        <f>IF(A268="","",#REF!)</f>
        <v>#REF!</v>
      </c>
      <c r="E268" t="e">
        <f t="shared" si="12"/>
        <v>#REF!</v>
      </c>
      <c r="F268" t="e">
        <f t="shared" si="13"/>
        <v>#REF!</v>
      </c>
      <c r="G268" t="e">
        <f t="shared" si="14"/>
        <v>#REF!</v>
      </c>
    </row>
    <row r="269" spans="1:7" x14ac:dyDescent="0.3">
      <c r="A269" t="e">
        <f>IF(#REF!="","",#REF!)</f>
        <v>#REF!</v>
      </c>
      <c r="B269" t="e">
        <f>IF(A269="","",#REF!)</f>
        <v>#REF!</v>
      </c>
      <c r="C269" t="e">
        <f>IF(A269="","",#REF!)</f>
        <v>#REF!</v>
      </c>
      <c r="D269" t="e">
        <f>IF(A269="","",#REF!)</f>
        <v>#REF!</v>
      </c>
      <c r="E269" t="e">
        <f t="shared" si="12"/>
        <v>#REF!</v>
      </c>
      <c r="F269" t="e">
        <f t="shared" si="13"/>
        <v>#REF!</v>
      </c>
      <c r="G269" t="e">
        <f t="shared" si="14"/>
        <v>#REF!</v>
      </c>
    </row>
    <row r="270" spans="1:7" x14ac:dyDescent="0.3">
      <c r="A270" t="e">
        <f>IF(#REF!="","",#REF!)</f>
        <v>#REF!</v>
      </c>
      <c r="B270" t="e">
        <f>IF(A270="","",#REF!)</f>
        <v>#REF!</v>
      </c>
      <c r="C270" t="e">
        <f>IF(A270="","",#REF!)</f>
        <v>#REF!</v>
      </c>
      <c r="D270" t="e">
        <f>IF(A270="","",#REF!)</f>
        <v>#REF!</v>
      </c>
      <c r="E270" t="e">
        <f t="shared" si="12"/>
        <v>#REF!</v>
      </c>
      <c r="F270" t="e">
        <f t="shared" si="13"/>
        <v>#REF!</v>
      </c>
      <c r="G270" t="e">
        <f t="shared" si="14"/>
        <v>#REF!</v>
      </c>
    </row>
    <row r="271" spans="1:7" x14ac:dyDescent="0.3">
      <c r="A271" t="e">
        <f>IF(#REF!="","",#REF!)</f>
        <v>#REF!</v>
      </c>
      <c r="B271" t="e">
        <f>IF(A271="","",#REF!)</f>
        <v>#REF!</v>
      </c>
      <c r="C271" t="e">
        <f>IF(A271="","",#REF!)</f>
        <v>#REF!</v>
      </c>
      <c r="D271" t="e">
        <f>IF(A271="","",#REF!)</f>
        <v>#REF!</v>
      </c>
      <c r="E271" t="e">
        <f t="shared" si="12"/>
        <v>#REF!</v>
      </c>
      <c r="F271" t="e">
        <f t="shared" si="13"/>
        <v>#REF!</v>
      </c>
      <c r="G271" t="e">
        <f t="shared" si="14"/>
        <v>#REF!</v>
      </c>
    </row>
    <row r="272" spans="1:7" x14ac:dyDescent="0.3">
      <c r="A272" t="e">
        <f>IF(#REF!="","",#REF!)</f>
        <v>#REF!</v>
      </c>
      <c r="B272" t="e">
        <f>IF(A272="","",#REF!)</f>
        <v>#REF!</v>
      </c>
      <c r="C272" t="e">
        <f>IF(A272="","",#REF!)</f>
        <v>#REF!</v>
      </c>
      <c r="D272" t="e">
        <f>IF(A272="","",#REF!)</f>
        <v>#REF!</v>
      </c>
      <c r="E272" t="e">
        <f t="shared" si="12"/>
        <v>#REF!</v>
      </c>
      <c r="F272" t="e">
        <f t="shared" si="13"/>
        <v>#REF!</v>
      </c>
      <c r="G272" t="e">
        <f t="shared" si="14"/>
        <v>#REF!</v>
      </c>
    </row>
    <row r="273" spans="1:7" x14ac:dyDescent="0.3">
      <c r="A273" t="e">
        <f>IF(#REF!="","",#REF!)</f>
        <v>#REF!</v>
      </c>
      <c r="B273" t="e">
        <f>IF(A273="","",#REF!)</f>
        <v>#REF!</v>
      </c>
      <c r="C273" t="e">
        <f>IF(A273="","",#REF!)</f>
        <v>#REF!</v>
      </c>
      <c r="D273" t="e">
        <f>IF(A273="","",#REF!)</f>
        <v>#REF!</v>
      </c>
      <c r="E273" t="e">
        <f t="shared" si="12"/>
        <v>#REF!</v>
      </c>
      <c r="F273" t="e">
        <f t="shared" si="13"/>
        <v>#REF!</v>
      </c>
      <c r="G273" t="e">
        <f t="shared" si="14"/>
        <v>#REF!</v>
      </c>
    </row>
    <row r="274" spans="1:7" x14ac:dyDescent="0.3">
      <c r="A274" t="e">
        <f>IF(#REF!="","",#REF!)</f>
        <v>#REF!</v>
      </c>
      <c r="B274" t="e">
        <f>IF(A274="","",#REF!)</f>
        <v>#REF!</v>
      </c>
      <c r="C274" t="e">
        <f>IF(A274="","",#REF!)</f>
        <v>#REF!</v>
      </c>
      <c r="D274" t="e">
        <f>IF(A274="","",#REF!)</f>
        <v>#REF!</v>
      </c>
      <c r="E274" t="e">
        <f t="shared" si="12"/>
        <v>#REF!</v>
      </c>
      <c r="F274" t="e">
        <f t="shared" si="13"/>
        <v>#REF!</v>
      </c>
      <c r="G274" t="e">
        <f t="shared" si="14"/>
        <v>#REF!</v>
      </c>
    </row>
    <row r="275" spans="1:7" x14ac:dyDescent="0.3">
      <c r="A275" t="e">
        <f>IF(#REF!="","",#REF!)</f>
        <v>#REF!</v>
      </c>
      <c r="B275" t="e">
        <f>IF(A275="","",#REF!)</f>
        <v>#REF!</v>
      </c>
      <c r="C275" t="e">
        <f>IF(A275="","",#REF!)</f>
        <v>#REF!</v>
      </c>
      <c r="D275" t="e">
        <f>IF(A275="","",#REF!)</f>
        <v>#REF!</v>
      </c>
      <c r="E275" t="e">
        <f t="shared" si="12"/>
        <v>#REF!</v>
      </c>
      <c r="F275" t="e">
        <f t="shared" si="13"/>
        <v>#REF!</v>
      </c>
      <c r="G275" t="e">
        <f t="shared" si="14"/>
        <v>#REF!</v>
      </c>
    </row>
    <row r="276" spans="1:7" x14ac:dyDescent="0.3">
      <c r="A276" t="e">
        <f>IF(#REF!="","",#REF!)</f>
        <v>#REF!</v>
      </c>
      <c r="B276" t="e">
        <f>IF(A276="","",#REF!)</f>
        <v>#REF!</v>
      </c>
      <c r="C276" t="e">
        <f>IF(A276="","",#REF!)</f>
        <v>#REF!</v>
      </c>
      <c r="D276" t="e">
        <f>IF(A276="","",#REF!)</f>
        <v>#REF!</v>
      </c>
      <c r="E276" t="e">
        <f t="shared" si="12"/>
        <v>#REF!</v>
      </c>
      <c r="F276" t="e">
        <f t="shared" si="13"/>
        <v>#REF!</v>
      </c>
      <c r="G276" t="e">
        <f t="shared" si="14"/>
        <v>#REF!</v>
      </c>
    </row>
    <row r="277" spans="1:7" x14ac:dyDescent="0.3">
      <c r="A277" t="e">
        <f>IF(#REF!="","",#REF!)</f>
        <v>#REF!</v>
      </c>
      <c r="B277" t="e">
        <f>IF(A277="","",#REF!)</f>
        <v>#REF!</v>
      </c>
      <c r="C277" t="e">
        <f>IF(A277="","",#REF!)</f>
        <v>#REF!</v>
      </c>
      <c r="D277" t="e">
        <f>IF(A277="","",#REF!)</f>
        <v>#REF!</v>
      </c>
      <c r="E277" t="e">
        <f t="shared" si="12"/>
        <v>#REF!</v>
      </c>
      <c r="F277" t="e">
        <f t="shared" si="13"/>
        <v>#REF!</v>
      </c>
      <c r="G277" t="e">
        <f t="shared" si="14"/>
        <v>#REF!</v>
      </c>
    </row>
    <row r="278" spans="1:7" x14ac:dyDescent="0.3">
      <c r="A278" t="e">
        <f>IF(#REF!="","",#REF!)</f>
        <v>#REF!</v>
      </c>
      <c r="B278" t="e">
        <f>IF(A278="","",#REF!)</f>
        <v>#REF!</v>
      </c>
      <c r="C278" t="e">
        <f>IF(A278="","",#REF!)</f>
        <v>#REF!</v>
      </c>
      <c r="D278" t="e">
        <f>IF(A278="","",#REF!)</f>
        <v>#REF!</v>
      </c>
      <c r="E278" t="e">
        <f t="shared" si="12"/>
        <v>#REF!</v>
      </c>
      <c r="F278" t="e">
        <f t="shared" si="13"/>
        <v>#REF!</v>
      </c>
      <c r="G278" t="e">
        <f t="shared" si="14"/>
        <v>#REF!</v>
      </c>
    </row>
    <row r="279" spans="1:7" x14ac:dyDescent="0.3">
      <c r="A279" t="e">
        <f>IF(#REF!="","",#REF!)</f>
        <v>#REF!</v>
      </c>
      <c r="B279" t="e">
        <f>IF(A279="","",#REF!)</f>
        <v>#REF!</v>
      </c>
      <c r="C279" t="e">
        <f>IF(A279="","",#REF!)</f>
        <v>#REF!</v>
      </c>
      <c r="D279" t="e">
        <f>IF(A279="","",#REF!)</f>
        <v>#REF!</v>
      </c>
      <c r="E279" t="e">
        <f t="shared" si="12"/>
        <v>#REF!</v>
      </c>
      <c r="F279" t="e">
        <f t="shared" si="13"/>
        <v>#REF!</v>
      </c>
      <c r="G279" t="e">
        <f t="shared" si="14"/>
        <v>#REF!</v>
      </c>
    </row>
    <row r="280" spans="1:7" x14ac:dyDescent="0.3">
      <c r="A280" t="e">
        <f>IF(#REF!="","",#REF!)</f>
        <v>#REF!</v>
      </c>
      <c r="B280" t="e">
        <f>IF(A280="","",#REF!)</f>
        <v>#REF!</v>
      </c>
      <c r="C280" t="e">
        <f>IF(A280="","",#REF!)</f>
        <v>#REF!</v>
      </c>
      <c r="D280" t="e">
        <f>IF(A280="","",#REF!)</f>
        <v>#REF!</v>
      </c>
      <c r="E280" t="e">
        <f t="shared" si="12"/>
        <v>#REF!</v>
      </c>
      <c r="F280" t="e">
        <f t="shared" si="13"/>
        <v>#REF!</v>
      </c>
      <c r="G280" t="e">
        <f t="shared" si="14"/>
        <v>#REF!</v>
      </c>
    </row>
    <row r="281" spans="1:7" x14ac:dyDescent="0.3">
      <c r="A281" t="e">
        <f>IF(#REF!="","",#REF!)</f>
        <v>#REF!</v>
      </c>
      <c r="B281" t="e">
        <f>IF(A281="","",#REF!)</f>
        <v>#REF!</v>
      </c>
      <c r="C281" t="e">
        <f>IF(A281="","",#REF!)</f>
        <v>#REF!</v>
      </c>
      <c r="D281" t="e">
        <f>IF(A281="","",#REF!)</f>
        <v>#REF!</v>
      </c>
      <c r="E281" t="e">
        <f t="shared" si="12"/>
        <v>#REF!</v>
      </c>
      <c r="F281" t="e">
        <f t="shared" si="13"/>
        <v>#REF!</v>
      </c>
      <c r="G281" t="e">
        <f t="shared" si="14"/>
        <v>#REF!</v>
      </c>
    </row>
    <row r="282" spans="1:7" x14ac:dyDescent="0.3">
      <c r="A282" t="e">
        <f>IF(#REF!="","",#REF!)</f>
        <v>#REF!</v>
      </c>
      <c r="B282" t="e">
        <f>IF(A282="","",#REF!)</f>
        <v>#REF!</v>
      </c>
      <c r="C282" t="e">
        <f>IF(A282="","",#REF!)</f>
        <v>#REF!</v>
      </c>
      <c r="D282" t="e">
        <f>IF(A282="","",#REF!)</f>
        <v>#REF!</v>
      </c>
      <c r="E282" t="e">
        <f t="shared" si="12"/>
        <v>#REF!</v>
      </c>
      <c r="F282" t="e">
        <f t="shared" si="13"/>
        <v>#REF!</v>
      </c>
      <c r="G282" t="e">
        <f t="shared" si="14"/>
        <v>#REF!</v>
      </c>
    </row>
    <row r="283" spans="1:7" x14ac:dyDescent="0.3">
      <c r="A283" t="e">
        <f>IF(#REF!="","",#REF!)</f>
        <v>#REF!</v>
      </c>
      <c r="B283" t="e">
        <f>IF(A283="","",#REF!)</f>
        <v>#REF!</v>
      </c>
      <c r="C283" t="e">
        <f>IF(A283="","",#REF!)</f>
        <v>#REF!</v>
      </c>
      <c r="D283" t="e">
        <f>IF(A283="","",#REF!)</f>
        <v>#REF!</v>
      </c>
      <c r="E283" t="e">
        <f t="shared" si="12"/>
        <v>#REF!</v>
      </c>
      <c r="F283" t="e">
        <f t="shared" si="13"/>
        <v>#REF!</v>
      </c>
      <c r="G283" t="e">
        <f t="shared" si="14"/>
        <v>#REF!</v>
      </c>
    </row>
    <row r="284" spans="1:7" x14ac:dyDescent="0.3">
      <c r="A284" t="e">
        <f>IF(#REF!="","",#REF!)</f>
        <v>#REF!</v>
      </c>
      <c r="B284" t="e">
        <f>IF(A284="","",#REF!)</f>
        <v>#REF!</v>
      </c>
      <c r="C284" t="e">
        <f>IF(A284="","",#REF!)</f>
        <v>#REF!</v>
      </c>
      <c r="D284" t="e">
        <f>IF(A284="","",#REF!)</f>
        <v>#REF!</v>
      </c>
      <c r="E284" t="e">
        <f t="shared" si="12"/>
        <v>#REF!</v>
      </c>
      <c r="F284" t="e">
        <f t="shared" si="13"/>
        <v>#REF!</v>
      </c>
      <c r="G284" t="e">
        <f t="shared" si="14"/>
        <v>#REF!</v>
      </c>
    </row>
    <row r="285" spans="1:7" x14ac:dyDescent="0.3">
      <c r="A285" t="e">
        <f>IF(#REF!="","",#REF!)</f>
        <v>#REF!</v>
      </c>
      <c r="B285" t="e">
        <f>IF(A285="","",#REF!)</f>
        <v>#REF!</v>
      </c>
      <c r="C285" t="e">
        <f>IF(A285="","",#REF!)</f>
        <v>#REF!</v>
      </c>
      <c r="D285" t="e">
        <f>IF(A285="","",#REF!)</f>
        <v>#REF!</v>
      </c>
      <c r="E285" t="e">
        <f t="shared" si="12"/>
        <v>#REF!</v>
      </c>
      <c r="F285" t="e">
        <f t="shared" si="13"/>
        <v>#REF!</v>
      </c>
      <c r="G285" t="e">
        <f t="shared" si="14"/>
        <v>#REF!</v>
      </c>
    </row>
    <row r="286" spans="1:7" x14ac:dyDescent="0.3">
      <c r="A286" t="e">
        <f>IF(#REF!="","",#REF!)</f>
        <v>#REF!</v>
      </c>
      <c r="B286" t="e">
        <f>IF(A286="","",#REF!)</f>
        <v>#REF!</v>
      </c>
      <c r="C286" t="e">
        <f>IF(A286="","",#REF!)</f>
        <v>#REF!</v>
      </c>
      <c r="D286" t="e">
        <f>IF(A286="","",#REF!)</f>
        <v>#REF!</v>
      </c>
      <c r="E286" t="e">
        <f t="shared" si="12"/>
        <v>#REF!</v>
      </c>
      <c r="F286" t="e">
        <f t="shared" si="13"/>
        <v>#REF!</v>
      </c>
      <c r="G286" t="e">
        <f t="shared" si="14"/>
        <v>#REF!</v>
      </c>
    </row>
    <row r="287" spans="1:7" x14ac:dyDescent="0.3">
      <c r="A287" t="e">
        <f>IF(#REF!="","",#REF!)</f>
        <v>#REF!</v>
      </c>
      <c r="B287" t="e">
        <f>IF(A287="","",#REF!)</f>
        <v>#REF!</v>
      </c>
      <c r="C287" t="e">
        <f>IF(A287="","",#REF!)</f>
        <v>#REF!</v>
      </c>
      <c r="D287" t="e">
        <f>IF(A287="","",#REF!)</f>
        <v>#REF!</v>
      </c>
      <c r="E287" t="e">
        <f t="shared" si="12"/>
        <v>#REF!</v>
      </c>
      <c r="F287" t="e">
        <f t="shared" si="13"/>
        <v>#REF!</v>
      </c>
      <c r="G287" t="e">
        <f t="shared" si="14"/>
        <v>#REF!</v>
      </c>
    </row>
    <row r="288" spans="1:7" x14ac:dyDescent="0.3">
      <c r="A288" t="e">
        <f>IF(#REF!="","",#REF!)</f>
        <v>#REF!</v>
      </c>
      <c r="B288" t="e">
        <f>IF(A288="","",#REF!)</f>
        <v>#REF!</v>
      </c>
      <c r="C288" t="e">
        <f>IF(A288="","",#REF!)</f>
        <v>#REF!</v>
      </c>
      <c r="D288" t="e">
        <f>IF(A288="","",#REF!)</f>
        <v>#REF!</v>
      </c>
      <c r="E288" t="e">
        <f t="shared" si="12"/>
        <v>#REF!</v>
      </c>
      <c r="F288" t="e">
        <f t="shared" si="13"/>
        <v>#REF!</v>
      </c>
      <c r="G288" t="e">
        <f t="shared" si="14"/>
        <v>#REF!</v>
      </c>
    </row>
    <row r="289" spans="1:7" x14ac:dyDescent="0.3">
      <c r="A289" t="e">
        <f>IF(#REF!="","",#REF!)</f>
        <v>#REF!</v>
      </c>
      <c r="B289" t="e">
        <f>IF(A289="","",#REF!)</f>
        <v>#REF!</v>
      </c>
      <c r="C289" t="e">
        <f>IF(A289="","",#REF!)</f>
        <v>#REF!</v>
      </c>
      <c r="D289" t="e">
        <f>IF(A289="","",#REF!)</f>
        <v>#REF!</v>
      </c>
      <c r="E289" t="e">
        <f t="shared" si="12"/>
        <v>#REF!</v>
      </c>
      <c r="F289" t="e">
        <f t="shared" si="13"/>
        <v>#REF!</v>
      </c>
      <c r="G289" t="e">
        <f t="shared" si="14"/>
        <v>#REF!</v>
      </c>
    </row>
    <row r="290" spans="1:7" x14ac:dyDescent="0.3">
      <c r="A290" t="e">
        <f>IF(#REF!="","",#REF!)</f>
        <v>#REF!</v>
      </c>
      <c r="B290" t="e">
        <f>IF(A290="","",#REF!)</f>
        <v>#REF!</v>
      </c>
      <c r="C290" t="e">
        <f>IF(A290="","",#REF!)</f>
        <v>#REF!</v>
      </c>
      <c r="D290" t="e">
        <f>IF(A290="","",#REF!)</f>
        <v>#REF!</v>
      </c>
      <c r="E290" t="e">
        <f t="shared" si="12"/>
        <v>#REF!</v>
      </c>
      <c r="F290" t="e">
        <f t="shared" si="13"/>
        <v>#REF!</v>
      </c>
      <c r="G290" t="e">
        <f t="shared" si="14"/>
        <v>#REF!</v>
      </c>
    </row>
    <row r="291" spans="1:7" x14ac:dyDescent="0.3">
      <c r="A291" t="e">
        <f>IF(#REF!="","",#REF!)</f>
        <v>#REF!</v>
      </c>
      <c r="B291" t="e">
        <f>IF(A291="","",#REF!)</f>
        <v>#REF!</v>
      </c>
      <c r="C291" t="e">
        <f>IF(A291="","",#REF!)</f>
        <v>#REF!</v>
      </c>
      <c r="D291" t="e">
        <f>IF(A291="","",#REF!)</f>
        <v>#REF!</v>
      </c>
      <c r="E291" t="e">
        <f t="shared" si="12"/>
        <v>#REF!</v>
      </c>
      <c r="F291" t="e">
        <f t="shared" si="13"/>
        <v>#REF!</v>
      </c>
      <c r="G291" t="e">
        <f t="shared" si="14"/>
        <v>#REF!</v>
      </c>
    </row>
    <row r="292" spans="1:7" x14ac:dyDescent="0.3">
      <c r="A292" t="e">
        <f>IF(#REF!="","",#REF!)</f>
        <v>#REF!</v>
      </c>
      <c r="B292" t="e">
        <f>IF(A292="","",#REF!)</f>
        <v>#REF!</v>
      </c>
      <c r="C292" t="e">
        <f>IF(A292="","",#REF!)</f>
        <v>#REF!</v>
      </c>
      <c r="D292" t="e">
        <f>IF(A292="","",#REF!)</f>
        <v>#REF!</v>
      </c>
      <c r="E292" t="e">
        <f t="shared" si="12"/>
        <v>#REF!</v>
      </c>
      <c r="F292" t="e">
        <f t="shared" si="13"/>
        <v>#REF!</v>
      </c>
      <c r="G292" t="e">
        <f t="shared" si="14"/>
        <v>#REF!</v>
      </c>
    </row>
    <row r="293" spans="1:7" x14ac:dyDescent="0.3">
      <c r="A293" t="e">
        <f>IF(#REF!="","",#REF!)</f>
        <v>#REF!</v>
      </c>
      <c r="B293" t="e">
        <f>IF(A293="","",#REF!)</f>
        <v>#REF!</v>
      </c>
      <c r="C293" t="e">
        <f>IF(A293="","",#REF!)</f>
        <v>#REF!</v>
      </c>
      <c r="D293" t="e">
        <f>IF(A293="","",#REF!)</f>
        <v>#REF!</v>
      </c>
      <c r="E293" t="e">
        <f t="shared" si="12"/>
        <v>#REF!</v>
      </c>
      <c r="F293" t="e">
        <f t="shared" si="13"/>
        <v>#REF!</v>
      </c>
      <c r="G293" t="e">
        <f t="shared" si="14"/>
        <v>#REF!</v>
      </c>
    </row>
    <row r="294" spans="1:7" x14ac:dyDescent="0.3">
      <c r="A294" t="e">
        <f>IF(#REF!="","",#REF!)</f>
        <v>#REF!</v>
      </c>
      <c r="B294" t="e">
        <f>IF(A294="","",#REF!)</f>
        <v>#REF!</v>
      </c>
      <c r="C294" t="e">
        <f>IF(A294="","",#REF!)</f>
        <v>#REF!</v>
      </c>
      <c r="D294" t="e">
        <f>IF(A294="","",#REF!)</f>
        <v>#REF!</v>
      </c>
      <c r="E294" t="e">
        <f t="shared" si="12"/>
        <v>#REF!</v>
      </c>
      <c r="F294" t="e">
        <f t="shared" si="13"/>
        <v>#REF!</v>
      </c>
      <c r="G294" t="e">
        <f t="shared" si="14"/>
        <v>#REF!</v>
      </c>
    </row>
    <row r="295" spans="1:7" x14ac:dyDescent="0.3">
      <c r="A295" t="e">
        <f>IF(#REF!="","",#REF!)</f>
        <v>#REF!</v>
      </c>
      <c r="B295" t="e">
        <f>IF(A295="","",#REF!)</f>
        <v>#REF!</v>
      </c>
      <c r="C295" t="e">
        <f>IF(A295="","",#REF!)</f>
        <v>#REF!</v>
      </c>
      <c r="D295" t="e">
        <f>IF(A295="","",#REF!)</f>
        <v>#REF!</v>
      </c>
      <c r="E295" t="e">
        <f t="shared" si="12"/>
        <v>#REF!</v>
      </c>
      <c r="F295" t="e">
        <f t="shared" si="13"/>
        <v>#REF!</v>
      </c>
      <c r="G295" t="e">
        <f t="shared" si="14"/>
        <v>#REF!</v>
      </c>
    </row>
    <row r="296" spans="1:7" x14ac:dyDescent="0.3">
      <c r="A296" t="e">
        <f>IF(#REF!="","",#REF!)</f>
        <v>#REF!</v>
      </c>
      <c r="B296" t="e">
        <f>IF(A296="","",#REF!)</f>
        <v>#REF!</v>
      </c>
      <c r="C296" t="e">
        <f>IF(A296="","",#REF!)</f>
        <v>#REF!</v>
      </c>
      <c r="D296" t="e">
        <f>IF(A296="","",#REF!)</f>
        <v>#REF!</v>
      </c>
      <c r="E296" t="e">
        <f t="shared" si="12"/>
        <v>#REF!</v>
      </c>
      <c r="F296" t="e">
        <f t="shared" si="13"/>
        <v>#REF!</v>
      </c>
      <c r="G296" t="e">
        <f t="shared" si="14"/>
        <v>#REF!</v>
      </c>
    </row>
    <row r="297" spans="1:7" x14ac:dyDescent="0.3">
      <c r="A297" t="e">
        <f>IF(#REF!="","",#REF!)</f>
        <v>#REF!</v>
      </c>
      <c r="B297" t="e">
        <f>IF(A297="","",#REF!)</f>
        <v>#REF!</v>
      </c>
      <c r="C297" t="e">
        <f>IF(A297="","",#REF!)</f>
        <v>#REF!</v>
      </c>
      <c r="D297" t="e">
        <f>IF(A297="","",#REF!)</f>
        <v>#REF!</v>
      </c>
      <c r="E297" t="e">
        <f t="shared" si="12"/>
        <v>#REF!</v>
      </c>
      <c r="F297" t="e">
        <f t="shared" si="13"/>
        <v>#REF!</v>
      </c>
      <c r="G297" t="e">
        <f t="shared" si="14"/>
        <v>#REF!</v>
      </c>
    </row>
    <row r="298" spans="1:7" x14ac:dyDescent="0.3">
      <c r="A298" t="e">
        <f>IF(#REF!="","",#REF!)</f>
        <v>#REF!</v>
      </c>
      <c r="B298" t="e">
        <f>IF(A298="","",#REF!)</f>
        <v>#REF!</v>
      </c>
      <c r="C298" t="e">
        <f>IF(A298="","",#REF!)</f>
        <v>#REF!</v>
      </c>
      <c r="D298" t="e">
        <f>IF(A298="","",#REF!)</f>
        <v>#REF!</v>
      </c>
      <c r="E298" t="e">
        <f t="shared" si="12"/>
        <v>#REF!</v>
      </c>
      <c r="F298" t="e">
        <f t="shared" si="13"/>
        <v>#REF!</v>
      </c>
      <c r="G298" t="e">
        <f t="shared" si="14"/>
        <v>#REF!</v>
      </c>
    </row>
    <row r="299" spans="1:7" x14ac:dyDescent="0.3">
      <c r="A299" t="e">
        <f>IF(#REF!="","",#REF!)</f>
        <v>#REF!</v>
      </c>
      <c r="B299" t="e">
        <f>IF(A299="","",#REF!)</f>
        <v>#REF!</v>
      </c>
      <c r="C299" t="e">
        <f>IF(A299="","",#REF!)</f>
        <v>#REF!</v>
      </c>
      <c r="D299" t="e">
        <f>IF(A299="","",#REF!)</f>
        <v>#REF!</v>
      </c>
      <c r="E299" t="e">
        <f t="shared" si="12"/>
        <v>#REF!</v>
      </c>
      <c r="F299" t="e">
        <f t="shared" si="13"/>
        <v>#REF!</v>
      </c>
      <c r="G299" t="e">
        <f t="shared" si="14"/>
        <v>#REF!</v>
      </c>
    </row>
    <row r="300" spans="1:7" x14ac:dyDescent="0.3">
      <c r="A300" t="e">
        <f>IF(#REF!="","",#REF!)</f>
        <v>#REF!</v>
      </c>
      <c r="B300" t="e">
        <f>IF(A300="","",#REF!)</f>
        <v>#REF!</v>
      </c>
      <c r="C300" t="e">
        <f>IF(A300="","",#REF!)</f>
        <v>#REF!</v>
      </c>
      <c r="D300" t="e">
        <f>IF(A300="","",#REF!)</f>
        <v>#REF!</v>
      </c>
      <c r="E300" t="e">
        <f t="shared" si="12"/>
        <v>#REF!</v>
      </c>
      <c r="F300" t="e">
        <f t="shared" si="13"/>
        <v>#REF!</v>
      </c>
      <c r="G300" t="e">
        <f t="shared" si="14"/>
        <v>#REF!</v>
      </c>
    </row>
    <row r="301" spans="1:7" x14ac:dyDescent="0.3">
      <c r="A301" t="e">
        <f>IF(#REF!="","",#REF!)</f>
        <v>#REF!</v>
      </c>
      <c r="B301" t="e">
        <f>IF(A301="","",#REF!)</f>
        <v>#REF!</v>
      </c>
      <c r="C301" t="e">
        <f>IF(A301="","",#REF!)</f>
        <v>#REF!</v>
      </c>
      <c r="D301" t="e">
        <f>IF(A301="","",#REF!)</f>
        <v>#REF!</v>
      </c>
      <c r="E301" t="e">
        <f t="shared" si="12"/>
        <v>#REF!</v>
      </c>
      <c r="F301" t="e">
        <f t="shared" si="13"/>
        <v>#REF!</v>
      </c>
      <c r="G301" t="e">
        <f t="shared" si="14"/>
        <v>#REF!</v>
      </c>
    </row>
    <row r="302" spans="1:7" x14ac:dyDescent="0.3">
      <c r="A302" t="e">
        <f>IF(#REF!="","",#REF!)</f>
        <v>#REF!</v>
      </c>
      <c r="B302" t="e">
        <f>IF(A302="","",#REF!)</f>
        <v>#REF!</v>
      </c>
      <c r="C302" t="e">
        <f>IF(A302="","",#REF!)</f>
        <v>#REF!</v>
      </c>
      <c r="D302" t="e">
        <f>IF(A302="","",#REF!)</f>
        <v>#REF!</v>
      </c>
      <c r="E302" t="e">
        <f t="shared" si="12"/>
        <v>#REF!</v>
      </c>
      <c r="F302" t="e">
        <f t="shared" si="13"/>
        <v>#REF!</v>
      </c>
      <c r="G302" t="e">
        <f t="shared" si="14"/>
        <v>#REF!</v>
      </c>
    </row>
    <row r="303" spans="1:7" x14ac:dyDescent="0.3">
      <c r="A303" t="e">
        <f>IF(#REF!="","",#REF!)</f>
        <v>#REF!</v>
      </c>
      <c r="B303" t="e">
        <f>IF(A303="","",#REF!)</f>
        <v>#REF!</v>
      </c>
      <c r="C303" t="e">
        <f>IF(A303="","",#REF!)</f>
        <v>#REF!</v>
      </c>
      <c r="D303" t="e">
        <f>IF(A303="","",#REF!)</f>
        <v>#REF!</v>
      </c>
      <c r="E303" t="e">
        <f t="shared" si="12"/>
        <v>#REF!</v>
      </c>
      <c r="F303" t="e">
        <f t="shared" si="13"/>
        <v>#REF!</v>
      </c>
      <c r="G303" t="e">
        <f t="shared" si="14"/>
        <v>#REF!</v>
      </c>
    </row>
    <row r="304" spans="1:7" x14ac:dyDescent="0.3">
      <c r="A304" t="e">
        <f>IF(#REF!="","",#REF!)</f>
        <v>#REF!</v>
      </c>
      <c r="B304" t="e">
        <f>IF(A304="","",#REF!)</f>
        <v>#REF!</v>
      </c>
      <c r="C304" t="e">
        <f>IF(A304="","",#REF!)</f>
        <v>#REF!</v>
      </c>
      <c r="D304" t="e">
        <f>IF(A304="","",#REF!)</f>
        <v>#REF!</v>
      </c>
      <c r="E304" t="e">
        <f t="shared" si="12"/>
        <v>#REF!</v>
      </c>
      <c r="F304" t="e">
        <f t="shared" si="13"/>
        <v>#REF!</v>
      </c>
      <c r="G304" t="e">
        <f t="shared" si="14"/>
        <v>#REF!</v>
      </c>
    </row>
    <row r="305" spans="1:7" x14ac:dyDescent="0.3">
      <c r="A305" t="e">
        <f>IF(#REF!="","",#REF!)</f>
        <v>#REF!</v>
      </c>
      <c r="B305" t="e">
        <f>IF(A305="","",#REF!)</f>
        <v>#REF!</v>
      </c>
      <c r="C305" t="e">
        <f>IF(A305="","",#REF!)</f>
        <v>#REF!</v>
      </c>
      <c r="D305" t="e">
        <f>IF(A305="","",#REF!)</f>
        <v>#REF!</v>
      </c>
      <c r="E305" t="e">
        <f t="shared" si="12"/>
        <v>#REF!</v>
      </c>
      <c r="F305" t="e">
        <f t="shared" si="13"/>
        <v>#REF!</v>
      </c>
      <c r="G305" t="e">
        <f t="shared" si="14"/>
        <v>#REF!</v>
      </c>
    </row>
    <row r="306" spans="1:7" x14ac:dyDescent="0.3">
      <c r="A306" t="e">
        <f>IF(#REF!="","",#REF!)</f>
        <v>#REF!</v>
      </c>
      <c r="B306" t="e">
        <f>IF(A306="","",#REF!)</f>
        <v>#REF!</v>
      </c>
      <c r="C306" t="e">
        <f>IF(A306="","",#REF!)</f>
        <v>#REF!</v>
      </c>
      <c r="D306" t="e">
        <f>IF(A306="","",#REF!)</f>
        <v>#REF!</v>
      </c>
      <c r="E306" t="e">
        <f t="shared" si="12"/>
        <v>#REF!</v>
      </c>
      <c r="F306" t="e">
        <f t="shared" si="13"/>
        <v>#REF!</v>
      </c>
      <c r="G306" t="e">
        <f t="shared" si="14"/>
        <v>#REF!</v>
      </c>
    </row>
    <row r="307" spans="1:7" x14ac:dyDescent="0.3">
      <c r="A307" t="e">
        <f>IF(#REF!="","",#REF!)</f>
        <v>#REF!</v>
      </c>
      <c r="B307" t="e">
        <f>IF(A307="","",#REF!)</f>
        <v>#REF!</v>
      </c>
      <c r="C307" t="e">
        <f>IF(A307="","",#REF!)</f>
        <v>#REF!</v>
      </c>
      <c r="D307" t="e">
        <f>IF(A307="","",#REF!)</f>
        <v>#REF!</v>
      </c>
      <c r="E307" t="e">
        <f t="shared" si="12"/>
        <v>#REF!</v>
      </c>
      <c r="F307" t="e">
        <f t="shared" si="13"/>
        <v>#REF!</v>
      </c>
      <c r="G307" t="e">
        <f t="shared" si="14"/>
        <v>#REF!</v>
      </c>
    </row>
    <row r="308" spans="1:7" x14ac:dyDescent="0.3">
      <c r="A308" t="e">
        <f>IF(#REF!="","",#REF!)</f>
        <v>#REF!</v>
      </c>
      <c r="B308" t="e">
        <f>IF(A308="","",#REF!)</f>
        <v>#REF!</v>
      </c>
      <c r="C308" t="e">
        <f>IF(A308="","",#REF!)</f>
        <v>#REF!</v>
      </c>
      <c r="D308" t="e">
        <f>IF(A308="","",#REF!)</f>
        <v>#REF!</v>
      </c>
      <c r="E308" t="e">
        <f t="shared" si="12"/>
        <v>#REF!</v>
      </c>
      <c r="F308" t="e">
        <f t="shared" si="13"/>
        <v>#REF!</v>
      </c>
      <c r="G308" t="e">
        <f t="shared" si="14"/>
        <v>#REF!</v>
      </c>
    </row>
    <row r="309" spans="1:7" x14ac:dyDescent="0.3">
      <c r="A309" t="e">
        <f>IF(#REF!="","",#REF!)</f>
        <v>#REF!</v>
      </c>
      <c r="B309" t="e">
        <f>IF(A309="","",#REF!)</f>
        <v>#REF!</v>
      </c>
      <c r="C309" t="e">
        <f>IF(A309="","",#REF!)</f>
        <v>#REF!</v>
      </c>
      <c r="D309" t="e">
        <f>IF(A309="","",#REF!)</f>
        <v>#REF!</v>
      </c>
      <c r="E309" t="e">
        <f t="shared" si="12"/>
        <v>#REF!</v>
      </c>
      <c r="F309" t="e">
        <f t="shared" si="13"/>
        <v>#REF!</v>
      </c>
      <c r="G309" t="e">
        <f t="shared" si="14"/>
        <v>#REF!</v>
      </c>
    </row>
    <row r="310" spans="1:7" x14ac:dyDescent="0.3">
      <c r="A310" t="e">
        <f>IF(#REF!="","",#REF!)</f>
        <v>#REF!</v>
      </c>
      <c r="B310" t="e">
        <f>IF(A310="","",#REF!)</f>
        <v>#REF!</v>
      </c>
      <c r="C310" t="e">
        <f>IF(A310="","",#REF!)</f>
        <v>#REF!</v>
      </c>
      <c r="D310" t="e">
        <f>IF(A310="","",#REF!)</f>
        <v>#REF!</v>
      </c>
      <c r="E310" t="e">
        <f t="shared" si="12"/>
        <v>#REF!</v>
      </c>
      <c r="F310" t="e">
        <f t="shared" si="13"/>
        <v>#REF!</v>
      </c>
      <c r="G310" t="e">
        <f t="shared" si="14"/>
        <v>#REF!</v>
      </c>
    </row>
    <row r="311" spans="1:7" x14ac:dyDescent="0.3">
      <c r="A311" t="e">
        <f>IF(#REF!="","",#REF!)</f>
        <v>#REF!</v>
      </c>
      <c r="B311" t="e">
        <f>IF(A311="","",#REF!)</f>
        <v>#REF!</v>
      </c>
      <c r="C311" t="e">
        <f>IF(A311="","",#REF!)</f>
        <v>#REF!</v>
      </c>
      <c r="D311" t="e">
        <f>IF(A311="","",#REF!)</f>
        <v>#REF!</v>
      </c>
      <c r="E311" t="e">
        <f t="shared" si="12"/>
        <v>#REF!</v>
      </c>
      <c r="F311" t="e">
        <f t="shared" si="13"/>
        <v>#REF!</v>
      </c>
      <c r="G311" t="e">
        <f t="shared" si="14"/>
        <v>#REF!</v>
      </c>
    </row>
    <row r="312" spans="1:7" x14ac:dyDescent="0.3">
      <c r="A312" t="e">
        <f>IF(#REF!="","",#REF!)</f>
        <v>#REF!</v>
      </c>
      <c r="B312" t="e">
        <f>IF(A312="","",#REF!)</f>
        <v>#REF!</v>
      </c>
      <c r="C312" t="e">
        <f>IF(A312="","",#REF!)</f>
        <v>#REF!</v>
      </c>
      <c r="D312" t="e">
        <f>IF(A312="","",#REF!)</f>
        <v>#REF!</v>
      </c>
      <c r="E312" t="e">
        <f t="shared" si="12"/>
        <v>#REF!</v>
      </c>
      <c r="F312" t="e">
        <f t="shared" si="13"/>
        <v>#REF!</v>
      </c>
      <c r="G312" t="e">
        <f t="shared" si="14"/>
        <v>#REF!</v>
      </c>
    </row>
    <row r="313" spans="1:7" x14ac:dyDescent="0.3">
      <c r="A313" t="e">
        <f>IF(#REF!="","",#REF!)</f>
        <v>#REF!</v>
      </c>
      <c r="B313" t="e">
        <f>IF(A313="","",#REF!)</f>
        <v>#REF!</v>
      </c>
      <c r="C313" t="e">
        <f>IF(A313="","",#REF!)</f>
        <v>#REF!</v>
      </c>
      <c r="D313" t="e">
        <f>IF(A313="","",#REF!)</f>
        <v>#REF!</v>
      </c>
      <c r="E313" t="e">
        <f t="shared" si="12"/>
        <v>#REF!</v>
      </c>
      <c r="F313" t="e">
        <f t="shared" si="13"/>
        <v>#REF!</v>
      </c>
      <c r="G313" t="e">
        <f t="shared" si="14"/>
        <v>#REF!</v>
      </c>
    </row>
    <row r="314" spans="1:7" x14ac:dyDescent="0.3">
      <c r="A314" t="e">
        <f>IF(#REF!="","",#REF!)</f>
        <v>#REF!</v>
      </c>
      <c r="B314" t="e">
        <f>IF(A314="","",#REF!)</f>
        <v>#REF!</v>
      </c>
      <c r="C314" t="e">
        <f>IF(A314="","",#REF!)</f>
        <v>#REF!</v>
      </c>
      <c r="D314" t="e">
        <f>IF(A314="","",#REF!)</f>
        <v>#REF!</v>
      </c>
      <c r="E314" t="e">
        <f t="shared" si="12"/>
        <v>#REF!</v>
      </c>
      <c r="F314" t="e">
        <f t="shared" si="13"/>
        <v>#REF!</v>
      </c>
      <c r="G314" t="e">
        <f t="shared" si="14"/>
        <v>#REF!</v>
      </c>
    </row>
    <row r="315" spans="1:7" x14ac:dyDescent="0.3">
      <c r="A315" t="e">
        <f>IF(#REF!="","",#REF!)</f>
        <v>#REF!</v>
      </c>
      <c r="B315" t="e">
        <f>IF(A315="","",#REF!)</f>
        <v>#REF!</v>
      </c>
      <c r="C315" t="e">
        <f>IF(A315="","",#REF!)</f>
        <v>#REF!</v>
      </c>
      <c r="D315" t="e">
        <f>IF(A315="","",#REF!)</f>
        <v>#REF!</v>
      </c>
      <c r="E315" t="e">
        <f t="shared" si="12"/>
        <v>#REF!</v>
      </c>
      <c r="F315" t="e">
        <f t="shared" si="13"/>
        <v>#REF!</v>
      </c>
      <c r="G315" t="e">
        <f t="shared" si="14"/>
        <v>#REF!</v>
      </c>
    </row>
    <row r="316" spans="1:7" x14ac:dyDescent="0.3">
      <c r="A316" t="e">
        <f>IF(#REF!="","",#REF!)</f>
        <v>#REF!</v>
      </c>
      <c r="B316" t="e">
        <f>IF(A316="","",#REF!)</f>
        <v>#REF!</v>
      </c>
      <c r="C316" t="e">
        <f>IF(A316="","",#REF!)</f>
        <v>#REF!</v>
      </c>
      <c r="D316" t="e">
        <f>IF(A316="","",#REF!)</f>
        <v>#REF!</v>
      </c>
      <c r="E316" t="e">
        <f t="shared" si="12"/>
        <v>#REF!</v>
      </c>
      <c r="F316" t="e">
        <f t="shared" si="13"/>
        <v>#REF!</v>
      </c>
      <c r="G316" t="e">
        <f t="shared" si="14"/>
        <v>#REF!</v>
      </c>
    </row>
    <row r="317" spans="1:7" x14ac:dyDescent="0.3">
      <c r="A317" t="e">
        <f>IF(#REF!="","",#REF!)</f>
        <v>#REF!</v>
      </c>
      <c r="B317" t="e">
        <f>IF(A317="","",#REF!)</f>
        <v>#REF!</v>
      </c>
      <c r="C317" t="e">
        <f>IF(A317="","",#REF!)</f>
        <v>#REF!</v>
      </c>
      <c r="D317" t="e">
        <f>IF(A317="","",#REF!)</f>
        <v>#REF!</v>
      </c>
      <c r="E317" t="e">
        <f t="shared" si="12"/>
        <v>#REF!</v>
      </c>
      <c r="F317" t="e">
        <f t="shared" si="13"/>
        <v>#REF!</v>
      </c>
      <c r="G317" t="e">
        <f t="shared" si="14"/>
        <v>#REF!</v>
      </c>
    </row>
    <row r="318" spans="1:7" x14ac:dyDescent="0.3">
      <c r="A318" t="e">
        <f>IF(#REF!="","",#REF!)</f>
        <v>#REF!</v>
      </c>
      <c r="B318" t="e">
        <f>IF(A318="","",#REF!)</f>
        <v>#REF!</v>
      </c>
      <c r="C318" t="e">
        <f>IF(A318="","",#REF!)</f>
        <v>#REF!</v>
      </c>
      <c r="D318" t="e">
        <f>IF(A318="","",#REF!)</f>
        <v>#REF!</v>
      </c>
      <c r="E318" t="e">
        <f t="shared" si="12"/>
        <v>#REF!</v>
      </c>
      <c r="F318" t="e">
        <f t="shared" si="13"/>
        <v>#REF!</v>
      </c>
      <c r="G318" t="e">
        <f t="shared" si="14"/>
        <v>#REF!</v>
      </c>
    </row>
    <row r="319" spans="1:7" x14ac:dyDescent="0.3">
      <c r="A319" t="e">
        <f>IF(#REF!="","",#REF!)</f>
        <v>#REF!</v>
      </c>
      <c r="B319" t="e">
        <f>IF(A319="","",#REF!)</f>
        <v>#REF!</v>
      </c>
      <c r="C319" t="e">
        <f>IF(A319="","",#REF!)</f>
        <v>#REF!</v>
      </c>
      <c r="D319" t="e">
        <f>IF(A319="","",#REF!)</f>
        <v>#REF!</v>
      </c>
      <c r="E319" t="e">
        <f t="shared" si="12"/>
        <v>#REF!</v>
      </c>
      <c r="F319" t="e">
        <f t="shared" si="13"/>
        <v>#REF!</v>
      </c>
      <c r="G319" t="e">
        <f t="shared" si="14"/>
        <v>#REF!</v>
      </c>
    </row>
    <row r="320" spans="1:7" x14ac:dyDescent="0.3">
      <c r="A320" t="e">
        <f>IF(#REF!="","",#REF!)</f>
        <v>#REF!</v>
      </c>
      <c r="B320" t="e">
        <f>IF(A320="","",#REF!)</f>
        <v>#REF!</v>
      </c>
      <c r="C320" t="e">
        <f>IF(A320="","",#REF!)</f>
        <v>#REF!</v>
      </c>
      <c r="D320" t="e">
        <f>IF(A320="","",#REF!)</f>
        <v>#REF!</v>
      </c>
      <c r="E320" t="e">
        <f t="shared" si="12"/>
        <v>#REF!</v>
      </c>
      <c r="F320" t="e">
        <f t="shared" si="13"/>
        <v>#REF!</v>
      </c>
      <c r="G320" t="e">
        <f t="shared" si="14"/>
        <v>#REF!</v>
      </c>
    </row>
    <row r="321" spans="1:7" x14ac:dyDescent="0.3">
      <c r="A321" t="e">
        <f>IF(#REF!="","",#REF!)</f>
        <v>#REF!</v>
      </c>
      <c r="B321" t="e">
        <f>IF(A321="","",#REF!)</f>
        <v>#REF!</v>
      </c>
      <c r="C321" t="e">
        <f>IF(A321="","",#REF!)</f>
        <v>#REF!</v>
      </c>
      <c r="D321" t="e">
        <f>IF(A321="","",#REF!)</f>
        <v>#REF!</v>
      </c>
      <c r="E321" t="e">
        <f t="shared" si="12"/>
        <v>#REF!</v>
      </c>
      <c r="F321" t="e">
        <f t="shared" si="13"/>
        <v>#REF!</v>
      </c>
      <c r="G321" t="e">
        <f t="shared" si="14"/>
        <v>#REF!</v>
      </c>
    </row>
    <row r="322" spans="1:7" x14ac:dyDescent="0.3">
      <c r="A322" t="e">
        <f>IF(#REF!="","",#REF!)</f>
        <v>#REF!</v>
      </c>
      <c r="B322" t="e">
        <f>IF(A322="","",#REF!)</f>
        <v>#REF!</v>
      </c>
      <c r="C322" t="e">
        <f>IF(A322="","",#REF!)</f>
        <v>#REF!</v>
      </c>
      <c r="D322" t="e">
        <f>IF(A322="","",#REF!)</f>
        <v>#REF!</v>
      </c>
      <c r="E322" t="e">
        <f t="shared" si="12"/>
        <v>#REF!</v>
      </c>
      <c r="F322" t="e">
        <f t="shared" si="13"/>
        <v>#REF!</v>
      </c>
      <c r="G322" t="e">
        <f t="shared" si="14"/>
        <v>#REF!</v>
      </c>
    </row>
    <row r="323" spans="1:7" x14ac:dyDescent="0.3">
      <c r="A323" t="e">
        <f>IF(#REF!="","",#REF!)</f>
        <v>#REF!</v>
      </c>
      <c r="B323" t="e">
        <f>IF(A323="","",#REF!)</f>
        <v>#REF!</v>
      </c>
      <c r="C323" t="e">
        <f>IF(A323="","",#REF!)</f>
        <v>#REF!</v>
      </c>
      <c r="D323" t="e">
        <f>IF(A323="","",#REF!)</f>
        <v>#REF!</v>
      </c>
      <c r="E323" t="e">
        <f t="shared" si="12"/>
        <v>#REF!</v>
      </c>
      <c r="F323" t="e">
        <f t="shared" si="13"/>
        <v>#REF!</v>
      </c>
      <c r="G323" t="e">
        <f t="shared" si="14"/>
        <v>#REF!</v>
      </c>
    </row>
    <row r="324" spans="1:7" x14ac:dyDescent="0.3">
      <c r="A324" t="e">
        <f>IF(#REF!="","",#REF!)</f>
        <v>#REF!</v>
      </c>
      <c r="B324" t="e">
        <f>IF(A324="","",#REF!)</f>
        <v>#REF!</v>
      </c>
      <c r="C324" t="e">
        <f>IF(A324="","",#REF!)</f>
        <v>#REF!</v>
      </c>
      <c r="D324" t="e">
        <f>IF(A324="","",#REF!)</f>
        <v>#REF!</v>
      </c>
      <c r="E324" t="e">
        <f t="shared" si="12"/>
        <v>#REF!</v>
      </c>
      <c r="F324" t="e">
        <f t="shared" si="13"/>
        <v>#REF!</v>
      </c>
      <c r="G324" t="e">
        <f t="shared" si="14"/>
        <v>#REF!</v>
      </c>
    </row>
    <row r="325" spans="1:7" x14ac:dyDescent="0.3">
      <c r="A325" t="e">
        <f>IF(#REF!="","",#REF!)</f>
        <v>#REF!</v>
      </c>
      <c r="B325" t="e">
        <f>IF(A325="","",#REF!)</f>
        <v>#REF!</v>
      </c>
      <c r="C325" t="e">
        <f>IF(A325="","",#REF!)</f>
        <v>#REF!</v>
      </c>
      <c r="D325" t="e">
        <f>IF(A325="","",#REF!)</f>
        <v>#REF!</v>
      </c>
      <c r="E325" t="e">
        <f t="shared" ref="E325:E388" si="15">IF(A325="","",IF(COUNTIF($A$5:$A$504,A325)&gt;1,"Duplicate","Unique"))</f>
        <v>#REF!</v>
      </c>
      <c r="F325" t="e">
        <f t="shared" ref="F325:F388" si="16">IF(A325="","",IF(C325="","Missing Date","Date Present"))</f>
        <v>#REF!</v>
      </c>
      <c r="G325" t="e">
        <f t="shared" ref="G325:G388" si="17">IF(A325="","",IF(OR(E325="Duplicate",F325="Missing Date"),"Review","Pass"))</f>
        <v>#REF!</v>
      </c>
    </row>
    <row r="326" spans="1:7" x14ac:dyDescent="0.3">
      <c r="A326" t="e">
        <f>IF(#REF!="","",#REF!)</f>
        <v>#REF!</v>
      </c>
      <c r="B326" t="e">
        <f>IF(A326="","",#REF!)</f>
        <v>#REF!</v>
      </c>
      <c r="C326" t="e">
        <f>IF(A326="","",#REF!)</f>
        <v>#REF!</v>
      </c>
      <c r="D326" t="e">
        <f>IF(A326="","",#REF!)</f>
        <v>#REF!</v>
      </c>
      <c r="E326" t="e">
        <f t="shared" si="15"/>
        <v>#REF!</v>
      </c>
      <c r="F326" t="e">
        <f t="shared" si="16"/>
        <v>#REF!</v>
      </c>
      <c r="G326" t="e">
        <f t="shared" si="17"/>
        <v>#REF!</v>
      </c>
    </row>
    <row r="327" spans="1:7" x14ac:dyDescent="0.3">
      <c r="A327" t="e">
        <f>IF(#REF!="","",#REF!)</f>
        <v>#REF!</v>
      </c>
      <c r="B327" t="e">
        <f>IF(A327="","",#REF!)</f>
        <v>#REF!</v>
      </c>
      <c r="C327" t="e">
        <f>IF(A327="","",#REF!)</f>
        <v>#REF!</v>
      </c>
      <c r="D327" t="e">
        <f>IF(A327="","",#REF!)</f>
        <v>#REF!</v>
      </c>
      <c r="E327" t="e">
        <f t="shared" si="15"/>
        <v>#REF!</v>
      </c>
      <c r="F327" t="e">
        <f t="shared" si="16"/>
        <v>#REF!</v>
      </c>
      <c r="G327" t="e">
        <f t="shared" si="17"/>
        <v>#REF!</v>
      </c>
    </row>
    <row r="328" spans="1:7" x14ac:dyDescent="0.3">
      <c r="A328" t="e">
        <f>IF(#REF!="","",#REF!)</f>
        <v>#REF!</v>
      </c>
      <c r="B328" t="e">
        <f>IF(A328="","",#REF!)</f>
        <v>#REF!</v>
      </c>
      <c r="C328" t="e">
        <f>IF(A328="","",#REF!)</f>
        <v>#REF!</v>
      </c>
      <c r="D328" t="e">
        <f>IF(A328="","",#REF!)</f>
        <v>#REF!</v>
      </c>
      <c r="E328" t="e">
        <f t="shared" si="15"/>
        <v>#REF!</v>
      </c>
      <c r="F328" t="e">
        <f t="shared" si="16"/>
        <v>#REF!</v>
      </c>
      <c r="G328" t="e">
        <f t="shared" si="17"/>
        <v>#REF!</v>
      </c>
    </row>
    <row r="329" spans="1:7" x14ac:dyDescent="0.3">
      <c r="A329" t="e">
        <f>IF(#REF!="","",#REF!)</f>
        <v>#REF!</v>
      </c>
      <c r="B329" t="e">
        <f>IF(A329="","",#REF!)</f>
        <v>#REF!</v>
      </c>
      <c r="C329" t="e">
        <f>IF(A329="","",#REF!)</f>
        <v>#REF!</v>
      </c>
      <c r="D329" t="e">
        <f>IF(A329="","",#REF!)</f>
        <v>#REF!</v>
      </c>
      <c r="E329" t="e">
        <f t="shared" si="15"/>
        <v>#REF!</v>
      </c>
      <c r="F329" t="e">
        <f t="shared" si="16"/>
        <v>#REF!</v>
      </c>
      <c r="G329" t="e">
        <f t="shared" si="17"/>
        <v>#REF!</v>
      </c>
    </row>
    <row r="330" spans="1:7" x14ac:dyDescent="0.3">
      <c r="A330" t="e">
        <f>IF(#REF!="","",#REF!)</f>
        <v>#REF!</v>
      </c>
      <c r="B330" t="e">
        <f>IF(A330="","",#REF!)</f>
        <v>#REF!</v>
      </c>
      <c r="C330" t="e">
        <f>IF(A330="","",#REF!)</f>
        <v>#REF!</v>
      </c>
      <c r="D330" t="e">
        <f>IF(A330="","",#REF!)</f>
        <v>#REF!</v>
      </c>
      <c r="E330" t="e">
        <f t="shared" si="15"/>
        <v>#REF!</v>
      </c>
      <c r="F330" t="e">
        <f t="shared" si="16"/>
        <v>#REF!</v>
      </c>
      <c r="G330" t="e">
        <f t="shared" si="17"/>
        <v>#REF!</v>
      </c>
    </row>
    <row r="331" spans="1:7" x14ac:dyDescent="0.3">
      <c r="A331" t="e">
        <f>IF(#REF!="","",#REF!)</f>
        <v>#REF!</v>
      </c>
      <c r="B331" t="e">
        <f>IF(A331="","",#REF!)</f>
        <v>#REF!</v>
      </c>
      <c r="C331" t="e">
        <f>IF(A331="","",#REF!)</f>
        <v>#REF!</v>
      </c>
      <c r="D331" t="e">
        <f>IF(A331="","",#REF!)</f>
        <v>#REF!</v>
      </c>
      <c r="E331" t="e">
        <f t="shared" si="15"/>
        <v>#REF!</v>
      </c>
      <c r="F331" t="e">
        <f t="shared" si="16"/>
        <v>#REF!</v>
      </c>
      <c r="G331" t="e">
        <f t="shared" si="17"/>
        <v>#REF!</v>
      </c>
    </row>
    <row r="332" spans="1:7" x14ac:dyDescent="0.3">
      <c r="A332" t="e">
        <f>IF(#REF!="","",#REF!)</f>
        <v>#REF!</v>
      </c>
      <c r="B332" t="e">
        <f>IF(A332="","",#REF!)</f>
        <v>#REF!</v>
      </c>
      <c r="C332" t="e">
        <f>IF(A332="","",#REF!)</f>
        <v>#REF!</v>
      </c>
      <c r="D332" t="e">
        <f>IF(A332="","",#REF!)</f>
        <v>#REF!</v>
      </c>
      <c r="E332" t="e">
        <f t="shared" si="15"/>
        <v>#REF!</v>
      </c>
      <c r="F332" t="e">
        <f t="shared" si="16"/>
        <v>#REF!</v>
      </c>
      <c r="G332" t="e">
        <f t="shared" si="17"/>
        <v>#REF!</v>
      </c>
    </row>
    <row r="333" spans="1:7" x14ac:dyDescent="0.3">
      <c r="A333" t="e">
        <f>IF(#REF!="","",#REF!)</f>
        <v>#REF!</v>
      </c>
      <c r="B333" t="e">
        <f>IF(A333="","",#REF!)</f>
        <v>#REF!</v>
      </c>
      <c r="C333" t="e">
        <f>IF(A333="","",#REF!)</f>
        <v>#REF!</v>
      </c>
      <c r="D333" t="e">
        <f>IF(A333="","",#REF!)</f>
        <v>#REF!</v>
      </c>
      <c r="E333" t="e">
        <f t="shared" si="15"/>
        <v>#REF!</v>
      </c>
      <c r="F333" t="e">
        <f t="shared" si="16"/>
        <v>#REF!</v>
      </c>
      <c r="G333" t="e">
        <f t="shared" si="17"/>
        <v>#REF!</v>
      </c>
    </row>
    <row r="334" spans="1:7" x14ac:dyDescent="0.3">
      <c r="A334" t="e">
        <f>IF(#REF!="","",#REF!)</f>
        <v>#REF!</v>
      </c>
      <c r="B334" t="e">
        <f>IF(A334="","",#REF!)</f>
        <v>#REF!</v>
      </c>
      <c r="C334" t="e">
        <f>IF(A334="","",#REF!)</f>
        <v>#REF!</v>
      </c>
      <c r="D334" t="e">
        <f>IF(A334="","",#REF!)</f>
        <v>#REF!</v>
      </c>
      <c r="E334" t="e">
        <f t="shared" si="15"/>
        <v>#REF!</v>
      </c>
      <c r="F334" t="e">
        <f t="shared" si="16"/>
        <v>#REF!</v>
      </c>
      <c r="G334" t="e">
        <f t="shared" si="17"/>
        <v>#REF!</v>
      </c>
    </row>
    <row r="335" spans="1:7" x14ac:dyDescent="0.3">
      <c r="A335" t="e">
        <f>IF(#REF!="","",#REF!)</f>
        <v>#REF!</v>
      </c>
      <c r="B335" t="e">
        <f>IF(A335="","",#REF!)</f>
        <v>#REF!</v>
      </c>
      <c r="C335" t="e">
        <f>IF(A335="","",#REF!)</f>
        <v>#REF!</v>
      </c>
      <c r="D335" t="e">
        <f>IF(A335="","",#REF!)</f>
        <v>#REF!</v>
      </c>
      <c r="E335" t="e">
        <f t="shared" si="15"/>
        <v>#REF!</v>
      </c>
      <c r="F335" t="e">
        <f t="shared" si="16"/>
        <v>#REF!</v>
      </c>
      <c r="G335" t="e">
        <f t="shared" si="17"/>
        <v>#REF!</v>
      </c>
    </row>
    <row r="336" spans="1:7" x14ac:dyDescent="0.3">
      <c r="A336" t="e">
        <f>IF(#REF!="","",#REF!)</f>
        <v>#REF!</v>
      </c>
      <c r="B336" t="e">
        <f>IF(A336="","",#REF!)</f>
        <v>#REF!</v>
      </c>
      <c r="C336" t="e">
        <f>IF(A336="","",#REF!)</f>
        <v>#REF!</v>
      </c>
      <c r="D336" t="e">
        <f>IF(A336="","",#REF!)</f>
        <v>#REF!</v>
      </c>
      <c r="E336" t="e">
        <f t="shared" si="15"/>
        <v>#REF!</v>
      </c>
      <c r="F336" t="e">
        <f t="shared" si="16"/>
        <v>#REF!</v>
      </c>
      <c r="G336" t="e">
        <f t="shared" si="17"/>
        <v>#REF!</v>
      </c>
    </row>
    <row r="337" spans="1:7" x14ac:dyDescent="0.3">
      <c r="A337" t="e">
        <f>IF(#REF!="","",#REF!)</f>
        <v>#REF!</v>
      </c>
      <c r="B337" t="e">
        <f>IF(A337="","",#REF!)</f>
        <v>#REF!</v>
      </c>
      <c r="C337" t="e">
        <f>IF(A337="","",#REF!)</f>
        <v>#REF!</v>
      </c>
      <c r="D337" t="e">
        <f>IF(A337="","",#REF!)</f>
        <v>#REF!</v>
      </c>
      <c r="E337" t="e">
        <f t="shared" si="15"/>
        <v>#REF!</v>
      </c>
      <c r="F337" t="e">
        <f t="shared" si="16"/>
        <v>#REF!</v>
      </c>
      <c r="G337" t="e">
        <f t="shared" si="17"/>
        <v>#REF!</v>
      </c>
    </row>
    <row r="338" spans="1:7" x14ac:dyDescent="0.3">
      <c r="A338" t="e">
        <f>IF(#REF!="","",#REF!)</f>
        <v>#REF!</v>
      </c>
      <c r="B338" t="e">
        <f>IF(A338="","",#REF!)</f>
        <v>#REF!</v>
      </c>
      <c r="C338" t="e">
        <f>IF(A338="","",#REF!)</f>
        <v>#REF!</v>
      </c>
      <c r="D338" t="e">
        <f>IF(A338="","",#REF!)</f>
        <v>#REF!</v>
      </c>
      <c r="E338" t="e">
        <f t="shared" si="15"/>
        <v>#REF!</v>
      </c>
      <c r="F338" t="e">
        <f t="shared" si="16"/>
        <v>#REF!</v>
      </c>
      <c r="G338" t="e">
        <f t="shared" si="17"/>
        <v>#REF!</v>
      </c>
    </row>
    <row r="339" spans="1:7" x14ac:dyDescent="0.3">
      <c r="A339" t="e">
        <f>IF(#REF!="","",#REF!)</f>
        <v>#REF!</v>
      </c>
      <c r="B339" t="e">
        <f>IF(A339="","",#REF!)</f>
        <v>#REF!</v>
      </c>
      <c r="C339" t="e">
        <f>IF(A339="","",#REF!)</f>
        <v>#REF!</v>
      </c>
      <c r="D339" t="e">
        <f>IF(A339="","",#REF!)</f>
        <v>#REF!</v>
      </c>
      <c r="E339" t="e">
        <f t="shared" si="15"/>
        <v>#REF!</v>
      </c>
      <c r="F339" t="e">
        <f t="shared" si="16"/>
        <v>#REF!</v>
      </c>
      <c r="G339" t="e">
        <f t="shared" si="17"/>
        <v>#REF!</v>
      </c>
    </row>
    <row r="340" spans="1:7" x14ac:dyDescent="0.3">
      <c r="A340" t="e">
        <f>IF(#REF!="","",#REF!)</f>
        <v>#REF!</v>
      </c>
      <c r="B340" t="e">
        <f>IF(A340="","",#REF!)</f>
        <v>#REF!</v>
      </c>
      <c r="C340" t="e">
        <f>IF(A340="","",#REF!)</f>
        <v>#REF!</v>
      </c>
      <c r="D340" t="e">
        <f>IF(A340="","",#REF!)</f>
        <v>#REF!</v>
      </c>
      <c r="E340" t="e">
        <f t="shared" si="15"/>
        <v>#REF!</v>
      </c>
      <c r="F340" t="e">
        <f t="shared" si="16"/>
        <v>#REF!</v>
      </c>
      <c r="G340" t="e">
        <f t="shared" si="17"/>
        <v>#REF!</v>
      </c>
    </row>
    <row r="341" spans="1:7" x14ac:dyDescent="0.3">
      <c r="A341" t="e">
        <f>IF(#REF!="","",#REF!)</f>
        <v>#REF!</v>
      </c>
      <c r="B341" t="e">
        <f>IF(A341="","",#REF!)</f>
        <v>#REF!</v>
      </c>
      <c r="C341" t="e">
        <f>IF(A341="","",#REF!)</f>
        <v>#REF!</v>
      </c>
      <c r="D341" t="e">
        <f>IF(A341="","",#REF!)</f>
        <v>#REF!</v>
      </c>
      <c r="E341" t="e">
        <f t="shared" si="15"/>
        <v>#REF!</v>
      </c>
      <c r="F341" t="e">
        <f t="shared" si="16"/>
        <v>#REF!</v>
      </c>
      <c r="G341" t="e">
        <f t="shared" si="17"/>
        <v>#REF!</v>
      </c>
    </row>
    <row r="342" spans="1:7" x14ac:dyDescent="0.3">
      <c r="A342" t="e">
        <f>IF(#REF!="","",#REF!)</f>
        <v>#REF!</v>
      </c>
      <c r="B342" t="e">
        <f>IF(A342="","",#REF!)</f>
        <v>#REF!</v>
      </c>
      <c r="C342" t="e">
        <f>IF(A342="","",#REF!)</f>
        <v>#REF!</v>
      </c>
      <c r="D342" t="e">
        <f>IF(A342="","",#REF!)</f>
        <v>#REF!</v>
      </c>
      <c r="E342" t="e">
        <f t="shared" si="15"/>
        <v>#REF!</v>
      </c>
      <c r="F342" t="e">
        <f t="shared" si="16"/>
        <v>#REF!</v>
      </c>
      <c r="G342" t="e">
        <f t="shared" si="17"/>
        <v>#REF!</v>
      </c>
    </row>
    <row r="343" spans="1:7" x14ac:dyDescent="0.3">
      <c r="A343" t="e">
        <f>IF(#REF!="","",#REF!)</f>
        <v>#REF!</v>
      </c>
      <c r="B343" t="e">
        <f>IF(A343="","",#REF!)</f>
        <v>#REF!</v>
      </c>
      <c r="C343" t="e">
        <f>IF(A343="","",#REF!)</f>
        <v>#REF!</v>
      </c>
      <c r="D343" t="e">
        <f>IF(A343="","",#REF!)</f>
        <v>#REF!</v>
      </c>
      <c r="E343" t="e">
        <f t="shared" si="15"/>
        <v>#REF!</v>
      </c>
      <c r="F343" t="e">
        <f t="shared" si="16"/>
        <v>#REF!</v>
      </c>
      <c r="G343" t="e">
        <f t="shared" si="17"/>
        <v>#REF!</v>
      </c>
    </row>
    <row r="344" spans="1:7" x14ac:dyDescent="0.3">
      <c r="A344" t="e">
        <f>IF(#REF!="","",#REF!)</f>
        <v>#REF!</v>
      </c>
      <c r="B344" t="e">
        <f>IF(A344="","",#REF!)</f>
        <v>#REF!</v>
      </c>
      <c r="C344" t="e">
        <f>IF(A344="","",#REF!)</f>
        <v>#REF!</v>
      </c>
      <c r="D344" t="e">
        <f>IF(A344="","",#REF!)</f>
        <v>#REF!</v>
      </c>
      <c r="E344" t="e">
        <f t="shared" si="15"/>
        <v>#REF!</v>
      </c>
      <c r="F344" t="e">
        <f t="shared" si="16"/>
        <v>#REF!</v>
      </c>
      <c r="G344" t="e">
        <f t="shared" si="17"/>
        <v>#REF!</v>
      </c>
    </row>
    <row r="345" spans="1:7" x14ac:dyDescent="0.3">
      <c r="A345" t="e">
        <f>IF(#REF!="","",#REF!)</f>
        <v>#REF!</v>
      </c>
      <c r="B345" t="e">
        <f>IF(A345="","",#REF!)</f>
        <v>#REF!</v>
      </c>
      <c r="C345" t="e">
        <f>IF(A345="","",#REF!)</f>
        <v>#REF!</v>
      </c>
      <c r="D345" t="e">
        <f>IF(A345="","",#REF!)</f>
        <v>#REF!</v>
      </c>
      <c r="E345" t="e">
        <f t="shared" si="15"/>
        <v>#REF!</v>
      </c>
      <c r="F345" t="e">
        <f t="shared" si="16"/>
        <v>#REF!</v>
      </c>
      <c r="G345" t="e">
        <f t="shared" si="17"/>
        <v>#REF!</v>
      </c>
    </row>
    <row r="346" spans="1:7" x14ac:dyDescent="0.3">
      <c r="A346" t="e">
        <f>IF(#REF!="","",#REF!)</f>
        <v>#REF!</v>
      </c>
      <c r="B346" t="e">
        <f>IF(A346="","",#REF!)</f>
        <v>#REF!</v>
      </c>
      <c r="C346" t="e">
        <f>IF(A346="","",#REF!)</f>
        <v>#REF!</v>
      </c>
      <c r="D346" t="e">
        <f>IF(A346="","",#REF!)</f>
        <v>#REF!</v>
      </c>
      <c r="E346" t="e">
        <f t="shared" si="15"/>
        <v>#REF!</v>
      </c>
      <c r="F346" t="e">
        <f t="shared" si="16"/>
        <v>#REF!</v>
      </c>
      <c r="G346" t="e">
        <f t="shared" si="17"/>
        <v>#REF!</v>
      </c>
    </row>
    <row r="347" spans="1:7" x14ac:dyDescent="0.3">
      <c r="A347" t="e">
        <f>IF(#REF!="","",#REF!)</f>
        <v>#REF!</v>
      </c>
      <c r="B347" t="e">
        <f>IF(A347="","",#REF!)</f>
        <v>#REF!</v>
      </c>
      <c r="C347" t="e">
        <f>IF(A347="","",#REF!)</f>
        <v>#REF!</v>
      </c>
      <c r="D347" t="e">
        <f>IF(A347="","",#REF!)</f>
        <v>#REF!</v>
      </c>
      <c r="E347" t="e">
        <f t="shared" si="15"/>
        <v>#REF!</v>
      </c>
      <c r="F347" t="e">
        <f t="shared" si="16"/>
        <v>#REF!</v>
      </c>
      <c r="G347" t="e">
        <f t="shared" si="17"/>
        <v>#REF!</v>
      </c>
    </row>
    <row r="348" spans="1:7" x14ac:dyDescent="0.3">
      <c r="A348" t="e">
        <f>IF(#REF!="","",#REF!)</f>
        <v>#REF!</v>
      </c>
      <c r="B348" t="e">
        <f>IF(A348="","",#REF!)</f>
        <v>#REF!</v>
      </c>
      <c r="C348" t="e">
        <f>IF(A348="","",#REF!)</f>
        <v>#REF!</v>
      </c>
      <c r="D348" t="e">
        <f>IF(A348="","",#REF!)</f>
        <v>#REF!</v>
      </c>
      <c r="E348" t="e">
        <f t="shared" si="15"/>
        <v>#REF!</v>
      </c>
      <c r="F348" t="e">
        <f t="shared" si="16"/>
        <v>#REF!</v>
      </c>
      <c r="G348" t="e">
        <f t="shared" si="17"/>
        <v>#REF!</v>
      </c>
    </row>
    <row r="349" spans="1:7" x14ac:dyDescent="0.3">
      <c r="A349" t="e">
        <f>IF(#REF!="","",#REF!)</f>
        <v>#REF!</v>
      </c>
      <c r="B349" t="e">
        <f>IF(A349="","",#REF!)</f>
        <v>#REF!</v>
      </c>
      <c r="C349" t="e">
        <f>IF(A349="","",#REF!)</f>
        <v>#REF!</v>
      </c>
      <c r="D349" t="e">
        <f>IF(A349="","",#REF!)</f>
        <v>#REF!</v>
      </c>
      <c r="E349" t="e">
        <f t="shared" si="15"/>
        <v>#REF!</v>
      </c>
      <c r="F349" t="e">
        <f t="shared" si="16"/>
        <v>#REF!</v>
      </c>
      <c r="G349" t="e">
        <f t="shared" si="17"/>
        <v>#REF!</v>
      </c>
    </row>
    <row r="350" spans="1:7" x14ac:dyDescent="0.3">
      <c r="A350" t="e">
        <f>IF(#REF!="","",#REF!)</f>
        <v>#REF!</v>
      </c>
      <c r="B350" t="e">
        <f>IF(A350="","",#REF!)</f>
        <v>#REF!</v>
      </c>
      <c r="C350" t="e">
        <f>IF(A350="","",#REF!)</f>
        <v>#REF!</v>
      </c>
      <c r="D350" t="e">
        <f>IF(A350="","",#REF!)</f>
        <v>#REF!</v>
      </c>
      <c r="E350" t="e">
        <f t="shared" si="15"/>
        <v>#REF!</v>
      </c>
      <c r="F350" t="e">
        <f t="shared" si="16"/>
        <v>#REF!</v>
      </c>
      <c r="G350" t="e">
        <f t="shared" si="17"/>
        <v>#REF!</v>
      </c>
    </row>
    <row r="351" spans="1:7" x14ac:dyDescent="0.3">
      <c r="A351" t="e">
        <f>IF(#REF!="","",#REF!)</f>
        <v>#REF!</v>
      </c>
      <c r="B351" t="e">
        <f>IF(A351="","",#REF!)</f>
        <v>#REF!</v>
      </c>
      <c r="C351" t="e">
        <f>IF(A351="","",#REF!)</f>
        <v>#REF!</v>
      </c>
      <c r="D351" t="e">
        <f>IF(A351="","",#REF!)</f>
        <v>#REF!</v>
      </c>
      <c r="E351" t="e">
        <f t="shared" si="15"/>
        <v>#REF!</v>
      </c>
      <c r="F351" t="e">
        <f t="shared" si="16"/>
        <v>#REF!</v>
      </c>
      <c r="G351" t="e">
        <f t="shared" si="17"/>
        <v>#REF!</v>
      </c>
    </row>
    <row r="352" spans="1:7" x14ac:dyDescent="0.3">
      <c r="A352" t="e">
        <f>IF(#REF!="","",#REF!)</f>
        <v>#REF!</v>
      </c>
      <c r="B352" t="e">
        <f>IF(A352="","",#REF!)</f>
        <v>#REF!</v>
      </c>
      <c r="C352" t="e">
        <f>IF(A352="","",#REF!)</f>
        <v>#REF!</v>
      </c>
      <c r="D352" t="e">
        <f>IF(A352="","",#REF!)</f>
        <v>#REF!</v>
      </c>
      <c r="E352" t="e">
        <f t="shared" si="15"/>
        <v>#REF!</v>
      </c>
      <c r="F352" t="e">
        <f t="shared" si="16"/>
        <v>#REF!</v>
      </c>
      <c r="G352" t="e">
        <f t="shared" si="17"/>
        <v>#REF!</v>
      </c>
    </row>
    <row r="353" spans="1:7" x14ac:dyDescent="0.3">
      <c r="A353" t="e">
        <f>IF(#REF!="","",#REF!)</f>
        <v>#REF!</v>
      </c>
      <c r="B353" t="e">
        <f>IF(A353="","",#REF!)</f>
        <v>#REF!</v>
      </c>
      <c r="C353" t="e">
        <f>IF(A353="","",#REF!)</f>
        <v>#REF!</v>
      </c>
      <c r="D353" t="e">
        <f>IF(A353="","",#REF!)</f>
        <v>#REF!</v>
      </c>
      <c r="E353" t="e">
        <f t="shared" si="15"/>
        <v>#REF!</v>
      </c>
      <c r="F353" t="e">
        <f t="shared" si="16"/>
        <v>#REF!</v>
      </c>
      <c r="G353" t="e">
        <f t="shared" si="17"/>
        <v>#REF!</v>
      </c>
    </row>
    <row r="354" spans="1:7" x14ac:dyDescent="0.3">
      <c r="A354" t="e">
        <f>IF(#REF!="","",#REF!)</f>
        <v>#REF!</v>
      </c>
      <c r="B354" t="e">
        <f>IF(A354="","",#REF!)</f>
        <v>#REF!</v>
      </c>
      <c r="C354" t="e">
        <f>IF(A354="","",#REF!)</f>
        <v>#REF!</v>
      </c>
      <c r="D354" t="e">
        <f>IF(A354="","",#REF!)</f>
        <v>#REF!</v>
      </c>
      <c r="E354" t="e">
        <f t="shared" si="15"/>
        <v>#REF!</v>
      </c>
      <c r="F354" t="e">
        <f t="shared" si="16"/>
        <v>#REF!</v>
      </c>
      <c r="G354" t="e">
        <f t="shared" si="17"/>
        <v>#REF!</v>
      </c>
    </row>
    <row r="355" spans="1:7" x14ac:dyDescent="0.3">
      <c r="A355" t="e">
        <f>IF(#REF!="","",#REF!)</f>
        <v>#REF!</v>
      </c>
      <c r="B355" t="e">
        <f>IF(A355="","",#REF!)</f>
        <v>#REF!</v>
      </c>
      <c r="C355" t="e">
        <f>IF(A355="","",#REF!)</f>
        <v>#REF!</v>
      </c>
      <c r="D355" t="e">
        <f>IF(A355="","",#REF!)</f>
        <v>#REF!</v>
      </c>
      <c r="E355" t="e">
        <f t="shared" si="15"/>
        <v>#REF!</v>
      </c>
      <c r="F355" t="e">
        <f t="shared" si="16"/>
        <v>#REF!</v>
      </c>
      <c r="G355" t="e">
        <f t="shared" si="17"/>
        <v>#REF!</v>
      </c>
    </row>
    <row r="356" spans="1:7" x14ac:dyDescent="0.3">
      <c r="A356" t="e">
        <f>IF(#REF!="","",#REF!)</f>
        <v>#REF!</v>
      </c>
      <c r="B356" t="e">
        <f>IF(A356="","",#REF!)</f>
        <v>#REF!</v>
      </c>
      <c r="C356" t="e">
        <f>IF(A356="","",#REF!)</f>
        <v>#REF!</v>
      </c>
      <c r="D356" t="e">
        <f>IF(A356="","",#REF!)</f>
        <v>#REF!</v>
      </c>
      <c r="E356" t="e">
        <f t="shared" si="15"/>
        <v>#REF!</v>
      </c>
      <c r="F356" t="e">
        <f t="shared" si="16"/>
        <v>#REF!</v>
      </c>
      <c r="G356" t="e">
        <f t="shared" si="17"/>
        <v>#REF!</v>
      </c>
    </row>
    <row r="357" spans="1:7" x14ac:dyDescent="0.3">
      <c r="A357" t="e">
        <f>IF(#REF!="","",#REF!)</f>
        <v>#REF!</v>
      </c>
      <c r="B357" t="e">
        <f>IF(A357="","",#REF!)</f>
        <v>#REF!</v>
      </c>
      <c r="C357" t="e">
        <f>IF(A357="","",#REF!)</f>
        <v>#REF!</v>
      </c>
      <c r="D357" t="e">
        <f>IF(A357="","",#REF!)</f>
        <v>#REF!</v>
      </c>
      <c r="E357" t="e">
        <f t="shared" si="15"/>
        <v>#REF!</v>
      </c>
      <c r="F357" t="e">
        <f t="shared" si="16"/>
        <v>#REF!</v>
      </c>
      <c r="G357" t="e">
        <f t="shared" si="17"/>
        <v>#REF!</v>
      </c>
    </row>
    <row r="358" spans="1:7" x14ac:dyDescent="0.3">
      <c r="A358" t="e">
        <f>IF(#REF!="","",#REF!)</f>
        <v>#REF!</v>
      </c>
      <c r="B358" t="e">
        <f>IF(A358="","",#REF!)</f>
        <v>#REF!</v>
      </c>
      <c r="C358" t="e">
        <f>IF(A358="","",#REF!)</f>
        <v>#REF!</v>
      </c>
      <c r="D358" t="e">
        <f>IF(A358="","",#REF!)</f>
        <v>#REF!</v>
      </c>
      <c r="E358" t="e">
        <f t="shared" si="15"/>
        <v>#REF!</v>
      </c>
      <c r="F358" t="e">
        <f t="shared" si="16"/>
        <v>#REF!</v>
      </c>
      <c r="G358" t="e">
        <f t="shared" si="17"/>
        <v>#REF!</v>
      </c>
    </row>
    <row r="359" spans="1:7" x14ac:dyDescent="0.3">
      <c r="A359" t="e">
        <f>IF(#REF!="","",#REF!)</f>
        <v>#REF!</v>
      </c>
      <c r="B359" t="e">
        <f>IF(A359="","",#REF!)</f>
        <v>#REF!</v>
      </c>
      <c r="C359" t="e">
        <f>IF(A359="","",#REF!)</f>
        <v>#REF!</v>
      </c>
      <c r="D359" t="e">
        <f>IF(A359="","",#REF!)</f>
        <v>#REF!</v>
      </c>
      <c r="E359" t="e">
        <f t="shared" si="15"/>
        <v>#REF!</v>
      </c>
      <c r="F359" t="e">
        <f t="shared" si="16"/>
        <v>#REF!</v>
      </c>
      <c r="G359" t="e">
        <f t="shared" si="17"/>
        <v>#REF!</v>
      </c>
    </row>
    <row r="360" spans="1:7" x14ac:dyDescent="0.3">
      <c r="A360" t="e">
        <f>IF(#REF!="","",#REF!)</f>
        <v>#REF!</v>
      </c>
      <c r="B360" t="e">
        <f>IF(A360="","",#REF!)</f>
        <v>#REF!</v>
      </c>
      <c r="C360" t="e">
        <f>IF(A360="","",#REF!)</f>
        <v>#REF!</v>
      </c>
      <c r="D360" t="e">
        <f>IF(A360="","",#REF!)</f>
        <v>#REF!</v>
      </c>
      <c r="E360" t="e">
        <f t="shared" si="15"/>
        <v>#REF!</v>
      </c>
      <c r="F360" t="e">
        <f t="shared" si="16"/>
        <v>#REF!</v>
      </c>
      <c r="G360" t="e">
        <f t="shared" si="17"/>
        <v>#REF!</v>
      </c>
    </row>
    <row r="361" spans="1:7" x14ac:dyDescent="0.3">
      <c r="A361" t="e">
        <f>IF(#REF!="","",#REF!)</f>
        <v>#REF!</v>
      </c>
      <c r="B361" t="e">
        <f>IF(A361="","",#REF!)</f>
        <v>#REF!</v>
      </c>
      <c r="C361" t="e">
        <f>IF(A361="","",#REF!)</f>
        <v>#REF!</v>
      </c>
      <c r="D361" t="e">
        <f>IF(A361="","",#REF!)</f>
        <v>#REF!</v>
      </c>
      <c r="E361" t="e">
        <f t="shared" si="15"/>
        <v>#REF!</v>
      </c>
      <c r="F361" t="e">
        <f t="shared" si="16"/>
        <v>#REF!</v>
      </c>
      <c r="G361" t="e">
        <f t="shared" si="17"/>
        <v>#REF!</v>
      </c>
    </row>
    <row r="362" spans="1:7" x14ac:dyDescent="0.3">
      <c r="A362" t="e">
        <f>IF(#REF!="","",#REF!)</f>
        <v>#REF!</v>
      </c>
      <c r="B362" t="e">
        <f>IF(A362="","",#REF!)</f>
        <v>#REF!</v>
      </c>
      <c r="C362" t="e">
        <f>IF(A362="","",#REF!)</f>
        <v>#REF!</v>
      </c>
      <c r="D362" t="e">
        <f>IF(A362="","",#REF!)</f>
        <v>#REF!</v>
      </c>
      <c r="E362" t="e">
        <f t="shared" si="15"/>
        <v>#REF!</v>
      </c>
      <c r="F362" t="e">
        <f t="shared" si="16"/>
        <v>#REF!</v>
      </c>
      <c r="G362" t="e">
        <f t="shared" si="17"/>
        <v>#REF!</v>
      </c>
    </row>
    <row r="363" spans="1:7" x14ac:dyDescent="0.3">
      <c r="A363" t="e">
        <f>IF(#REF!="","",#REF!)</f>
        <v>#REF!</v>
      </c>
      <c r="B363" t="e">
        <f>IF(A363="","",#REF!)</f>
        <v>#REF!</v>
      </c>
      <c r="C363" t="e">
        <f>IF(A363="","",#REF!)</f>
        <v>#REF!</v>
      </c>
      <c r="D363" t="e">
        <f>IF(A363="","",#REF!)</f>
        <v>#REF!</v>
      </c>
      <c r="E363" t="e">
        <f t="shared" si="15"/>
        <v>#REF!</v>
      </c>
      <c r="F363" t="e">
        <f t="shared" si="16"/>
        <v>#REF!</v>
      </c>
      <c r="G363" t="e">
        <f t="shared" si="17"/>
        <v>#REF!</v>
      </c>
    </row>
    <row r="364" spans="1:7" x14ac:dyDescent="0.3">
      <c r="A364" t="e">
        <f>IF(#REF!="","",#REF!)</f>
        <v>#REF!</v>
      </c>
      <c r="B364" t="e">
        <f>IF(A364="","",#REF!)</f>
        <v>#REF!</v>
      </c>
      <c r="C364" t="e">
        <f>IF(A364="","",#REF!)</f>
        <v>#REF!</v>
      </c>
      <c r="D364" t="e">
        <f>IF(A364="","",#REF!)</f>
        <v>#REF!</v>
      </c>
      <c r="E364" t="e">
        <f t="shared" si="15"/>
        <v>#REF!</v>
      </c>
      <c r="F364" t="e">
        <f t="shared" si="16"/>
        <v>#REF!</v>
      </c>
      <c r="G364" t="e">
        <f t="shared" si="17"/>
        <v>#REF!</v>
      </c>
    </row>
    <row r="365" spans="1:7" x14ac:dyDescent="0.3">
      <c r="A365" t="e">
        <f>IF(#REF!="","",#REF!)</f>
        <v>#REF!</v>
      </c>
      <c r="B365" t="e">
        <f>IF(A365="","",#REF!)</f>
        <v>#REF!</v>
      </c>
      <c r="C365" t="e">
        <f>IF(A365="","",#REF!)</f>
        <v>#REF!</v>
      </c>
      <c r="D365" t="e">
        <f>IF(A365="","",#REF!)</f>
        <v>#REF!</v>
      </c>
      <c r="E365" t="e">
        <f t="shared" si="15"/>
        <v>#REF!</v>
      </c>
      <c r="F365" t="e">
        <f t="shared" si="16"/>
        <v>#REF!</v>
      </c>
      <c r="G365" t="e">
        <f t="shared" si="17"/>
        <v>#REF!</v>
      </c>
    </row>
    <row r="366" spans="1:7" x14ac:dyDescent="0.3">
      <c r="A366" t="e">
        <f>IF(#REF!="","",#REF!)</f>
        <v>#REF!</v>
      </c>
      <c r="B366" t="e">
        <f>IF(A366="","",#REF!)</f>
        <v>#REF!</v>
      </c>
      <c r="C366" t="e">
        <f>IF(A366="","",#REF!)</f>
        <v>#REF!</v>
      </c>
      <c r="D366" t="e">
        <f>IF(A366="","",#REF!)</f>
        <v>#REF!</v>
      </c>
      <c r="E366" t="e">
        <f t="shared" si="15"/>
        <v>#REF!</v>
      </c>
      <c r="F366" t="e">
        <f t="shared" si="16"/>
        <v>#REF!</v>
      </c>
      <c r="G366" t="e">
        <f t="shared" si="17"/>
        <v>#REF!</v>
      </c>
    </row>
    <row r="367" spans="1:7" x14ac:dyDescent="0.3">
      <c r="A367" t="e">
        <f>IF(#REF!="","",#REF!)</f>
        <v>#REF!</v>
      </c>
      <c r="B367" t="e">
        <f>IF(A367="","",#REF!)</f>
        <v>#REF!</v>
      </c>
      <c r="C367" t="e">
        <f>IF(A367="","",#REF!)</f>
        <v>#REF!</v>
      </c>
      <c r="D367" t="e">
        <f>IF(A367="","",#REF!)</f>
        <v>#REF!</v>
      </c>
      <c r="E367" t="e">
        <f t="shared" si="15"/>
        <v>#REF!</v>
      </c>
      <c r="F367" t="e">
        <f t="shared" si="16"/>
        <v>#REF!</v>
      </c>
      <c r="G367" t="e">
        <f t="shared" si="17"/>
        <v>#REF!</v>
      </c>
    </row>
    <row r="368" spans="1:7" x14ac:dyDescent="0.3">
      <c r="A368" t="e">
        <f>IF(#REF!="","",#REF!)</f>
        <v>#REF!</v>
      </c>
      <c r="B368" t="e">
        <f>IF(A368="","",#REF!)</f>
        <v>#REF!</v>
      </c>
      <c r="C368" t="e">
        <f>IF(A368="","",#REF!)</f>
        <v>#REF!</v>
      </c>
      <c r="D368" t="e">
        <f>IF(A368="","",#REF!)</f>
        <v>#REF!</v>
      </c>
      <c r="E368" t="e">
        <f t="shared" si="15"/>
        <v>#REF!</v>
      </c>
      <c r="F368" t="e">
        <f t="shared" si="16"/>
        <v>#REF!</v>
      </c>
      <c r="G368" t="e">
        <f t="shared" si="17"/>
        <v>#REF!</v>
      </c>
    </row>
    <row r="369" spans="1:7" x14ac:dyDescent="0.3">
      <c r="A369" t="e">
        <f>IF(#REF!="","",#REF!)</f>
        <v>#REF!</v>
      </c>
      <c r="B369" t="e">
        <f>IF(A369="","",#REF!)</f>
        <v>#REF!</v>
      </c>
      <c r="C369" t="e">
        <f>IF(A369="","",#REF!)</f>
        <v>#REF!</v>
      </c>
      <c r="D369" t="e">
        <f>IF(A369="","",#REF!)</f>
        <v>#REF!</v>
      </c>
      <c r="E369" t="e">
        <f t="shared" si="15"/>
        <v>#REF!</v>
      </c>
      <c r="F369" t="e">
        <f t="shared" si="16"/>
        <v>#REF!</v>
      </c>
      <c r="G369" t="e">
        <f t="shared" si="17"/>
        <v>#REF!</v>
      </c>
    </row>
    <row r="370" spans="1:7" x14ac:dyDescent="0.3">
      <c r="A370" t="e">
        <f>IF(#REF!="","",#REF!)</f>
        <v>#REF!</v>
      </c>
      <c r="B370" t="e">
        <f>IF(A370="","",#REF!)</f>
        <v>#REF!</v>
      </c>
      <c r="C370" t="e">
        <f>IF(A370="","",#REF!)</f>
        <v>#REF!</v>
      </c>
      <c r="D370" t="e">
        <f>IF(A370="","",#REF!)</f>
        <v>#REF!</v>
      </c>
      <c r="E370" t="e">
        <f t="shared" si="15"/>
        <v>#REF!</v>
      </c>
      <c r="F370" t="e">
        <f t="shared" si="16"/>
        <v>#REF!</v>
      </c>
      <c r="G370" t="e">
        <f t="shared" si="17"/>
        <v>#REF!</v>
      </c>
    </row>
    <row r="371" spans="1:7" x14ac:dyDescent="0.3">
      <c r="A371" t="e">
        <f>IF(#REF!="","",#REF!)</f>
        <v>#REF!</v>
      </c>
      <c r="B371" t="e">
        <f>IF(A371="","",#REF!)</f>
        <v>#REF!</v>
      </c>
      <c r="C371" t="e">
        <f>IF(A371="","",#REF!)</f>
        <v>#REF!</v>
      </c>
      <c r="D371" t="e">
        <f>IF(A371="","",#REF!)</f>
        <v>#REF!</v>
      </c>
      <c r="E371" t="e">
        <f t="shared" si="15"/>
        <v>#REF!</v>
      </c>
      <c r="F371" t="e">
        <f t="shared" si="16"/>
        <v>#REF!</v>
      </c>
      <c r="G371" t="e">
        <f t="shared" si="17"/>
        <v>#REF!</v>
      </c>
    </row>
    <row r="372" spans="1:7" x14ac:dyDescent="0.3">
      <c r="A372" t="e">
        <f>IF(#REF!="","",#REF!)</f>
        <v>#REF!</v>
      </c>
      <c r="B372" t="e">
        <f>IF(A372="","",#REF!)</f>
        <v>#REF!</v>
      </c>
      <c r="C372" t="e">
        <f>IF(A372="","",#REF!)</f>
        <v>#REF!</v>
      </c>
      <c r="D372" t="e">
        <f>IF(A372="","",#REF!)</f>
        <v>#REF!</v>
      </c>
      <c r="E372" t="e">
        <f t="shared" si="15"/>
        <v>#REF!</v>
      </c>
      <c r="F372" t="e">
        <f t="shared" si="16"/>
        <v>#REF!</v>
      </c>
      <c r="G372" t="e">
        <f t="shared" si="17"/>
        <v>#REF!</v>
      </c>
    </row>
    <row r="373" spans="1:7" x14ac:dyDescent="0.3">
      <c r="A373" t="e">
        <f>IF(#REF!="","",#REF!)</f>
        <v>#REF!</v>
      </c>
      <c r="B373" t="e">
        <f>IF(A373="","",#REF!)</f>
        <v>#REF!</v>
      </c>
      <c r="C373" t="e">
        <f>IF(A373="","",#REF!)</f>
        <v>#REF!</v>
      </c>
      <c r="D373" t="e">
        <f>IF(A373="","",#REF!)</f>
        <v>#REF!</v>
      </c>
      <c r="E373" t="e">
        <f t="shared" si="15"/>
        <v>#REF!</v>
      </c>
      <c r="F373" t="e">
        <f t="shared" si="16"/>
        <v>#REF!</v>
      </c>
      <c r="G373" t="e">
        <f t="shared" si="17"/>
        <v>#REF!</v>
      </c>
    </row>
    <row r="374" spans="1:7" x14ac:dyDescent="0.3">
      <c r="A374" t="e">
        <f>IF(#REF!="","",#REF!)</f>
        <v>#REF!</v>
      </c>
      <c r="B374" t="e">
        <f>IF(A374="","",#REF!)</f>
        <v>#REF!</v>
      </c>
      <c r="C374" t="e">
        <f>IF(A374="","",#REF!)</f>
        <v>#REF!</v>
      </c>
      <c r="D374" t="e">
        <f>IF(A374="","",#REF!)</f>
        <v>#REF!</v>
      </c>
      <c r="E374" t="e">
        <f t="shared" si="15"/>
        <v>#REF!</v>
      </c>
      <c r="F374" t="e">
        <f t="shared" si="16"/>
        <v>#REF!</v>
      </c>
      <c r="G374" t="e">
        <f t="shared" si="17"/>
        <v>#REF!</v>
      </c>
    </row>
    <row r="375" spans="1:7" x14ac:dyDescent="0.3">
      <c r="A375" t="e">
        <f>IF(#REF!="","",#REF!)</f>
        <v>#REF!</v>
      </c>
      <c r="B375" t="e">
        <f>IF(A375="","",#REF!)</f>
        <v>#REF!</v>
      </c>
      <c r="C375" t="e">
        <f>IF(A375="","",#REF!)</f>
        <v>#REF!</v>
      </c>
      <c r="D375" t="e">
        <f>IF(A375="","",#REF!)</f>
        <v>#REF!</v>
      </c>
      <c r="E375" t="e">
        <f t="shared" si="15"/>
        <v>#REF!</v>
      </c>
      <c r="F375" t="e">
        <f t="shared" si="16"/>
        <v>#REF!</v>
      </c>
      <c r="G375" t="e">
        <f t="shared" si="17"/>
        <v>#REF!</v>
      </c>
    </row>
    <row r="376" spans="1:7" x14ac:dyDescent="0.3">
      <c r="A376" t="e">
        <f>IF(#REF!="","",#REF!)</f>
        <v>#REF!</v>
      </c>
      <c r="B376" t="e">
        <f>IF(A376="","",#REF!)</f>
        <v>#REF!</v>
      </c>
      <c r="C376" t="e">
        <f>IF(A376="","",#REF!)</f>
        <v>#REF!</v>
      </c>
      <c r="D376" t="e">
        <f>IF(A376="","",#REF!)</f>
        <v>#REF!</v>
      </c>
      <c r="E376" t="e">
        <f t="shared" si="15"/>
        <v>#REF!</v>
      </c>
      <c r="F376" t="e">
        <f t="shared" si="16"/>
        <v>#REF!</v>
      </c>
      <c r="G376" t="e">
        <f t="shared" si="17"/>
        <v>#REF!</v>
      </c>
    </row>
    <row r="377" spans="1:7" x14ac:dyDescent="0.3">
      <c r="A377" t="e">
        <f>IF(#REF!="","",#REF!)</f>
        <v>#REF!</v>
      </c>
      <c r="B377" t="e">
        <f>IF(A377="","",#REF!)</f>
        <v>#REF!</v>
      </c>
      <c r="C377" t="e">
        <f>IF(A377="","",#REF!)</f>
        <v>#REF!</v>
      </c>
      <c r="D377" t="e">
        <f>IF(A377="","",#REF!)</f>
        <v>#REF!</v>
      </c>
      <c r="E377" t="e">
        <f t="shared" si="15"/>
        <v>#REF!</v>
      </c>
      <c r="F377" t="e">
        <f t="shared" si="16"/>
        <v>#REF!</v>
      </c>
      <c r="G377" t="e">
        <f t="shared" si="17"/>
        <v>#REF!</v>
      </c>
    </row>
    <row r="378" spans="1:7" x14ac:dyDescent="0.3">
      <c r="A378" t="e">
        <f>IF(#REF!="","",#REF!)</f>
        <v>#REF!</v>
      </c>
      <c r="B378" t="e">
        <f>IF(A378="","",#REF!)</f>
        <v>#REF!</v>
      </c>
      <c r="C378" t="e">
        <f>IF(A378="","",#REF!)</f>
        <v>#REF!</v>
      </c>
      <c r="D378" t="e">
        <f>IF(A378="","",#REF!)</f>
        <v>#REF!</v>
      </c>
      <c r="E378" t="e">
        <f t="shared" si="15"/>
        <v>#REF!</v>
      </c>
      <c r="F378" t="e">
        <f t="shared" si="16"/>
        <v>#REF!</v>
      </c>
      <c r="G378" t="e">
        <f t="shared" si="17"/>
        <v>#REF!</v>
      </c>
    </row>
    <row r="379" spans="1:7" x14ac:dyDescent="0.3">
      <c r="A379" t="e">
        <f>IF(#REF!="","",#REF!)</f>
        <v>#REF!</v>
      </c>
      <c r="B379" t="e">
        <f>IF(A379="","",#REF!)</f>
        <v>#REF!</v>
      </c>
      <c r="C379" t="e">
        <f>IF(A379="","",#REF!)</f>
        <v>#REF!</v>
      </c>
      <c r="D379" t="e">
        <f>IF(A379="","",#REF!)</f>
        <v>#REF!</v>
      </c>
      <c r="E379" t="e">
        <f t="shared" si="15"/>
        <v>#REF!</v>
      </c>
      <c r="F379" t="e">
        <f t="shared" si="16"/>
        <v>#REF!</v>
      </c>
      <c r="G379" t="e">
        <f t="shared" si="17"/>
        <v>#REF!</v>
      </c>
    </row>
    <row r="380" spans="1:7" x14ac:dyDescent="0.3">
      <c r="A380" t="e">
        <f>IF(#REF!="","",#REF!)</f>
        <v>#REF!</v>
      </c>
      <c r="B380" t="e">
        <f>IF(A380="","",#REF!)</f>
        <v>#REF!</v>
      </c>
      <c r="C380" t="e">
        <f>IF(A380="","",#REF!)</f>
        <v>#REF!</v>
      </c>
      <c r="D380" t="e">
        <f>IF(A380="","",#REF!)</f>
        <v>#REF!</v>
      </c>
      <c r="E380" t="e">
        <f t="shared" si="15"/>
        <v>#REF!</v>
      </c>
      <c r="F380" t="e">
        <f t="shared" si="16"/>
        <v>#REF!</v>
      </c>
      <c r="G380" t="e">
        <f t="shared" si="17"/>
        <v>#REF!</v>
      </c>
    </row>
    <row r="381" spans="1:7" x14ac:dyDescent="0.3">
      <c r="A381" t="e">
        <f>IF(#REF!="","",#REF!)</f>
        <v>#REF!</v>
      </c>
      <c r="B381" t="e">
        <f>IF(A381="","",#REF!)</f>
        <v>#REF!</v>
      </c>
      <c r="C381" t="e">
        <f>IF(A381="","",#REF!)</f>
        <v>#REF!</v>
      </c>
      <c r="D381" t="e">
        <f>IF(A381="","",#REF!)</f>
        <v>#REF!</v>
      </c>
      <c r="E381" t="e">
        <f t="shared" si="15"/>
        <v>#REF!</v>
      </c>
      <c r="F381" t="e">
        <f t="shared" si="16"/>
        <v>#REF!</v>
      </c>
      <c r="G381" t="e">
        <f t="shared" si="17"/>
        <v>#REF!</v>
      </c>
    </row>
    <row r="382" spans="1:7" x14ac:dyDescent="0.3">
      <c r="A382" t="e">
        <f>IF(#REF!="","",#REF!)</f>
        <v>#REF!</v>
      </c>
      <c r="B382" t="e">
        <f>IF(A382="","",#REF!)</f>
        <v>#REF!</v>
      </c>
      <c r="C382" t="e">
        <f>IF(A382="","",#REF!)</f>
        <v>#REF!</v>
      </c>
      <c r="D382" t="e">
        <f>IF(A382="","",#REF!)</f>
        <v>#REF!</v>
      </c>
      <c r="E382" t="e">
        <f t="shared" si="15"/>
        <v>#REF!</v>
      </c>
      <c r="F382" t="e">
        <f t="shared" si="16"/>
        <v>#REF!</v>
      </c>
      <c r="G382" t="e">
        <f t="shared" si="17"/>
        <v>#REF!</v>
      </c>
    </row>
    <row r="383" spans="1:7" x14ac:dyDescent="0.3">
      <c r="A383" t="e">
        <f>IF(#REF!="","",#REF!)</f>
        <v>#REF!</v>
      </c>
      <c r="B383" t="e">
        <f>IF(A383="","",#REF!)</f>
        <v>#REF!</v>
      </c>
      <c r="C383" t="e">
        <f>IF(A383="","",#REF!)</f>
        <v>#REF!</v>
      </c>
      <c r="D383" t="e">
        <f>IF(A383="","",#REF!)</f>
        <v>#REF!</v>
      </c>
      <c r="E383" t="e">
        <f t="shared" si="15"/>
        <v>#REF!</v>
      </c>
      <c r="F383" t="e">
        <f t="shared" si="16"/>
        <v>#REF!</v>
      </c>
      <c r="G383" t="e">
        <f t="shared" si="17"/>
        <v>#REF!</v>
      </c>
    </row>
    <row r="384" spans="1:7" x14ac:dyDescent="0.3">
      <c r="A384" t="e">
        <f>IF(#REF!="","",#REF!)</f>
        <v>#REF!</v>
      </c>
      <c r="B384" t="e">
        <f>IF(A384="","",#REF!)</f>
        <v>#REF!</v>
      </c>
      <c r="C384" t="e">
        <f>IF(A384="","",#REF!)</f>
        <v>#REF!</v>
      </c>
      <c r="D384" t="e">
        <f>IF(A384="","",#REF!)</f>
        <v>#REF!</v>
      </c>
      <c r="E384" t="e">
        <f t="shared" si="15"/>
        <v>#REF!</v>
      </c>
      <c r="F384" t="e">
        <f t="shared" si="16"/>
        <v>#REF!</v>
      </c>
      <c r="G384" t="e">
        <f t="shared" si="17"/>
        <v>#REF!</v>
      </c>
    </row>
    <row r="385" spans="1:7" x14ac:dyDescent="0.3">
      <c r="A385" t="e">
        <f>IF(#REF!="","",#REF!)</f>
        <v>#REF!</v>
      </c>
      <c r="B385" t="e">
        <f>IF(A385="","",#REF!)</f>
        <v>#REF!</v>
      </c>
      <c r="C385" t="e">
        <f>IF(A385="","",#REF!)</f>
        <v>#REF!</v>
      </c>
      <c r="D385" t="e">
        <f>IF(A385="","",#REF!)</f>
        <v>#REF!</v>
      </c>
      <c r="E385" t="e">
        <f t="shared" si="15"/>
        <v>#REF!</v>
      </c>
      <c r="F385" t="e">
        <f t="shared" si="16"/>
        <v>#REF!</v>
      </c>
      <c r="G385" t="e">
        <f t="shared" si="17"/>
        <v>#REF!</v>
      </c>
    </row>
    <row r="386" spans="1:7" x14ac:dyDescent="0.3">
      <c r="A386" t="e">
        <f>IF(#REF!="","",#REF!)</f>
        <v>#REF!</v>
      </c>
      <c r="B386" t="e">
        <f>IF(A386="","",#REF!)</f>
        <v>#REF!</v>
      </c>
      <c r="C386" t="e">
        <f>IF(A386="","",#REF!)</f>
        <v>#REF!</v>
      </c>
      <c r="D386" t="e">
        <f>IF(A386="","",#REF!)</f>
        <v>#REF!</v>
      </c>
      <c r="E386" t="e">
        <f t="shared" si="15"/>
        <v>#REF!</v>
      </c>
      <c r="F386" t="e">
        <f t="shared" si="16"/>
        <v>#REF!</v>
      </c>
      <c r="G386" t="e">
        <f t="shared" si="17"/>
        <v>#REF!</v>
      </c>
    </row>
    <row r="387" spans="1:7" x14ac:dyDescent="0.3">
      <c r="A387" t="e">
        <f>IF(#REF!="","",#REF!)</f>
        <v>#REF!</v>
      </c>
      <c r="B387" t="e">
        <f>IF(A387="","",#REF!)</f>
        <v>#REF!</v>
      </c>
      <c r="C387" t="e">
        <f>IF(A387="","",#REF!)</f>
        <v>#REF!</v>
      </c>
      <c r="D387" t="e">
        <f>IF(A387="","",#REF!)</f>
        <v>#REF!</v>
      </c>
      <c r="E387" t="e">
        <f t="shared" si="15"/>
        <v>#REF!</v>
      </c>
      <c r="F387" t="e">
        <f t="shared" si="16"/>
        <v>#REF!</v>
      </c>
      <c r="G387" t="e">
        <f t="shared" si="17"/>
        <v>#REF!</v>
      </c>
    </row>
    <row r="388" spans="1:7" x14ac:dyDescent="0.3">
      <c r="A388" t="e">
        <f>IF(#REF!="","",#REF!)</f>
        <v>#REF!</v>
      </c>
      <c r="B388" t="e">
        <f>IF(A388="","",#REF!)</f>
        <v>#REF!</v>
      </c>
      <c r="C388" t="e">
        <f>IF(A388="","",#REF!)</f>
        <v>#REF!</v>
      </c>
      <c r="D388" t="e">
        <f>IF(A388="","",#REF!)</f>
        <v>#REF!</v>
      </c>
      <c r="E388" t="e">
        <f t="shared" si="15"/>
        <v>#REF!</v>
      </c>
      <c r="F388" t="e">
        <f t="shared" si="16"/>
        <v>#REF!</v>
      </c>
      <c r="G388" t="e">
        <f t="shared" si="17"/>
        <v>#REF!</v>
      </c>
    </row>
    <row r="389" spans="1:7" x14ac:dyDescent="0.3">
      <c r="A389" t="e">
        <f>IF(#REF!="","",#REF!)</f>
        <v>#REF!</v>
      </c>
      <c r="B389" t="e">
        <f>IF(A389="","",#REF!)</f>
        <v>#REF!</v>
      </c>
      <c r="C389" t="e">
        <f>IF(A389="","",#REF!)</f>
        <v>#REF!</v>
      </c>
      <c r="D389" t="e">
        <f>IF(A389="","",#REF!)</f>
        <v>#REF!</v>
      </c>
      <c r="E389" t="e">
        <f t="shared" ref="E389:E452" si="18">IF(A389="","",IF(COUNTIF($A$5:$A$504,A389)&gt;1,"Duplicate","Unique"))</f>
        <v>#REF!</v>
      </c>
      <c r="F389" t="e">
        <f t="shared" ref="F389:F452" si="19">IF(A389="","",IF(C389="","Missing Date","Date Present"))</f>
        <v>#REF!</v>
      </c>
      <c r="G389" t="e">
        <f t="shared" ref="G389:G452" si="20">IF(A389="","",IF(OR(E389="Duplicate",F389="Missing Date"),"Review","Pass"))</f>
        <v>#REF!</v>
      </c>
    </row>
    <row r="390" spans="1:7" x14ac:dyDescent="0.3">
      <c r="A390" t="e">
        <f>IF(#REF!="","",#REF!)</f>
        <v>#REF!</v>
      </c>
      <c r="B390" t="e">
        <f>IF(A390="","",#REF!)</f>
        <v>#REF!</v>
      </c>
      <c r="C390" t="e">
        <f>IF(A390="","",#REF!)</f>
        <v>#REF!</v>
      </c>
      <c r="D390" t="e">
        <f>IF(A390="","",#REF!)</f>
        <v>#REF!</v>
      </c>
      <c r="E390" t="e">
        <f t="shared" si="18"/>
        <v>#REF!</v>
      </c>
      <c r="F390" t="e">
        <f t="shared" si="19"/>
        <v>#REF!</v>
      </c>
      <c r="G390" t="e">
        <f t="shared" si="20"/>
        <v>#REF!</v>
      </c>
    </row>
    <row r="391" spans="1:7" x14ac:dyDescent="0.3">
      <c r="A391" t="e">
        <f>IF(#REF!="","",#REF!)</f>
        <v>#REF!</v>
      </c>
      <c r="B391" t="e">
        <f>IF(A391="","",#REF!)</f>
        <v>#REF!</v>
      </c>
      <c r="C391" t="e">
        <f>IF(A391="","",#REF!)</f>
        <v>#REF!</v>
      </c>
      <c r="D391" t="e">
        <f>IF(A391="","",#REF!)</f>
        <v>#REF!</v>
      </c>
      <c r="E391" t="e">
        <f t="shared" si="18"/>
        <v>#REF!</v>
      </c>
      <c r="F391" t="e">
        <f t="shared" si="19"/>
        <v>#REF!</v>
      </c>
      <c r="G391" t="e">
        <f t="shared" si="20"/>
        <v>#REF!</v>
      </c>
    </row>
    <row r="392" spans="1:7" x14ac:dyDescent="0.3">
      <c r="A392" t="e">
        <f>IF(#REF!="","",#REF!)</f>
        <v>#REF!</v>
      </c>
      <c r="B392" t="e">
        <f>IF(A392="","",#REF!)</f>
        <v>#REF!</v>
      </c>
      <c r="C392" t="e">
        <f>IF(A392="","",#REF!)</f>
        <v>#REF!</v>
      </c>
      <c r="D392" t="e">
        <f>IF(A392="","",#REF!)</f>
        <v>#REF!</v>
      </c>
      <c r="E392" t="e">
        <f t="shared" si="18"/>
        <v>#REF!</v>
      </c>
      <c r="F392" t="e">
        <f t="shared" si="19"/>
        <v>#REF!</v>
      </c>
      <c r="G392" t="e">
        <f t="shared" si="20"/>
        <v>#REF!</v>
      </c>
    </row>
    <row r="393" spans="1:7" x14ac:dyDescent="0.3">
      <c r="A393" t="e">
        <f>IF(#REF!="","",#REF!)</f>
        <v>#REF!</v>
      </c>
      <c r="B393" t="e">
        <f>IF(A393="","",#REF!)</f>
        <v>#REF!</v>
      </c>
      <c r="C393" t="e">
        <f>IF(A393="","",#REF!)</f>
        <v>#REF!</v>
      </c>
      <c r="D393" t="e">
        <f>IF(A393="","",#REF!)</f>
        <v>#REF!</v>
      </c>
      <c r="E393" t="e">
        <f t="shared" si="18"/>
        <v>#REF!</v>
      </c>
      <c r="F393" t="e">
        <f t="shared" si="19"/>
        <v>#REF!</v>
      </c>
      <c r="G393" t="e">
        <f t="shared" si="20"/>
        <v>#REF!</v>
      </c>
    </row>
    <row r="394" spans="1:7" x14ac:dyDescent="0.3">
      <c r="A394" t="e">
        <f>IF(#REF!="","",#REF!)</f>
        <v>#REF!</v>
      </c>
      <c r="B394" t="e">
        <f>IF(A394="","",#REF!)</f>
        <v>#REF!</v>
      </c>
      <c r="C394" t="e">
        <f>IF(A394="","",#REF!)</f>
        <v>#REF!</v>
      </c>
      <c r="D394" t="e">
        <f>IF(A394="","",#REF!)</f>
        <v>#REF!</v>
      </c>
      <c r="E394" t="e">
        <f t="shared" si="18"/>
        <v>#REF!</v>
      </c>
      <c r="F394" t="e">
        <f t="shared" si="19"/>
        <v>#REF!</v>
      </c>
      <c r="G394" t="e">
        <f t="shared" si="20"/>
        <v>#REF!</v>
      </c>
    </row>
    <row r="395" spans="1:7" x14ac:dyDescent="0.3">
      <c r="A395" t="e">
        <f>IF(#REF!="","",#REF!)</f>
        <v>#REF!</v>
      </c>
      <c r="B395" t="e">
        <f>IF(A395="","",#REF!)</f>
        <v>#REF!</v>
      </c>
      <c r="C395" t="e">
        <f>IF(A395="","",#REF!)</f>
        <v>#REF!</v>
      </c>
      <c r="D395" t="e">
        <f>IF(A395="","",#REF!)</f>
        <v>#REF!</v>
      </c>
      <c r="E395" t="e">
        <f t="shared" si="18"/>
        <v>#REF!</v>
      </c>
      <c r="F395" t="e">
        <f t="shared" si="19"/>
        <v>#REF!</v>
      </c>
      <c r="G395" t="e">
        <f t="shared" si="20"/>
        <v>#REF!</v>
      </c>
    </row>
    <row r="396" spans="1:7" x14ac:dyDescent="0.3">
      <c r="A396" t="e">
        <f>IF(#REF!="","",#REF!)</f>
        <v>#REF!</v>
      </c>
      <c r="B396" t="e">
        <f>IF(A396="","",#REF!)</f>
        <v>#REF!</v>
      </c>
      <c r="C396" t="e">
        <f>IF(A396="","",#REF!)</f>
        <v>#REF!</v>
      </c>
      <c r="D396" t="e">
        <f>IF(A396="","",#REF!)</f>
        <v>#REF!</v>
      </c>
      <c r="E396" t="e">
        <f t="shared" si="18"/>
        <v>#REF!</v>
      </c>
      <c r="F396" t="e">
        <f t="shared" si="19"/>
        <v>#REF!</v>
      </c>
      <c r="G396" t="e">
        <f t="shared" si="20"/>
        <v>#REF!</v>
      </c>
    </row>
    <row r="397" spans="1:7" x14ac:dyDescent="0.3">
      <c r="A397" t="e">
        <f>IF(#REF!="","",#REF!)</f>
        <v>#REF!</v>
      </c>
      <c r="B397" t="e">
        <f>IF(A397="","",#REF!)</f>
        <v>#REF!</v>
      </c>
      <c r="C397" t="e">
        <f>IF(A397="","",#REF!)</f>
        <v>#REF!</v>
      </c>
      <c r="D397" t="e">
        <f>IF(A397="","",#REF!)</f>
        <v>#REF!</v>
      </c>
      <c r="E397" t="e">
        <f t="shared" si="18"/>
        <v>#REF!</v>
      </c>
      <c r="F397" t="e">
        <f t="shared" si="19"/>
        <v>#REF!</v>
      </c>
      <c r="G397" t="e">
        <f t="shared" si="20"/>
        <v>#REF!</v>
      </c>
    </row>
    <row r="398" spans="1:7" x14ac:dyDescent="0.3">
      <c r="A398" t="e">
        <f>IF(#REF!="","",#REF!)</f>
        <v>#REF!</v>
      </c>
      <c r="B398" t="e">
        <f>IF(A398="","",#REF!)</f>
        <v>#REF!</v>
      </c>
      <c r="C398" t="e">
        <f>IF(A398="","",#REF!)</f>
        <v>#REF!</v>
      </c>
      <c r="D398" t="e">
        <f>IF(A398="","",#REF!)</f>
        <v>#REF!</v>
      </c>
      <c r="E398" t="e">
        <f t="shared" si="18"/>
        <v>#REF!</v>
      </c>
      <c r="F398" t="e">
        <f t="shared" si="19"/>
        <v>#REF!</v>
      </c>
      <c r="G398" t="e">
        <f t="shared" si="20"/>
        <v>#REF!</v>
      </c>
    </row>
    <row r="399" spans="1:7" x14ac:dyDescent="0.3">
      <c r="A399" t="e">
        <f>IF(#REF!="","",#REF!)</f>
        <v>#REF!</v>
      </c>
      <c r="B399" t="e">
        <f>IF(A399="","",#REF!)</f>
        <v>#REF!</v>
      </c>
      <c r="C399" t="e">
        <f>IF(A399="","",#REF!)</f>
        <v>#REF!</v>
      </c>
      <c r="D399" t="e">
        <f>IF(A399="","",#REF!)</f>
        <v>#REF!</v>
      </c>
      <c r="E399" t="e">
        <f t="shared" si="18"/>
        <v>#REF!</v>
      </c>
      <c r="F399" t="e">
        <f t="shared" si="19"/>
        <v>#REF!</v>
      </c>
      <c r="G399" t="e">
        <f t="shared" si="20"/>
        <v>#REF!</v>
      </c>
    </row>
    <row r="400" spans="1:7" x14ac:dyDescent="0.3">
      <c r="A400" t="e">
        <f>IF(#REF!="","",#REF!)</f>
        <v>#REF!</v>
      </c>
      <c r="B400" t="e">
        <f>IF(A400="","",#REF!)</f>
        <v>#REF!</v>
      </c>
      <c r="C400" t="e">
        <f>IF(A400="","",#REF!)</f>
        <v>#REF!</v>
      </c>
      <c r="D400" t="e">
        <f>IF(A400="","",#REF!)</f>
        <v>#REF!</v>
      </c>
      <c r="E400" t="e">
        <f t="shared" si="18"/>
        <v>#REF!</v>
      </c>
      <c r="F400" t="e">
        <f t="shared" si="19"/>
        <v>#REF!</v>
      </c>
      <c r="G400" t="e">
        <f t="shared" si="20"/>
        <v>#REF!</v>
      </c>
    </row>
    <row r="401" spans="1:7" x14ac:dyDescent="0.3">
      <c r="A401" t="e">
        <f>IF(#REF!="","",#REF!)</f>
        <v>#REF!</v>
      </c>
      <c r="B401" t="e">
        <f>IF(A401="","",#REF!)</f>
        <v>#REF!</v>
      </c>
      <c r="C401" t="e">
        <f>IF(A401="","",#REF!)</f>
        <v>#REF!</v>
      </c>
      <c r="D401" t="e">
        <f>IF(A401="","",#REF!)</f>
        <v>#REF!</v>
      </c>
      <c r="E401" t="e">
        <f t="shared" si="18"/>
        <v>#REF!</v>
      </c>
      <c r="F401" t="e">
        <f t="shared" si="19"/>
        <v>#REF!</v>
      </c>
      <c r="G401" t="e">
        <f t="shared" si="20"/>
        <v>#REF!</v>
      </c>
    </row>
    <row r="402" spans="1:7" x14ac:dyDescent="0.3">
      <c r="A402" t="e">
        <f>IF(#REF!="","",#REF!)</f>
        <v>#REF!</v>
      </c>
      <c r="B402" t="e">
        <f>IF(A402="","",#REF!)</f>
        <v>#REF!</v>
      </c>
      <c r="C402" t="e">
        <f>IF(A402="","",#REF!)</f>
        <v>#REF!</v>
      </c>
      <c r="D402" t="e">
        <f>IF(A402="","",#REF!)</f>
        <v>#REF!</v>
      </c>
      <c r="E402" t="e">
        <f t="shared" si="18"/>
        <v>#REF!</v>
      </c>
      <c r="F402" t="e">
        <f t="shared" si="19"/>
        <v>#REF!</v>
      </c>
      <c r="G402" t="e">
        <f t="shared" si="20"/>
        <v>#REF!</v>
      </c>
    </row>
    <row r="403" spans="1:7" x14ac:dyDescent="0.3">
      <c r="A403" t="e">
        <f>IF(#REF!="","",#REF!)</f>
        <v>#REF!</v>
      </c>
      <c r="B403" t="e">
        <f>IF(A403="","",#REF!)</f>
        <v>#REF!</v>
      </c>
      <c r="C403" t="e">
        <f>IF(A403="","",#REF!)</f>
        <v>#REF!</v>
      </c>
      <c r="D403" t="e">
        <f>IF(A403="","",#REF!)</f>
        <v>#REF!</v>
      </c>
      <c r="E403" t="e">
        <f t="shared" si="18"/>
        <v>#REF!</v>
      </c>
      <c r="F403" t="e">
        <f t="shared" si="19"/>
        <v>#REF!</v>
      </c>
      <c r="G403" t="e">
        <f t="shared" si="20"/>
        <v>#REF!</v>
      </c>
    </row>
    <row r="404" spans="1:7" x14ac:dyDescent="0.3">
      <c r="A404" t="e">
        <f>IF(#REF!="","",#REF!)</f>
        <v>#REF!</v>
      </c>
      <c r="B404" t="e">
        <f>IF(A404="","",#REF!)</f>
        <v>#REF!</v>
      </c>
      <c r="C404" t="e">
        <f>IF(A404="","",#REF!)</f>
        <v>#REF!</v>
      </c>
      <c r="D404" t="e">
        <f>IF(A404="","",#REF!)</f>
        <v>#REF!</v>
      </c>
      <c r="E404" t="e">
        <f t="shared" si="18"/>
        <v>#REF!</v>
      </c>
      <c r="F404" t="e">
        <f t="shared" si="19"/>
        <v>#REF!</v>
      </c>
      <c r="G404" t="e">
        <f t="shared" si="20"/>
        <v>#REF!</v>
      </c>
    </row>
    <row r="405" spans="1:7" x14ac:dyDescent="0.3">
      <c r="A405" t="e">
        <f>IF(#REF!="","",#REF!)</f>
        <v>#REF!</v>
      </c>
      <c r="B405" t="e">
        <f>IF(A405="","",#REF!)</f>
        <v>#REF!</v>
      </c>
      <c r="C405" t="e">
        <f>IF(A405="","",#REF!)</f>
        <v>#REF!</v>
      </c>
      <c r="D405" t="e">
        <f>IF(A405="","",#REF!)</f>
        <v>#REF!</v>
      </c>
      <c r="E405" t="e">
        <f t="shared" si="18"/>
        <v>#REF!</v>
      </c>
      <c r="F405" t="e">
        <f t="shared" si="19"/>
        <v>#REF!</v>
      </c>
      <c r="G405" t="e">
        <f t="shared" si="20"/>
        <v>#REF!</v>
      </c>
    </row>
    <row r="406" spans="1:7" x14ac:dyDescent="0.3">
      <c r="A406" t="e">
        <f>IF(#REF!="","",#REF!)</f>
        <v>#REF!</v>
      </c>
      <c r="B406" t="e">
        <f>IF(A406="","",#REF!)</f>
        <v>#REF!</v>
      </c>
      <c r="C406" t="e">
        <f>IF(A406="","",#REF!)</f>
        <v>#REF!</v>
      </c>
      <c r="D406" t="e">
        <f>IF(A406="","",#REF!)</f>
        <v>#REF!</v>
      </c>
      <c r="E406" t="e">
        <f t="shared" si="18"/>
        <v>#REF!</v>
      </c>
      <c r="F406" t="e">
        <f t="shared" si="19"/>
        <v>#REF!</v>
      </c>
      <c r="G406" t="e">
        <f t="shared" si="20"/>
        <v>#REF!</v>
      </c>
    </row>
    <row r="407" spans="1:7" x14ac:dyDescent="0.3">
      <c r="A407" t="e">
        <f>IF(#REF!="","",#REF!)</f>
        <v>#REF!</v>
      </c>
      <c r="B407" t="e">
        <f>IF(A407="","",#REF!)</f>
        <v>#REF!</v>
      </c>
      <c r="C407" t="e">
        <f>IF(A407="","",#REF!)</f>
        <v>#REF!</v>
      </c>
      <c r="D407" t="e">
        <f>IF(A407="","",#REF!)</f>
        <v>#REF!</v>
      </c>
      <c r="E407" t="e">
        <f t="shared" si="18"/>
        <v>#REF!</v>
      </c>
      <c r="F407" t="e">
        <f t="shared" si="19"/>
        <v>#REF!</v>
      </c>
      <c r="G407" t="e">
        <f t="shared" si="20"/>
        <v>#REF!</v>
      </c>
    </row>
    <row r="408" spans="1:7" x14ac:dyDescent="0.3">
      <c r="A408" t="e">
        <f>IF(#REF!="","",#REF!)</f>
        <v>#REF!</v>
      </c>
      <c r="B408" t="e">
        <f>IF(A408="","",#REF!)</f>
        <v>#REF!</v>
      </c>
      <c r="C408" t="e">
        <f>IF(A408="","",#REF!)</f>
        <v>#REF!</v>
      </c>
      <c r="D408" t="e">
        <f>IF(A408="","",#REF!)</f>
        <v>#REF!</v>
      </c>
      <c r="E408" t="e">
        <f t="shared" si="18"/>
        <v>#REF!</v>
      </c>
      <c r="F408" t="e">
        <f t="shared" si="19"/>
        <v>#REF!</v>
      </c>
      <c r="G408" t="e">
        <f t="shared" si="20"/>
        <v>#REF!</v>
      </c>
    </row>
    <row r="409" spans="1:7" x14ac:dyDescent="0.3">
      <c r="A409" t="e">
        <f>IF(#REF!="","",#REF!)</f>
        <v>#REF!</v>
      </c>
      <c r="B409" t="e">
        <f>IF(A409="","",#REF!)</f>
        <v>#REF!</v>
      </c>
      <c r="C409" t="e">
        <f>IF(A409="","",#REF!)</f>
        <v>#REF!</v>
      </c>
      <c r="D409" t="e">
        <f>IF(A409="","",#REF!)</f>
        <v>#REF!</v>
      </c>
      <c r="E409" t="e">
        <f t="shared" si="18"/>
        <v>#REF!</v>
      </c>
      <c r="F409" t="e">
        <f t="shared" si="19"/>
        <v>#REF!</v>
      </c>
      <c r="G409" t="e">
        <f t="shared" si="20"/>
        <v>#REF!</v>
      </c>
    </row>
    <row r="410" spans="1:7" x14ac:dyDescent="0.3">
      <c r="A410" t="e">
        <f>IF(#REF!="","",#REF!)</f>
        <v>#REF!</v>
      </c>
      <c r="B410" t="e">
        <f>IF(A410="","",#REF!)</f>
        <v>#REF!</v>
      </c>
      <c r="C410" t="e">
        <f>IF(A410="","",#REF!)</f>
        <v>#REF!</v>
      </c>
      <c r="D410" t="e">
        <f>IF(A410="","",#REF!)</f>
        <v>#REF!</v>
      </c>
      <c r="E410" t="e">
        <f t="shared" si="18"/>
        <v>#REF!</v>
      </c>
      <c r="F410" t="e">
        <f t="shared" si="19"/>
        <v>#REF!</v>
      </c>
      <c r="G410" t="e">
        <f t="shared" si="20"/>
        <v>#REF!</v>
      </c>
    </row>
    <row r="411" spans="1:7" x14ac:dyDescent="0.3">
      <c r="A411" t="e">
        <f>IF(#REF!="","",#REF!)</f>
        <v>#REF!</v>
      </c>
      <c r="B411" t="e">
        <f>IF(A411="","",#REF!)</f>
        <v>#REF!</v>
      </c>
      <c r="C411" t="e">
        <f>IF(A411="","",#REF!)</f>
        <v>#REF!</v>
      </c>
      <c r="D411" t="e">
        <f>IF(A411="","",#REF!)</f>
        <v>#REF!</v>
      </c>
      <c r="E411" t="e">
        <f t="shared" si="18"/>
        <v>#REF!</v>
      </c>
      <c r="F411" t="e">
        <f t="shared" si="19"/>
        <v>#REF!</v>
      </c>
      <c r="G411" t="e">
        <f t="shared" si="20"/>
        <v>#REF!</v>
      </c>
    </row>
    <row r="412" spans="1:7" x14ac:dyDescent="0.3">
      <c r="A412" t="e">
        <f>IF(#REF!="","",#REF!)</f>
        <v>#REF!</v>
      </c>
      <c r="B412" t="e">
        <f>IF(A412="","",#REF!)</f>
        <v>#REF!</v>
      </c>
      <c r="C412" t="e">
        <f>IF(A412="","",#REF!)</f>
        <v>#REF!</v>
      </c>
      <c r="D412" t="e">
        <f>IF(A412="","",#REF!)</f>
        <v>#REF!</v>
      </c>
      <c r="E412" t="e">
        <f t="shared" si="18"/>
        <v>#REF!</v>
      </c>
      <c r="F412" t="e">
        <f t="shared" si="19"/>
        <v>#REF!</v>
      </c>
      <c r="G412" t="e">
        <f t="shared" si="20"/>
        <v>#REF!</v>
      </c>
    </row>
    <row r="413" spans="1:7" x14ac:dyDescent="0.3">
      <c r="A413" t="e">
        <f>IF(#REF!="","",#REF!)</f>
        <v>#REF!</v>
      </c>
      <c r="B413" t="e">
        <f>IF(A413="","",#REF!)</f>
        <v>#REF!</v>
      </c>
      <c r="C413" t="e">
        <f>IF(A413="","",#REF!)</f>
        <v>#REF!</v>
      </c>
      <c r="D413" t="e">
        <f>IF(A413="","",#REF!)</f>
        <v>#REF!</v>
      </c>
      <c r="E413" t="e">
        <f t="shared" si="18"/>
        <v>#REF!</v>
      </c>
      <c r="F413" t="e">
        <f t="shared" si="19"/>
        <v>#REF!</v>
      </c>
      <c r="G413" t="e">
        <f t="shared" si="20"/>
        <v>#REF!</v>
      </c>
    </row>
    <row r="414" spans="1:7" x14ac:dyDescent="0.3">
      <c r="A414" t="e">
        <f>IF(#REF!="","",#REF!)</f>
        <v>#REF!</v>
      </c>
      <c r="B414" t="e">
        <f>IF(A414="","",#REF!)</f>
        <v>#REF!</v>
      </c>
      <c r="C414" t="e">
        <f>IF(A414="","",#REF!)</f>
        <v>#REF!</v>
      </c>
      <c r="D414" t="e">
        <f>IF(A414="","",#REF!)</f>
        <v>#REF!</v>
      </c>
      <c r="E414" t="e">
        <f t="shared" si="18"/>
        <v>#REF!</v>
      </c>
      <c r="F414" t="e">
        <f t="shared" si="19"/>
        <v>#REF!</v>
      </c>
      <c r="G414" t="e">
        <f t="shared" si="20"/>
        <v>#REF!</v>
      </c>
    </row>
    <row r="415" spans="1:7" x14ac:dyDescent="0.3">
      <c r="A415" t="e">
        <f>IF(#REF!="","",#REF!)</f>
        <v>#REF!</v>
      </c>
      <c r="B415" t="e">
        <f>IF(A415="","",#REF!)</f>
        <v>#REF!</v>
      </c>
      <c r="C415" t="e">
        <f>IF(A415="","",#REF!)</f>
        <v>#REF!</v>
      </c>
      <c r="D415" t="e">
        <f>IF(A415="","",#REF!)</f>
        <v>#REF!</v>
      </c>
      <c r="E415" t="e">
        <f t="shared" si="18"/>
        <v>#REF!</v>
      </c>
      <c r="F415" t="e">
        <f t="shared" si="19"/>
        <v>#REF!</v>
      </c>
      <c r="G415" t="e">
        <f t="shared" si="20"/>
        <v>#REF!</v>
      </c>
    </row>
    <row r="416" spans="1:7" x14ac:dyDescent="0.3">
      <c r="A416" t="e">
        <f>IF(#REF!="","",#REF!)</f>
        <v>#REF!</v>
      </c>
      <c r="B416" t="e">
        <f>IF(A416="","",#REF!)</f>
        <v>#REF!</v>
      </c>
      <c r="C416" t="e">
        <f>IF(A416="","",#REF!)</f>
        <v>#REF!</v>
      </c>
      <c r="D416" t="e">
        <f>IF(A416="","",#REF!)</f>
        <v>#REF!</v>
      </c>
      <c r="E416" t="e">
        <f t="shared" si="18"/>
        <v>#REF!</v>
      </c>
      <c r="F416" t="e">
        <f t="shared" si="19"/>
        <v>#REF!</v>
      </c>
      <c r="G416" t="e">
        <f t="shared" si="20"/>
        <v>#REF!</v>
      </c>
    </row>
    <row r="417" spans="1:7" x14ac:dyDescent="0.3">
      <c r="A417" t="e">
        <f>IF(#REF!="","",#REF!)</f>
        <v>#REF!</v>
      </c>
      <c r="B417" t="e">
        <f>IF(A417="","",#REF!)</f>
        <v>#REF!</v>
      </c>
      <c r="C417" t="e">
        <f>IF(A417="","",#REF!)</f>
        <v>#REF!</v>
      </c>
      <c r="D417" t="e">
        <f>IF(A417="","",#REF!)</f>
        <v>#REF!</v>
      </c>
      <c r="E417" t="e">
        <f t="shared" si="18"/>
        <v>#REF!</v>
      </c>
      <c r="F417" t="e">
        <f t="shared" si="19"/>
        <v>#REF!</v>
      </c>
      <c r="G417" t="e">
        <f t="shared" si="20"/>
        <v>#REF!</v>
      </c>
    </row>
    <row r="418" spans="1:7" x14ac:dyDescent="0.3">
      <c r="A418" t="e">
        <f>IF(#REF!="","",#REF!)</f>
        <v>#REF!</v>
      </c>
      <c r="B418" t="e">
        <f>IF(A418="","",#REF!)</f>
        <v>#REF!</v>
      </c>
      <c r="C418" t="e">
        <f>IF(A418="","",#REF!)</f>
        <v>#REF!</v>
      </c>
      <c r="D418" t="e">
        <f>IF(A418="","",#REF!)</f>
        <v>#REF!</v>
      </c>
      <c r="E418" t="e">
        <f t="shared" si="18"/>
        <v>#REF!</v>
      </c>
      <c r="F418" t="e">
        <f t="shared" si="19"/>
        <v>#REF!</v>
      </c>
      <c r="G418" t="e">
        <f t="shared" si="20"/>
        <v>#REF!</v>
      </c>
    </row>
    <row r="419" spans="1:7" x14ac:dyDescent="0.3">
      <c r="A419" t="e">
        <f>IF(#REF!="","",#REF!)</f>
        <v>#REF!</v>
      </c>
      <c r="B419" t="e">
        <f>IF(A419="","",#REF!)</f>
        <v>#REF!</v>
      </c>
      <c r="C419" t="e">
        <f>IF(A419="","",#REF!)</f>
        <v>#REF!</v>
      </c>
      <c r="D419" t="e">
        <f>IF(A419="","",#REF!)</f>
        <v>#REF!</v>
      </c>
      <c r="E419" t="e">
        <f t="shared" si="18"/>
        <v>#REF!</v>
      </c>
      <c r="F419" t="e">
        <f t="shared" si="19"/>
        <v>#REF!</v>
      </c>
      <c r="G419" t="e">
        <f t="shared" si="20"/>
        <v>#REF!</v>
      </c>
    </row>
    <row r="420" spans="1:7" x14ac:dyDescent="0.3">
      <c r="A420" t="e">
        <f>IF(#REF!="","",#REF!)</f>
        <v>#REF!</v>
      </c>
      <c r="B420" t="e">
        <f>IF(A420="","",#REF!)</f>
        <v>#REF!</v>
      </c>
      <c r="C420" t="e">
        <f>IF(A420="","",#REF!)</f>
        <v>#REF!</v>
      </c>
      <c r="D420" t="e">
        <f>IF(A420="","",#REF!)</f>
        <v>#REF!</v>
      </c>
      <c r="E420" t="e">
        <f t="shared" si="18"/>
        <v>#REF!</v>
      </c>
      <c r="F420" t="e">
        <f t="shared" si="19"/>
        <v>#REF!</v>
      </c>
      <c r="G420" t="e">
        <f t="shared" si="20"/>
        <v>#REF!</v>
      </c>
    </row>
    <row r="421" spans="1:7" x14ac:dyDescent="0.3">
      <c r="A421" t="e">
        <f>IF(#REF!="","",#REF!)</f>
        <v>#REF!</v>
      </c>
      <c r="B421" t="e">
        <f>IF(A421="","",#REF!)</f>
        <v>#REF!</v>
      </c>
      <c r="C421" t="e">
        <f>IF(A421="","",#REF!)</f>
        <v>#REF!</v>
      </c>
      <c r="D421" t="e">
        <f>IF(A421="","",#REF!)</f>
        <v>#REF!</v>
      </c>
      <c r="E421" t="e">
        <f t="shared" si="18"/>
        <v>#REF!</v>
      </c>
      <c r="F421" t="e">
        <f t="shared" si="19"/>
        <v>#REF!</v>
      </c>
      <c r="G421" t="e">
        <f t="shared" si="20"/>
        <v>#REF!</v>
      </c>
    </row>
    <row r="422" spans="1:7" x14ac:dyDescent="0.3">
      <c r="A422" t="e">
        <f>IF(#REF!="","",#REF!)</f>
        <v>#REF!</v>
      </c>
      <c r="B422" t="e">
        <f>IF(A422="","",#REF!)</f>
        <v>#REF!</v>
      </c>
      <c r="C422" t="e">
        <f>IF(A422="","",#REF!)</f>
        <v>#REF!</v>
      </c>
      <c r="D422" t="e">
        <f>IF(A422="","",#REF!)</f>
        <v>#REF!</v>
      </c>
      <c r="E422" t="e">
        <f t="shared" si="18"/>
        <v>#REF!</v>
      </c>
      <c r="F422" t="e">
        <f t="shared" si="19"/>
        <v>#REF!</v>
      </c>
      <c r="G422" t="e">
        <f t="shared" si="20"/>
        <v>#REF!</v>
      </c>
    </row>
    <row r="423" spans="1:7" x14ac:dyDescent="0.3">
      <c r="A423" t="e">
        <f>IF(#REF!="","",#REF!)</f>
        <v>#REF!</v>
      </c>
      <c r="B423" t="e">
        <f>IF(A423="","",#REF!)</f>
        <v>#REF!</v>
      </c>
      <c r="C423" t="e">
        <f>IF(A423="","",#REF!)</f>
        <v>#REF!</v>
      </c>
      <c r="D423" t="e">
        <f>IF(A423="","",#REF!)</f>
        <v>#REF!</v>
      </c>
      <c r="E423" t="e">
        <f t="shared" si="18"/>
        <v>#REF!</v>
      </c>
      <c r="F423" t="e">
        <f t="shared" si="19"/>
        <v>#REF!</v>
      </c>
      <c r="G423" t="e">
        <f t="shared" si="20"/>
        <v>#REF!</v>
      </c>
    </row>
    <row r="424" spans="1:7" x14ac:dyDescent="0.3">
      <c r="A424" t="e">
        <f>IF(#REF!="","",#REF!)</f>
        <v>#REF!</v>
      </c>
      <c r="B424" t="e">
        <f>IF(A424="","",#REF!)</f>
        <v>#REF!</v>
      </c>
      <c r="C424" t="e">
        <f>IF(A424="","",#REF!)</f>
        <v>#REF!</v>
      </c>
      <c r="D424" t="e">
        <f>IF(A424="","",#REF!)</f>
        <v>#REF!</v>
      </c>
      <c r="E424" t="e">
        <f t="shared" si="18"/>
        <v>#REF!</v>
      </c>
      <c r="F424" t="e">
        <f t="shared" si="19"/>
        <v>#REF!</v>
      </c>
      <c r="G424" t="e">
        <f t="shared" si="20"/>
        <v>#REF!</v>
      </c>
    </row>
    <row r="425" spans="1:7" x14ac:dyDescent="0.3">
      <c r="A425" t="e">
        <f>IF(#REF!="","",#REF!)</f>
        <v>#REF!</v>
      </c>
      <c r="B425" t="e">
        <f>IF(A425="","",#REF!)</f>
        <v>#REF!</v>
      </c>
      <c r="C425" t="e">
        <f>IF(A425="","",#REF!)</f>
        <v>#REF!</v>
      </c>
      <c r="D425" t="e">
        <f>IF(A425="","",#REF!)</f>
        <v>#REF!</v>
      </c>
      <c r="E425" t="e">
        <f t="shared" si="18"/>
        <v>#REF!</v>
      </c>
      <c r="F425" t="e">
        <f t="shared" si="19"/>
        <v>#REF!</v>
      </c>
      <c r="G425" t="e">
        <f t="shared" si="20"/>
        <v>#REF!</v>
      </c>
    </row>
    <row r="426" spans="1:7" x14ac:dyDescent="0.3">
      <c r="A426" t="e">
        <f>IF(#REF!="","",#REF!)</f>
        <v>#REF!</v>
      </c>
      <c r="B426" t="e">
        <f>IF(A426="","",#REF!)</f>
        <v>#REF!</v>
      </c>
      <c r="C426" t="e">
        <f>IF(A426="","",#REF!)</f>
        <v>#REF!</v>
      </c>
      <c r="D426" t="e">
        <f>IF(A426="","",#REF!)</f>
        <v>#REF!</v>
      </c>
      <c r="E426" t="e">
        <f t="shared" si="18"/>
        <v>#REF!</v>
      </c>
      <c r="F426" t="e">
        <f t="shared" si="19"/>
        <v>#REF!</v>
      </c>
      <c r="G426" t="e">
        <f t="shared" si="20"/>
        <v>#REF!</v>
      </c>
    </row>
    <row r="427" spans="1:7" x14ac:dyDescent="0.3">
      <c r="A427" t="e">
        <f>IF(#REF!="","",#REF!)</f>
        <v>#REF!</v>
      </c>
      <c r="B427" t="e">
        <f>IF(A427="","",#REF!)</f>
        <v>#REF!</v>
      </c>
      <c r="C427" t="e">
        <f>IF(A427="","",#REF!)</f>
        <v>#REF!</v>
      </c>
      <c r="D427" t="e">
        <f>IF(A427="","",#REF!)</f>
        <v>#REF!</v>
      </c>
      <c r="E427" t="e">
        <f t="shared" si="18"/>
        <v>#REF!</v>
      </c>
      <c r="F427" t="e">
        <f t="shared" si="19"/>
        <v>#REF!</v>
      </c>
      <c r="G427" t="e">
        <f t="shared" si="20"/>
        <v>#REF!</v>
      </c>
    </row>
    <row r="428" spans="1:7" x14ac:dyDescent="0.3">
      <c r="A428" t="e">
        <f>IF(#REF!="","",#REF!)</f>
        <v>#REF!</v>
      </c>
      <c r="B428" t="e">
        <f>IF(A428="","",#REF!)</f>
        <v>#REF!</v>
      </c>
      <c r="C428" t="e">
        <f>IF(A428="","",#REF!)</f>
        <v>#REF!</v>
      </c>
      <c r="D428" t="e">
        <f>IF(A428="","",#REF!)</f>
        <v>#REF!</v>
      </c>
      <c r="E428" t="e">
        <f t="shared" si="18"/>
        <v>#REF!</v>
      </c>
      <c r="F428" t="e">
        <f t="shared" si="19"/>
        <v>#REF!</v>
      </c>
      <c r="G428" t="e">
        <f t="shared" si="20"/>
        <v>#REF!</v>
      </c>
    </row>
    <row r="429" spans="1:7" x14ac:dyDescent="0.3">
      <c r="A429" t="e">
        <f>IF(#REF!="","",#REF!)</f>
        <v>#REF!</v>
      </c>
      <c r="B429" t="e">
        <f>IF(A429="","",#REF!)</f>
        <v>#REF!</v>
      </c>
      <c r="C429" t="e">
        <f>IF(A429="","",#REF!)</f>
        <v>#REF!</v>
      </c>
      <c r="D429" t="e">
        <f>IF(A429="","",#REF!)</f>
        <v>#REF!</v>
      </c>
      <c r="E429" t="e">
        <f t="shared" si="18"/>
        <v>#REF!</v>
      </c>
      <c r="F429" t="e">
        <f t="shared" si="19"/>
        <v>#REF!</v>
      </c>
      <c r="G429" t="e">
        <f t="shared" si="20"/>
        <v>#REF!</v>
      </c>
    </row>
    <row r="430" spans="1:7" x14ac:dyDescent="0.3">
      <c r="A430" t="e">
        <f>IF(#REF!="","",#REF!)</f>
        <v>#REF!</v>
      </c>
      <c r="B430" t="e">
        <f>IF(A430="","",#REF!)</f>
        <v>#REF!</v>
      </c>
      <c r="C430" t="e">
        <f>IF(A430="","",#REF!)</f>
        <v>#REF!</v>
      </c>
      <c r="D430" t="e">
        <f>IF(A430="","",#REF!)</f>
        <v>#REF!</v>
      </c>
      <c r="E430" t="e">
        <f t="shared" si="18"/>
        <v>#REF!</v>
      </c>
      <c r="F430" t="e">
        <f t="shared" si="19"/>
        <v>#REF!</v>
      </c>
      <c r="G430" t="e">
        <f t="shared" si="20"/>
        <v>#REF!</v>
      </c>
    </row>
    <row r="431" spans="1:7" x14ac:dyDescent="0.3">
      <c r="A431" t="e">
        <f>IF(#REF!="","",#REF!)</f>
        <v>#REF!</v>
      </c>
      <c r="B431" t="e">
        <f>IF(A431="","",#REF!)</f>
        <v>#REF!</v>
      </c>
      <c r="C431" t="e">
        <f>IF(A431="","",#REF!)</f>
        <v>#REF!</v>
      </c>
      <c r="D431" t="e">
        <f>IF(A431="","",#REF!)</f>
        <v>#REF!</v>
      </c>
      <c r="E431" t="e">
        <f t="shared" si="18"/>
        <v>#REF!</v>
      </c>
      <c r="F431" t="e">
        <f t="shared" si="19"/>
        <v>#REF!</v>
      </c>
      <c r="G431" t="e">
        <f t="shared" si="20"/>
        <v>#REF!</v>
      </c>
    </row>
    <row r="432" spans="1:7" x14ac:dyDescent="0.3">
      <c r="A432" t="e">
        <f>IF(#REF!="","",#REF!)</f>
        <v>#REF!</v>
      </c>
      <c r="B432" t="e">
        <f>IF(A432="","",#REF!)</f>
        <v>#REF!</v>
      </c>
      <c r="C432" t="e">
        <f>IF(A432="","",#REF!)</f>
        <v>#REF!</v>
      </c>
      <c r="D432" t="e">
        <f>IF(A432="","",#REF!)</f>
        <v>#REF!</v>
      </c>
      <c r="E432" t="e">
        <f t="shared" si="18"/>
        <v>#REF!</v>
      </c>
      <c r="F432" t="e">
        <f t="shared" si="19"/>
        <v>#REF!</v>
      </c>
      <c r="G432" t="e">
        <f t="shared" si="20"/>
        <v>#REF!</v>
      </c>
    </row>
    <row r="433" spans="1:7" x14ac:dyDescent="0.3">
      <c r="A433" t="e">
        <f>IF(#REF!="","",#REF!)</f>
        <v>#REF!</v>
      </c>
      <c r="B433" t="e">
        <f>IF(A433="","",#REF!)</f>
        <v>#REF!</v>
      </c>
      <c r="C433" t="e">
        <f>IF(A433="","",#REF!)</f>
        <v>#REF!</v>
      </c>
      <c r="D433" t="e">
        <f>IF(A433="","",#REF!)</f>
        <v>#REF!</v>
      </c>
      <c r="E433" t="e">
        <f t="shared" si="18"/>
        <v>#REF!</v>
      </c>
      <c r="F433" t="e">
        <f t="shared" si="19"/>
        <v>#REF!</v>
      </c>
      <c r="G433" t="e">
        <f t="shared" si="20"/>
        <v>#REF!</v>
      </c>
    </row>
    <row r="434" spans="1:7" x14ac:dyDescent="0.3">
      <c r="A434" t="e">
        <f>IF(#REF!="","",#REF!)</f>
        <v>#REF!</v>
      </c>
      <c r="B434" t="e">
        <f>IF(A434="","",#REF!)</f>
        <v>#REF!</v>
      </c>
      <c r="C434" t="e">
        <f>IF(A434="","",#REF!)</f>
        <v>#REF!</v>
      </c>
      <c r="D434" t="e">
        <f>IF(A434="","",#REF!)</f>
        <v>#REF!</v>
      </c>
      <c r="E434" t="e">
        <f t="shared" si="18"/>
        <v>#REF!</v>
      </c>
      <c r="F434" t="e">
        <f t="shared" si="19"/>
        <v>#REF!</v>
      </c>
      <c r="G434" t="e">
        <f t="shared" si="20"/>
        <v>#REF!</v>
      </c>
    </row>
    <row r="435" spans="1:7" x14ac:dyDescent="0.3">
      <c r="A435" t="e">
        <f>IF(#REF!="","",#REF!)</f>
        <v>#REF!</v>
      </c>
      <c r="B435" t="e">
        <f>IF(A435="","",#REF!)</f>
        <v>#REF!</v>
      </c>
      <c r="C435" t="e">
        <f>IF(A435="","",#REF!)</f>
        <v>#REF!</v>
      </c>
      <c r="D435" t="e">
        <f>IF(A435="","",#REF!)</f>
        <v>#REF!</v>
      </c>
      <c r="E435" t="e">
        <f t="shared" si="18"/>
        <v>#REF!</v>
      </c>
      <c r="F435" t="e">
        <f t="shared" si="19"/>
        <v>#REF!</v>
      </c>
      <c r="G435" t="e">
        <f t="shared" si="20"/>
        <v>#REF!</v>
      </c>
    </row>
    <row r="436" spans="1:7" x14ac:dyDescent="0.3">
      <c r="A436" t="e">
        <f>IF(#REF!="","",#REF!)</f>
        <v>#REF!</v>
      </c>
      <c r="B436" t="e">
        <f>IF(A436="","",#REF!)</f>
        <v>#REF!</v>
      </c>
      <c r="C436" t="e">
        <f>IF(A436="","",#REF!)</f>
        <v>#REF!</v>
      </c>
      <c r="D436" t="e">
        <f>IF(A436="","",#REF!)</f>
        <v>#REF!</v>
      </c>
      <c r="E436" t="e">
        <f t="shared" si="18"/>
        <v>#REF!</v>
      </c>
      <c r="F436" t="e">
        <f t="shared" si="19"/>
        <v>#REF!</v>
      </c>
      <c r="G436" t="e">
        <f t="shared" si="20"/>
        <v>#REF!</v>
      </c>
    </row>
    <row r="437" spans="1:7" x14ac:dyDescent="0.3">
      <c r="A437" t="e">
        <f>IF(#REF!="","",#REF!)</f>
        <v>#REF!</v>
      </c>
      <c r="B437" t="e">
        <f>IF(A437="","",#REF!)</f>
        <v>#REF!</v>
      </c>
      <c r="C437" t="e">
        <f>IF(A437="","",#REF!)</f>
        <v>#REF!</v>
      </c>
      <c r="D437" t="e">
        <f>IF(A437="","",#REF!)</f>
        <v>#REF!</v>
      </c>
      <c r="E437" t="e">
        <f t="shared" si="18"/>
        <v>#REF!</v>
      </c>
      <c r="F437" t="e">
        <f t="shared" si="19"/>
        <v>#REF!</v>
      </c>
      <c r="G437" t="e">
        <f t="shared" si="20"/>
        <v>#REF!</v>
      </c>
    </row>
    <row r="438" spans="1:7" x14ac:dyDescent="0.3">
      <c r="A438" t="e">
        <f>IF(#REF!="","",#REF!)</f>
        <v>#REF!</v>
      </c>
      <c r="B438" t="e">
        <f>IF(A438="","",#REF!)</f>
        <v>#REF!</v>
      </c>
      <c r="C438" t="e">
        <f>IF(A438="","",#REF!)</f>
        <v>#REF!</v>
      </c>
      <c r="D438" t="e">
        <f>IF(A438="","",#REF!)</f>
        <v>#REF!</v>
      </c>
      <c r="E438" t="e">
        <f t="shared" si="18"/>
        <v>#REF!</v>
      </c>
      <c r="F438" t="e">
        <f t="shared" si="19"/>
        <v>#REF!</v>
      </c>
      <c r="G438" t="e">
        <f t="shared" si="20"/>
        <v>#REF!</v>
      </c>
    </row>
    <row r="439" spans="1:7" x14ac:dyDescent="0.3">
      <c r="A439" t="e">
        <f>IF(#REF!="","",#REF!)</f>
        <v>#REF!</v>
      </c>
      <c r="B439" t="e">
        <f>IF(A439="","",#REF!)</f>
        <v>#REF!</v>
      </c>
      <c r="C439" t="e">
        <f>IF(A439="","",#REF!)</f>
        <v>#REF!</v>
      </c>
      <c r="D439" t="e">
        <f>IF(A439="","",#REF!)</f>
        <v>#REF!</v>
      </c>
      <c r="E439" t="e">
        <f t="shared" si="18"/>
        <v>#REF!</v>
      </c>
      <c r="F439" t="e">
        <f t="shared" si="19"/>
        <v>#REF!</v>
      </c>
      <c r="G439" t="e">
        <f t="shared" si="20"/>
        <v>#REF!</v>
      </c>
    </row>
    <row r="440" spans="1:7" x14ac:dyDescent="0.3">
      <c r="A440" t="e">
        <f>IF(#REF!="","",#REF!)</f>
        <v>#REF!</v>
      </c>
      <c r="B440" t="e">
        <f>IF(A440="","",#REF!)</f>
        <v>#REF!</v>
      </c>
      <c r="C440" t="e">
        <f>IF(A440="","",#REF!)</f>
        <v>#REF!</v>
      </c>
      <c r="D440" t="e">
        <f>IF(A440="","",#REF!)</f>
        <v>#REF!</v>
      </c>
      <c r="E440" t="e">
        <f t="shared" si="18"/>
        <v>#REF!</v>
      </c>
      <c r="F440" t="e">
        <f t="shared" si="19"/>
        <v>#REF!</v>
      </c>
      <c r="G440" t="e">
        <f t="shared" si="20"/>
        <v>#REF!</v>
      </c>
    </row>
    <row r="441" spans="1:7" x14ac:dyDescent="0.3">
      <c r="A441" t="e">
        <f>IF(#REF!="","",#REF!)</f>
        <v>#REF!</v>
      </c>
      <c r="B441" t="e">
        <f>IF(A441="","",#REF!)</f>
        <v>#REF!</v>
      </c>
      <c r="C441" t="e">
        <f>IF(A441="","",#REF!)</f>
        <v>#REF!</v>
      </c>
      <c r="D441" t="e">
        <f>IF(A441="","",#REF!)</f>
        <v>#REF!</v>
      </c>
      <c r="E441" t="e">
        <f t="shared" si="18"/>
        <v>#REF!</v>
      </c>
      <c r="F441" t="e">
        <f t="shared" si="19"/>
        <v>#REF!</v>
      </c>
      <c r="G441" t="e">
        <f t="shared" si="20"/>
        <v>#REF!</v>
      </c>
    </row>
    <row r="442" spans="1:7" x14ac:dyDescent="0.3">
      <c r="A442" t="e">
        <f>IF(#REF!="","",#REF!)</f>
        <v>#REF!</v>
      </c>
      <c r="B442" t="e">
        <f>IF(A442="","",#REF!)</f>
        <v>#REF!</v>
      </c>
      <c r="C442" t="e">
        <f>IF(A442="","",#REF!)</f>
        <v>#REF!</v>
      </c>
      <c r="D442" t="e">
        <f>IF(A442="","",#REF!)</f>
        <v>#REF!</v>
      </c>
      <c r="E442" t="e">
        <f t="shared" si="18"/>
        <v>#REF!</v>
      </c>
      <c r="F442" t="e">
        <f t="shared" si="19"/>
        <v>#REF!</v>
      </c>
      <c r="G442" t="e">
        <f t="shared" si="20"/>
        <v>#REF!</v>
      </c>
    </row>
    <row r="443" spans="1:7" x14ac:dyDescent="0.3">
      <c r="A443" t="e">
        <f>IF(#REF!="","",#REF!)</f>
        <v>#REF!</v>
      </c>
      <c r="B443" t="e">
        <f>IF(A443="","",#REF!)</f>
        <v>#REF!</v>
      </c>
      <c r="C443" t="e">
        <f>IF(A443="","",#REF!)</f>
        <v>#REF!</v>
      </c>
      <c r="D443" t="e">
        <f>IF(A443="","",#REF!)</f>
        <v>#REF!</v>
      </c>
      <c r="E443" t="e">
        <f t="shared" si="18"/>
        <v>#REF!</v>
      </c>
      <c r="F443" t="e">
        <f t="shared" si="19"/>
        <v>#REF!</v>
      </c>
      <c r="G443" t="e">
        <f t="shared" si="20"/>
        <v>#REF!</v>
      </c>
    </row>
    <row r="444" spans="1:7" x14ac:dyDescent="0.3">
      <c r="A444" t="e">
        <f>IF(#REF!="","",#REF!)</f>
        <v>#REF!</v>
      </c>
      <c r="B444" t="e">
        <f>IF(A444="","",#REF!)</f>
        <v>#REF!</v>
      </c>
      <c r="C444" t="e">
        <f>IF(A444="","",#REF!)</f>
        <v>#REF!</v>
      </c>
      <c r="D444" t="e">
        <f>IF(A444="","",#REF!)</f>
        <v>#REF!</v>
      </c>
      <c r="E444" t="e">
        <f t="shared" si="18"/>
        <v>#REF!</v>
      </c>
      <c r="F444" t="e">
        <f t="shared" si="19"/>
        <v>#REF!</v>
      </c>
      <c r="G444" t="e">
        <f t="shared" si="20"/>
        <v>#REF!</v>
      </c>
    </row>
    <row r="445" spans="1:7" x14ac:dyDescent="0.3">
      <c r="A445" t="e">
        <f>IF(#REF!="","",#REF!)</f>
        <v>#REF!</v>
      </c>
      <c r="B445" t="e">
        <f>IF(A445="","",#REF!)</f>
        <v>#REF!</v>
      </c>
      <c r="C445" t="e">
        <f>IF(A445="","",#REF!)</f>
        <v>#REF!</v>
      </c>
      <c r="D445" t="e">
        <f>IF(A445="","",#REF!)</f>
        <v>#REF!</v>
      </c>
      <c r="E445" t="e">
        <f t="shared" si="18"/>
        <v>#REF!</v>
      </c>
      <c r="F445" t="e">
        <f t="shared" si="19"/>
        <v>#REF!</v>
      </c>
      <c r="G445" t="e">
        <f t="shared" si="20"/>
        <v>#REF!</v>
      </c>
    </row>
    <row r="446" spans="1:7" x14ac:dyDescent="0.3">
      <c r="A446" t="e">
        <f>IF(#REF!="","",#REF!)</f>
        <v>#REF!</v>
      </c>
      <c r="B446" t="e">
        <f>IF(A446="","",#REF!)</f>
        <v>#REF!</v>
      </c>
      <c r="C446" t="e">
        <f>IF(A446="","",#REF!)</f>
        <v>#REF!</v>
      </c>
      <c r="D446" t="e">
        <f>IF(A446="","",#REF!)</f>
        <v>#REF!</v>
      </c>
      <c r="E446" t="e">
        <f t="shared" si="18"/>
        <v>#REF!</v>
      </c>
      <c r="F446" t="e">
        <f t="shared" si="19"/>
        <v>#REF!</v>
      </c>
      <c r="G446" t="e">
        <f t="shared" si="20"/>
        <v>#REF!</v>
      </c>
    </row>
    <row r="447" spans="1:7" x14ac:dyDescent="0.3">
      <c r="A447" t="e">
        <f>IF(#REF!="","",#REF!)</f>
        <v>#REF!</v>
      </c>
      <c r="B447" t="e">
        <f>IF(A447="","",#REF!)</f>
        <v>#REF!</v>
      </c>
      <c r="C447" t="e">
        <f>IF(A447="","",#REF!)</f>
        <v>#REF!</v>
      </c>
      <c r="D447" t="e">
        <f>IF(A447="","",#REF!)</f>
        <v>#REF!</v>
      </c>
      <c r="E447" t="e">
        <f t="shared" si="18"/>
        <v>#REF!</v>
      </c>
      <c r="F447" t="e">
        <f t="shared" si="19"/>
        <v>#REF!</v>
      </c>
      <c r="G447" t="e">
        <f t="shared" si="20"/>
        <v>#REF!</v>
      </c>
    </row>
    <row r="448" spans="1:7" x14ac:dyDescent="0.3">
      <c r="A448" t="e">
        <f>IF(#REF!="","",#REF!)</f>
        <v>#REF!</v>
      </c>
      <c r="B448" t="e">
        <f>IF(A448="","",#REF!)</f>
        <v>#REF!</v>
      </c>
      <c r="C448" t="e">
        <f>IF(A448="","",#REF!)</f>
        <v>#REF!</v>
      </c>
      <c r="D448" t="e">
        <f>IF(A448="","",#REF!)</f>
        <v>#REF!</v>
      </c>
      <c r="E448" t="e">
        <f t="shared" si="18"/>
        <v>#REF!</v>
      </c>
      <c r="F448" t="e">
        <f t="shared" si="19"/>
        <v>#REF!</v>
      </c>
      <c r="G448" t="e">
        <f t="shared" si="20"/>
        <v>#REF!</v>
      </c>
    </row>
    <row r="449" spans="1:7" x14ac:dyDescent="0.3">
      <c r="A449" t="e">
        <f>IF(#REF!="","",#REF!)</f>
        <v>#REF!</v>
      </c>
      <c r="B449" t="e">
        <f>IF(A449="","",#REF!)</f>
        <v>#REF!</v>
      </c>
      <c r="C449" t="e">
        <f>IF(A449="","",#REF!)</f>
        <v>#REF!</v>
      </c>
      <c r="D449" t="e">
        <f>IF(A449="","",#REF!)</f>
        <v>#REF!</v>
      </c>
      <c r="E449" t="e">
        <f t="shared" si="18"/>
        <v>#REF!</v>
      </c>
      <c r="F449" t="e">
        <f t="shared" si="19"/>
        <v>#REF!</v>
      </c>
      <c r="G449" t="e">
        <f t="shared" si="20"/>
        <v>#REF!</v>
      </c>
    </row>
    <row r="450" spans="1:7" x14ac:dyDescent="0.3">
      <c r="A450" t="e">
        <f>IF(#REF!="","",#REF!)</f>
        <v>#REF!</v>
      </c>
      <c r="B450" t="e">
        <f>IF(A450="","",#REF!)</f>
        <v>#REF!</v>
      </c>
      <c r="C450" t="e">
        <f>IF(A450="","",#REF!)</f>
        <v>#REF!</v>
      </c>
      <c r="D450" t="e">
        <f>IF(A450="","",#REF!)</f>
        <v>#REF!</v>
      </c>
      <c r="E450" t="e">
        <f t="shared" si="18"/>
        <v>#REF!</v>
      </c>
      <c r="F450" t="e">
        <f t="shared" si="19"/>
        <v>#REF!</v>
      </c>
      <c r="G450" t="e">
        <f t="shared" si="20"/>
        <v>#REF!</v>
      </c>
    </row>
    <row r="451" spans="1:7" x14ac:dyDescent="0.3">
      <c r="A451" t="e">
        <f>IF(#REF!="","",#REF!)</f>
        <v>#REF!</v>
      </c>
      <c r="B451" t="e">
        <f>IF(A451="","",#REF!)</f>
        <v>#REF!</v>
      </c>
      <c r="C451" t="e">
        <f>IF(A451="","",#REF!)</f>
        <v>#REF!</v>
      </c>
      <c r="D451" t="e">
        <f>IF(A451="","",#REF!)</f>
        <v>#REF!</v>
      </c>
      <c r="E451" t="e">
        <f t="shared" si="18"/>
        <v>#REF!</v>
      </c>
      <c r="F451" t="e">
        <f t="shared" si="19"/>
        <v>#REF!</v>
      </c>
      <c r="G451" t="e">
        <f t="shared" si="20"/>
        <v>#REF!</v>
      </c>
    </row>
    <row r="452" spans="1:7" x14ac:dyDescent="0.3">
      <c r="A452" t="e">
        <f>IF(#REF!="","",#REF!)</f>
        <v>#REF!</v>
      </c>
      <c r="B452" t="e">
        <f>IF(A452="","",#REF!)</f>
        <v>#REF!</v>
      </c>
      <c r="C452" t="e">
        <f>IF(A452="","",#REF!)</f>
        <v>#REF!</v>
      </c>
      <c r="D452" t="e">
        <f>IF(A452="","",#REF!)</f>
        <v>#REF!</v>
      </c>
      <c r="E452" t="e">
        <f t="shared" si="18"/>
        <v>#REF!</v>
      </c>
      <c r="F452" t="e">
        <f t="shared" si="19"/>
        <v>#REF!</v>
      </c>
      <c r="G452" t="e">
        <f t="shared" si="20"/>
        <v>#REF!</v>
      </c>
    </row>
    <row r="453" spans="1:7" x14ac:dyDescent="0.3">
      <c r="A453" t="e">
        <f>IF(#REF!="","",#REF!)</f>
        <v>#REF!</v>
      </c>
      <c r="B453" t="e">
        <f>IF(A453="","",#REF!)</f>
        <v>#REF!</v>
      </c>
      <c r="C453" t="e">
        <f>IF(A453="","",#REF!)</f>
        <v>#REF!</v>
      </c>
      <c r="D453" t="e">
        <f>IF(A453="","",#REF!)</f>
        <v>#REF!</v>
      </c>
      <c r="E453" t="e">
        <f t="shared" ref="E453:E504" si="21">IF(A453="","",IF(COUNTIF($A$5:$A$504,A453)&gt;1,"Duplicate","Unique"))</f>
        <v>#REF!</v>
      </c>
      <c r="F453" t="e">
        <f t="shared" ref="F453:F504" si="22">IF(A453="","",IF(C453="","Missing Date","Date Present"))</f>
        <v>#REF!</v>
      </c>
      <c r="G453" t="e">
        <f t="shared" ref="G453:G516" si="23">IF(A453="","",IF(OR(E453="Duplicate",F453="Missing Date"),"Review","Pass"))</f>
        <v>#REF!</v>
      </c>
    </row>
    <row r="454" spans="1:7" x14ac:dyDescent="0.3">
      <c r="A454" t="e">
        <f>IF(#REF!="","",#REF!)</f>
        <v>#REF!</v>
      </c>
      <c r="B454" t="e">
        <f>IF(A454="","",#REF!)</f>
        <v>#REF!</v>
      </c>
      <c r="C454" t="e">
        <f>IF(A454="","",#REF!)</f>
        <v>#REF!</v>
      </c>
      <c r="D454" t="e">
        <f>IF(A454="","",#REF!)</f>
        <v>#REF!</v>
      </c>
      <c r="E454" t="e">
        <f t="shared" si="21"/>
        <v>#REF!</v>
      </c>
      <c r="F454" t="e">
        <f t="shared" si="22"/>
        <v>#REF!</v>
      </c>
      <c r="G454" t="e">
        <f t="shared" si="23"/>
        <v>#REF!</v>
      </c>
    </row>
    <row r="455" spans="1:7" x14ac:dyDescent="0.3">
      <c r="A455" t="e">
        <f>IF(#REF!="","",#REF!)</f>
        <v>#REF!</v>
      </c>
      <c r="B455" t="e">
        <f>IF(A455="","",#REF!)</f>
        <v>#REF!</v>
      </c>
      <c r="C455" t="e">
        <f>IF(A455="","",#REF!)</f>
        <v>#REF!</v>
      </c>
      <c r="D455" t="e">
        <f>IF(A455="","",#REF!)</f>
        <v>#REF!</v>
      </c>
      <c r="E455" t="e">
        <f t="shared" si="21"/>
        <v>#REF!</v>
      </c>
      <c r="F455" t="e">
        <f t="shared" si="22"/>
        <v>#REF!</v>
      </c>
      <c r="G455" t="e">
        <f t="shared" si="23"/>
        <v>#REF!</v>
      </c>
    </row>
    <row r="456" spans="1:7" x14ac:dyDescent="0.3">
      <c r="A456" t="e">
        <f>IF(#REF!="","",#REF!)</f>
        <v>#REF!</v>
      </c>
      <c r="B456" t="e">
        <f>IF(A456="","",#REF!)</f>
        <v>#REF!</v>
      </c>
      <c r="C456" t="e">
        <f>IF(A456="","",#REF!)</f>
        <v>#REF!</v>
      </c>
      <c r="D456" t="e">
        <f>IF(A456="","",#REF!)</f>
        <v>#REF!</v>
      </c>
      <c r="E456" t="e">
        <f t="shared" si="21"/>
        <v>#REF!</v>
      </c>
      <c r="F456" t="e">
        <f t="shared" si="22"/>
        <v>#REF!</v>
      </c>
      <c r="G456" t="e">
        <f t="shared" si="23"/>
        <v>#REF!</v>
      </c>
    </row>
    <row r="457" spans="1:7" x14ac:dyDescent="0.3">
      <c r="A457" t="e">
        <f>IF(#REF!="","",#REF!)</f>
        <v>#REF!</v>
      </c>
      <c r="B457" t="e">
        <f>IF(A457="","",#REF!)</f>
        <v>#REF!</v>
      </c>
      <c r="C457" t="e">
        <f>IF(A457="","",#REF!)</f>
        <v>#REF!</v>
      </c>
      <c r="D457" t="e">
        <f>IF(A457="","",#REF!)</f>
        <v>#REF!</v>
      </c>
      <c r="E457" t="e">
        <f t="shared" si="21"/>
        <v>#REF!</v>
      </c>
      <c r="F457" t="e">
        <f t="shared" si="22"/>
        <v>#REF!</v>
      </c>
      <c r="G457" t="e">
        <f t="shared" si="23"/>
        <v>#REF!</v>
      </c>
    </row>
    <row r="458" spans="1:7" x14ac:dyDescent="0.3">
      <c r="A458" t="e">
        <f>IF(#REF!="","",#REF!)</f>
        <v>#REF!</v>
      </c>
      <c r="B458" t="e">
        <f>IF(A458="","",#REF!)</f>
        <v>#REF!</v>
      </c>
      <c r="C458" t="e">
        <f>IF(A458="","",#REF!)</f>
        <v>#REF!</v>
      </c>
      <c r="D458" t="e">
        <f>IF(A458="","",#REF!)</f>
        <v>#REF!</v>
      </c>
      <c r="E458" t="e">
        <f t="shared" si="21"/>
        <v>#REF!</v>
      </c>
      <c r="F458" t="e">
        <f t="shared" si="22"/>
        <v>#REF!</v>
      </c>
      <c r="G458" t="e">
        <f t="shared" si="23"/>
        <v>#REF!</v>
      </c>
    </row>
    <row r="459" spans="1:7" x14ac:dyDescent="0.3">
      <c r="A459" t="e">
        <f>IF(#REF!="","",#REF!)</f>
        <v>#REF!</v>
      </c>
      <c r="B459" t="e">
        <f>IF(A459="","",#REF!)</f>
        <v>#REF!</v>
      </c>
      <c r="C459" t="e">
        <f>IF(A459="","",#REF!)</f>
        <v>#REF!</v>
      </c>
      <c r="D459" t="e">
        <f>IF(A459="","",#REF!)</f>
        <v>#REF!</v>
      </c>
      <c r="E459" t="e">
        <f t="shared" si="21"/>
        <v>#REF!</v>
      </c>
      <c r="F459" t="e">
        <f t="shared" si="22"/>
        <v>#REF!</v>
      </c>
      <c r="G459" t="e">
        <f t="shared" si="23"/>
        <v>#REF!</v>
      </c>
    </row>
    <row r="460" spans="1:7" x14ac:dyDescent="0.3">
      <c r="A460" t="e">
        <f>IF(#REF!="","",#REF!)</f>
        <v>#REF!</v>
      </c>
      <c r="B460" t="e">
        <f>IF(A460="","",#REF!)</f>
        <v>#REF!</v>
      </c>
      <c r="C460" t="e">
        <f>IF(A460="","",#REF!)</f>
        <v>#REF!</v>
      </c>
      <c r="D460" t="e">
        <f>IF(A460="","",#REF!)</f>
        <v>#REF!</v>
      </c>
      <c r="E460" t="e">
        <f t="shared" si="21"/>
        <v>#REF!</v>
      </c>
      <c r="F460" t="e">
        <f t="shared" si="22"/>
        <v>#REF!</v>
      </c>
      <c r="G460" t="e">
        <f t="shared" si="23"/>
        <v>#REF!</v>
      </c>
    </row>
    <row r="461" spans="1:7" x14ac:dyDescent="0.3">
      <c r="A461" t="e">
        <f>IF(#REF!="","",#REF!)</f>
        <v>#REF!</v>
      </c>
      <c r="B461" t="e">
        <f>IF(A461="","",#REF!)</f>
        <v>#REF!</v>
      </c>
      <c r="C461" t="e">
        <f>IF(A461="","",#REF!)</f>
        <v>#REF!</v>
      </c>
      <c r="D461" t="e">
        <f>IF(A461="","",#REF!)</f>
        <v>#REF!</v>
      </c>
      <c r="E461" t="e">
        <f t="shared" si="21"/>
        <v>#REF!</v>
      </c>
      <c r="F461" t="e">
        <f t="shared" si="22"/>
        <v>#REF!</v>
      </c>
      <c r="G461" t="e">
        <f t="shared" si="23"/>
        <v>#REF!</v>
      </c>
    </row>
    <row r="462" spans="1:7" x14ac:dyDescent="0.3">
      <c r="A462" t="e">
        <f>IF(#REF!="","",#REF!)</f>
        <v>#REF!</v>
      </c>
      <c r="B462" t="e">
        <f>IF(A462="","",#REF!)</f>
        <v>#REF!</v>
      </c>
      <c r="C462" t="e">
        <f>IF(A462="","",#REF!)</f>
        <v>#REF!</v>
      </c>
      <c r="D462" t="e">
        <f>IF(A462="","",#REF!)</f>
        <v>#REF!</v>
      </c>
      <c r="E462" t="e">
        <f t="shared" si="21"/>
        <v>#REF!</v>
      </c>
      <c r="F462" t="e">
        <f t="shared" si="22"/>
        <v>#REF!</v>
      </c>
      <c r="G462" t="e">
        <f t="shared" si="23"/>
        <v>#REF!</v>
      </c>
    </row>
    <row r="463" spans="1:7" x14ac:dyDescent="0.3">
      <c r="A463" t="e">
        <f>IF(#REF!="","",#REF!)</f>
        <v>#REF!</v>
      </c>
      <c r="B463" t="e">
        <f>IF(A463="","",#REF!)</f>
        <v>#REF!</v>
      </c>
      <c r="C463" t="e">
        <f>IF(A463="","",#REF!)</f>
        <v>#REF!</v>
      </c>
      <c r="D463" t="e">
        <f>IF(A463="","",#REF!)</f>
        <v>#REF!</v>
      </c>
      <c r="E463" t="e">
        <f t="shared" si="21"/>
        <v>#REF!</v>
      </c>
      <c r="F463" t="e">
        <f t="shared" si="22"/>
        <v>#REF!</v>
      </c>
      <c r="G463" t="e">
        <f t="shared" si="23"/>
        <v>#REF!</v>
      </c>
    </row>
    <row r="464" spans="1:7" x14ac:dyDescent="0.3">
      <c r="A464" t="e">
        <f>IF(#REF!="","",#REF!)</f>
        <v>#REF!</v>
      </c>
      <c r="B464" t="e">
        <f>IF(A464="","",#REF!)</f>
        <v>#REF!</v>
      </c>
      <c r="C464" t="e">
        <f>IF(A464="","",#REF!)</f>
        <v>#REF!</v>
      </c>
      <c r="D464" t="e">
        <f>IF(A464="","",#REF!)</f>
        <v>#REF!</v>
      </c>
      <c r="E464" t="e">
        <f t="shared" si="21"/>
        <v>#REF!</v>
      </c>
      <c r="F464" t="e">
        <f t="shared" si="22"/>
        <v>#REF!</v>
      </c>
      <c r="G464" t="e">
        <f t="shared" si="23"/>
        <v>#REF!</v>
      </c>
    </row>
    <row r="465" spans="1:7" x14ac:dyDescent="0.3">
      <c r="A465" t="e">
        <f>IF(#REF!="","",#REF!)</f>
        <v>#REF!</v>
      </c>
      <c r="B465" t="e">
        <f>IF(A465="","",#REF!)</f>
        <v>#REF!</v>
      </c>
      <c r="C465" t="e">
        <f>IF(A465="","",#REF!)</f>
        <v>#REF!</v>
      </c>
      <c r="D465" t="e">
        <f>IF(A465="","",#REF!)</f>
        <v>#REF!</v>
      </c>
      <c r="E465" t="e">
        <f t="shared" si="21"/>
        <v>#REF!</v>
      </c>
      <c r="F465" t="e">
        <f t="shared" si="22"/>
        <v>#REF!</v>
      </c>
      <c r="G465" t="e">
        <f t="shared" si="23"/>
        <v>#REF!</v>
      </c>
    </row>
    <row r="466" spans="1:7" x14ac:dyDescent="0.3">
      <c r="A466" t="e">
        <f>IF(#REF!="","",#REF!)</f>
        <v>#REF!</v>
      </c>
      <c r="B466" t="e">
        <f>IF(A466="","",#REF!)</f>
        <v>#REF!</v>
      </c>
      <c r="C466" t="e">
        <f>IF(A466="","",#REF!)</f>
        <v>#REF!</v>
      </c>
      <c r="D466" t="e">
        <f>IF(A466="","",#REF!)</f>
        <v>#REF!</v>
      </c>
      <c r="E466" t="e">
        <f t="shared" si="21"/>
        <v>#REF!</v>
      </c>
      <c r="F466" t="e">
        <f t="shared" si="22"/>
        <v>#REF!</v>
      </c>
      <c r="G466" t="e">
        <f t="shared" si="23"/>
        <v>#REF!</v>
      </c>
    </row>
    <row r="467" spans="1:7" x14ac:dyDescent="0.3">
      <c r="A467" t="e">
        <f>IF(#REF!="","",#REF!)</f>
        <v>#REF!</v>
      </c>
      <c r="B467" t="e">
        <f>IF(A467="","",#REF!)</f>
        <v>#REF!</v>
      </c>
      <c r="C467" t="e">
        <f>IF(A467="","",#REF!)</f>
        <v>#REF!</v>
      </c>
      <c r="D467" t="e">
        <f>IF(A467="","",#REF!)</f>
        <v>#REF!</v>
      </c>
      <c r="E467" t="e">
        <f t="shared" si="21"/>
        <v>#REF!</v>
      </c>
      <c r="F467" t="e">
        <f t="shared" si="22"/>
        <v>#REF!</v>
      </c>
      <c r="G467" t="e">
        <f t="shared" si="23"/>
        <v>#REF!</v>
      </c>
    </row>
    <row r="468" spans="1:7" x14ac:dyDescent="0.3">
      <c r="A468" t="e">
        <f>IF(#REF!="","",#REF!)</f>
        <v>#REF!</v>
      </c>
      <c r="B468" t="e">
        <f>IF(A468="","",#REF!)</f>
        <v>#REF!</v>
      </c>
      <c r="C468" t="e">
        <f>IF(A468="","",#REF!)</f>
        <v>#REF!</v>
      </c>
      <c r="D468" t="e">
        <f>IF(A468="","",#REF!)</f>
        <v>#REF!</v>
      </c>
      <c r="E468" t="e">
        <f t="shared" si="21"/>
        <v>#REF!</v>
      </c>
      <c r="F468" t="e">
        <f t="shared" si="22"/>
        <v>#REF!</v>
      </c>
      <c r="G468" t="e">
        <f t="shared" si="23"/>
        <v>#REF!</v>
      </c>
    </row>
    <row r="469" spans="1:7" x14ac:dyDescent="0.3">
      <c r="A469" t="e">
        <f>IF(#REF!="","",#REF!)</f>
        <v>#REF!</v>
      </c>
      <c r="B469" t="e">
        <f>IF(A469="","",#REF!)</f>
        <v>#REF!</v>
      </c>
      <c r="C469" t="e">
        <f>IF(A469="","",#REF!)</f>
        <v>#REF!</v>
      </c>
      <c r="D469" t="e">
        <f>IF(A469="","",#REF!)</f>
        <v>#REF!</v>
      </c>
      <c r="E469" t="e">
        <f t="shared" si="21"/>
        <v>#REF!</v>
      </c>
      <c r="F469" t="e">
        <f t="shared" si="22"/>
        <v>#REF!</v>
      </c>
      <c r="G469" t="e">
        <f t="shared" si="23"/>
        <v>#REF!</v>
      </c>
    </row>
    <row r="470" spans="1:7" x14ac:dyDescent="0.3">
      <c r="A470" t="e">
        <f>IF(#REF!="","",#REF!)</f>
        <v>#REF!</v>
      </c>
      <c r="B470" t="e">
        <f>IF(A470="","",#REF!)</f>
        <v>#REF!</v>
      </c>
      <c r="C470" t="e">
        <f>IF(A470="","",#REF!)</f>
        <v>#REF!</v>
      </c>
      <c r="D470" t="e">
        <f>IF(A470="","",#REF!)</f>
        <v>#REF!</v>
      </c>
      <c r="E470" t="e">
        <f t="shared" si="21"/>
        <v>#REF!</v>
      </c>
      <c r="F470" t="e">
        <f t="shared" si="22"/>
        <v>#REF!</v>
      </c>
      <c r="G470" t="e">
        <f t="shared" si="23"/>
        <v>#REF!</v>
      </c>
    </row>
    <row r="471" spans="1:7" x14ac:dyDescent="0.3">
      <c r="A471" t="e">
        <f>IF(#REF!="","",#REF!)</f>
        <v>#REF!</v>
      </c>
      <c r="B471" t="e">
        <f>IF(A471="","",#REF!)</f>
        <v>#REF!</v>
      </c>
      <c r="C471" t="e">
        <f>IF(A471="","",#REF!)</f>
        <v>#REF!</v>
      </c>
      <c r="D471" t="e">
        <f>IF(A471="","",#REF!)</f>
        <v>#REF!</v>
      </c>
      <c r="E471" t="e">
        <f t="shared" si="21"/>
        <v>#REF!</v>
      </c>
      <c r="F471" t="e">
        <f t="shared" si="22"/>
        <v>#REF!</v>
      </c>
      <c r="G471" t="e">
        <f t="shared" si="23"/>
        <v>#REF!</v>
      </c>
    </row>
    <row r="472" spans="1:7" x14ac:dyDescent="0.3">
      <c r="A472" t="e">
        <f>IF(#REF!="","",#REF!)</f>
        <v>#REF!</v>
      </c>
      <c r="B472" t="e">
        <f>IF(A472="","",#REF!)</f>
        <v>#REF!</v>
      </c>
      <c r="C472" t="e">
        <f>IF(A472="","",#REF!)</f>
        <v>#REF!</v>
      </c>
      <c r="D472" t="e">
        <f>IF(A472="","",#REF!)</f>
        <v>#REF!</v>
      </c>
      <c r="E472" t="e">
        <f t="shared" si="21"/>
        <v>#REF!</v>
      </c>
      <c r="F472" t="e">
        <f t="shared" si="22"/>
        <v>#REF!</v>
      </c>
      <c r="G472" t="e">
        <f t="shared" si="23"/>
        <v>#REF!</v>
      </c>
    </row>
    <row r="473" spans="1:7" x14ac:dyDescent="0.3">
      <c r="A473" t="e">
        <f>IF(#REF!="","",#REF!)</f>
        <v>#REF!</v>
      </c>
      <c r="B473" t="e">
        <f>IF(A473="","",#REF!)</f>
        <v>#REF!</v>
      </c>
      <c r="C473" t="e">
        <f>IF(A473="","",#REF!)</f>
        <v>#REF!</v>
      </c>
      <c r="D473" t="e">
        <f>IF(A473="","",#REF!)</f>
        <v>#REF!</v>
      </c>
      <c r="E473" t="e">
        <f t="shared" si="21"/>
        <v>#REF!</v>
      </c>
      <c r="F473" t="e">
        <f t="shared" si="22"/>
        <v>#REF!</v>
      </c>
      <c r="G473" t="e">
        <f t="shared" si="23"/>
        <v>#REF!</v>
      </c>
    </row>
    <row r="474" spans="1:7" x14ac:dyDescent="0.3">
      <c r="A474" t="e">
        <f>IF(#REF!="","",#REF!)</f>
        <v>#REF!</v>
      </c>
      <c r="B474" t="e">
        <f>IF(A474="","",#REF!)</f>
        <v>#REF!</v>
      </c>
      <c r="C474" t="e">
        <f>IF(A474="","",#REF!)</f>
        <v>#REF!</v>
      </c>
      <c r="D474" t="e">
        <f>IF(A474="","",#REF!)</f>
        <v>#REF!</v>
      </c>
      <c r="E474" t="e">
        <f t="shared" si="21"/>
        <v>#REF!</v>
      </c>
      <c r="F474" t="e">
        <f t="shared" si="22"/>
        <v>#REF!</v>
      </c>
      <c r="G474" t="e">
        <f t="shared" si="23"/>
        <v>#REF!</v>
      </c>
    </row>
    <row r="475" spans="1:7" x14ac:dyDescent="0.3">
      <c r="A475" t="e">
        <f>IF(#REF!="","",#REF!)</f>
        <v>#REF!</v>
      </c>
      <c r="B475" t="e">
        <f>IF(A475="","",#REF!)</f>
        <v>#REF!</v>
      </c>
      <c r="C475" t="e">
        <f>IF(A475="","",#REF!)</f>
        <v>#REF!</v>
      </c>
      <c r="D475" t="e">
        <f>IF(A475="","",#REF!)</f>
        <v>#REF!</v>
      </c>
      <c r="E475" t="e">
        <f t="shared" si="21"/>
        <v>#REF!</v>
      </c>
      <c r="F475" t="e">
        <f t="shared" si="22"/>
        <v>#REF!</v>
      </c>
      <c r="G475" t="e">
        <f t="shared" si="23"/>
        <v>#REF!</v>
      </c>
    </row>
    <row r="476" spans="1:7" x14ac:dyDescent="0.3">
      <c r="A476" t="e">
        <f>IF(#REF!="","",#REF!)</f>
        <v>#REF!</v>
      </c>
      <c r="B476" t="e">
        <f>IF(A476="","",#REF!)</f>
        <v>#REF!</v>
      </c>
      <c r="C476" t="e">
        <f>IF(A476="","",#REF!)</f>
        <v>#REF!</v>
      </c>
      <c r="D476" t="e">
        <f>IF(A476="","",#REF!)</f>
        <v>#REF!</v>
      </c>
      <c r="E476" t="e">
        <f t="shared" si="21"/>
        <v>#REF!</v>
      </c>
      <c r="F476" t="e">
        <f t="shared" si="22"/>
        <v>#REF!</v>
      </c>
      <c r="G476" t="e">
        <f t="shared" si="23"/>
        <v>#REF!</v>
      </c>
    </row>
    <row r="477" spans="1:7" x14ac:dyDescent="0.3">
      <c r="A477" t="e">
        <f>IF(#REF!="","",#REF!)</f>
        <v>#REF!</v>
      </c>
      <c r="B477" t="e">
        <f>IF(A477="","",#REF!)</f>
        <v>#REF!</v>
      </c>
      <c r="C477" t="e">
        <f>IF(A477="","",#REF!)</f>
        <v>#REF!</v>
      </c>
      <c r="D477" t="e">
        <f>IF(A477="","",#REF!)</f>
        <v>#REF!</v>
      </c>
      <c r="E477" t="e">
        <f t="shared" si="21"/>
        <v>#REF!</v>
      </c>
      <c r="F477" t="e">
        <f t="shared" si="22"/>
        <v>#REF!</v>
      </c>
      <c r="G477" t="e">
        <f t="shared" si="23"/>
        <v>#REF!</v>
      </c>
    </row>
    <row r="478" spans="1:7" x14ac:dyDescent="0.3">
      <c r="A478" t="e">
        <f>IF(#REF!="","",#REF!)</f>
        <v>#REF!</v>
      </c>
      <c r="B478" t="e">
        <f>IF(A478="","",#REF!)</f>
        <v>#REF!</v>
      </c>
      <c r="C478" t="e">
        <f>IF(A478="","",#REF!)</f>
        <v>#REF!</v>
      </c>
      <c r="D478" t="e">
        <f>IF(A478="","",#REF!)</f>
        <v>#REF!</v>
      </c>
      <c r="E478" t="e">
        <f t="shared" si="21"/>
        <v>#REF!</v>
      </c>
      <c r="F478" t="e">
        <f t="shared" si="22"/>
        <v>#REF!</v>
      </c>
      <c r="G478" t="e">
        <f t="shared" si="23"/>
        <v>#REF!</v>
      </c>
    </row>
    <row r="479" spans="1:7" x14ac:dyDescent="0.3">
      <c r="A479" t="e">
        <f>IF(#REF!="","",#REF!)</f>
        <v>#REF!</v>
      </c>
      <c r="B479" t="e">
        <f>IF(A479="","",#REF!)</f>
        <v>#REF!</v>
      </c>
      <c r="C479" t="e">
        <f>IF(A479="","",#REF!)</f>
        <v>#REF!</v>
      </c>
      <c r="D479" t="e">
        <f>IF(A479="","",#REF!)</f>
        <v>#REF!</v>
      </c>
      <c r="E479" t="e">
        <f t="shared" si="21"/>
        <v>#REF!</v>
      </c>
      <c r="F479" t="e">
        <f t="shared" si="22"/>
        <v>#REF!</v>
      </c>
      <c r="G479" t="e">
        <f t="shared" si="23"/>
        <v>#REF!</v>
      </c>
    </row>
    <row r="480" spans="1:7" x14ac:dyDescent="0.3">
      <c r="A480" t="e">
        <f>IF(#REF!="","",#REF!)</f>
        <v>#REF!</v>
      </c>
      <c r="B480" t="e">
        <f>IF(A480="","",#REF!)</f>
        <v>#REF!</v>
      </c>
      <c r="C480" t="e">
        <f>IF(A480="","",#REF!)</f>
        <v>#REF!</v>
      </c>
      <c r="D480" t="e">
        <f>IF(A480="","",#REF!)</f>
        <v>#REF!</v>
      </c>
      <c r="E480" t="e">
        <f t="shared" si="21"/>
        <v>#REF!</v>
      </c>
      <c r="F480" t="e">
        <f t="shared" si="22"/>
        <v>#REF!</v>
      </c>
      <c r="G480" t="e">
        <f t="shared" si="23"/>
        <v>#REF!</v>
      </c>
    </row>
    <row r="481" spans="1:7" x14ac:dyDescent="0.3">
      <c r="A481" t="e">
        <f>IF(#REF!="","",#REF!)</f>
        <v>#REF!</v>
      </c>
      <c r="B481" t="e">
        <f>IF(A481="","",#REF!)</f>
        <v>#REF!</v>
      </c>
      <c r="C481" t="e">
        <f>IF(A481="","",#REF!)</f>
        <v>#REF!</v>
      </c>
      <c r="D481" t="e">
        <f>IF(A481="","",#REF!)</f>
        <v>#REF!</v>
      </c>
      <c r="E481" t="e">
        <f t="shared" si="21"/>
        <v>#REF!</v>
      </c>
      <c r="F481" t="e">
        <f t="shared" si="22"/>
        <v>#REF!</v>
      </c>
      <c r="G481" t="e">
        <f t="shared" si="23"/>
        <v>#REF!</v>
      </c>
    </row>
    <row r="482" spans="1:7" x14ac:dyDescent="0.3">
      <c r="A482" t="e">
        <f>IF(#REF!="","",#REF!)</f>
        <v>#REF!</v>
      </c>
      <c r="B482" t="e">
        <f>IF(A482="","",#REF!)</f>
        <v>#REF!</v>
      </c>
      <c r="C482" t="e">
        <f>IF(A482="","",#REF!)</f>
        <v>#REF!</v>
      </c>
      <c r="D482" t="e">
        <f>IF(A482="","",#REF!)</f>
        <v>#REF!</v>
      </c>
      <c r="E482" t="e">
        <f t="shared" si="21"/>
        <v>#REF!</v>
      </c>
      <c r="F482" t="e">
        <f t="shared" si="22"/>
        <v>#REF!</v>
      </c>
      <c r="G482" t="e">
        <f t="shared" si="23"/>
        <v>#REF!</v>
      </c>
    </row>
    <row r="483" spans="1:7" x14ac:dyDescent="0.3">
      <c r="A483" t="e">
        <f>IF(#REF!="","",#REF!)</f>
        <v>#REF!</v>
      </c>
      <c r="B483" t="e">
        <f>IF(A483="","",#REF!)</f>
        <v>#REF!</v>
      </c>
      <c r="C483" t="e">
        <f>IF(A483="","",#REF!)</f>
        <v>#REF!</v>
      </c>
      <c r="D483" t="e">
        <f>IF(A483="","",#REF!)</f>
        <v>#REF!</v>
      </c>
      <c r="E483" t="e">
        <f t="shared" si="21"/>
        <v>#REF!</v>
      </c>
      <c r="F483" t="e">
        <f t="shared" si="22"/>
        <v>#REF!</v>
      </c>
      <c r="G483" t="e">
        <f t="shared" si="23"/>
        <v>#REF!</v>
      </c>
    </row>
    <row r="484" spans="1:7" x14ac:dyDescent="0.3">
      <c r="A484" t="e">
        <f>IF(#REF!="","",#REF!)</f>
        <v>#REF!</v>
      </c>
      <c r="B484" t="e">
        <f>IF(A484="","",#REF!)</f>
        <v>#REF!</v>
      </c>
      <c r="C484" t="e">
        <f>IF(A484="","",#REF!)</f>
        <v>#REF!</v>
      </c>
      <c r="D484" t="e">
        <f>IF(A484="","",#REF!)</f>
        <v>#REF!</v>
      </c>
      <c r="E484" t="e">
        <f t="shared" si="21"/>
        <v>#REF!</v>
      </c>
      <c r="F484" t="e">
        <f t="shared" si="22"/>
        <v>#REF!</v>
      </c>
      <c r="G484" t="e">
        <f t="shared" si="23"/>
        <v>#REF!</v>
      </c>
    </row>
    <row r="485" spans="1:7" x14ac:dyDescent="0.3">
      <c r="A485" t="e">
        <f>IF(#REF!="","",#REF!)</f>
        <v>#REF!</v>
      </c>
      <c r="B485" t="e">
        <f>IF(A485="","",#REF!)</f>
        <v>#REF!</v>
      </c>
      <c r="C485" t="e">
        <f>IF(A485="","",#REF!)</f>
        <v>#REF!</v>
      </c>
      <c r="D485" t="e">
        <f>IF(A485="","",#REF!)</f>
        <v>#REF!</v>
      </c>
      <c r="E485" t="e">
        <f t="shared" si="21"/>
        <v>#REF!</v>
      </c>
      <c r="F485" t="e">
        <f t="shared" si="22"/>
        <v>#REF!</v>
      </c>
      <c r="G485" t="e">
        <f t="shared" si="23"/>
        <v>#REF!</v>
      </c>
    </row>
    <row r="486" spans="1:7" x14ac:dyDescent="0.3">
      <c r="A486" t="e">
        <f>IF(#REF!="","",#REF!)</f>
        <v>#REF!</v>
      </c>
      <c r="B486" t="e">
        <f>IF(A486="","",#REF!)</f>
        <v>#REF!</v>
      </c>
      <c r="C486" t="e">
        <f>IF(A486="","",#REF!)</f>
        <v>#REF!</v>
      </c>
      <c r="D486" t="e">
        <f>IF(A486="","",#REF!)</f>
        <v>#REF!</v>
      </c>
      <c r="E486" t="e">
        <f t="shared" si="21"/>
        <v>#REF!</v>
      </c>
      <c r="F486" t="e">
        <f t="shared" si="22"/>
        <v>#REF!</v>
      </c>
      <c r="G486" t="e">
        <f t="shared" si="23"/>
        <v>#REF!</v>
      </c>
    </row>
    <row r="487" spans="1:7" x14ac:dyDescent="0.3">
      <c r="A487" t="e">
        <f>IF(#REF!="","",#REF!)</f>
        <v>#REF!</v>
      </c>
      <c r="B487" t="e">
        <f>IF(A487="","",#REF!)</f>
        <v>#REF!</v>
      </c>
      <c r="C487" t="e">
        <f>IF(A487="","",#REF!)</f>
        <v>#REF!</v>
      </c>
      <c r="D487" t="e">
        <f>IF(A487="","",#REF!)</f>
        <v>#REF!</v>
      </c>
      <c r="E487" t="e">
        <f t="shared" si="21"/>
        <v>#REF!</v>
      </c>
      <c r="F487" t="e">
        <f t="shared" si="22"/>
        <v>#REF!</v>
      </c>
      <c r="G487" t="e">
        <f t="shared" si="23"/>
        <v>#REF!</v>
      </c>
    </row>
    <row r="488" spans="1:7" x14ac:dyDescent="0.3">
      <c r="A488" t="e">
        <f>IF(#REF!="","",#REF!)</f>
        <v>#REF!</v>
      </c>
      <c r="B488" t="e">
        <f>IF(A488="","",#REF!)</f>
        <v>#REF!</v>
      </c>
      <c r="C488" t="e">
        <f>IF(A488="","",#REF!)</f>
        <v>#REF!</v>
      </c>
      <c r="D488" t="e">
        <f>IF(A488="","",#REF!)</f>
        <v>#REF!</v>
      </c>
      <c r="E488" t="e">
        <f t="shared" si="21"/>
        <v>#REF!</v>
      </c>
      <c r="F488" t="e">
        <f t="shared" si="22"/>
        <v>#REF!</v>
      </c>
      <c r="G488" t="e">
        <f t="shared" si="23"/>
        <v>#REF!</v>
      </c>
    </row>
    <row r="489" spans="1:7" x14ac:dyDescent="0.3">
      <c r="A489" t="e">
        <f>IF(#REF!="","",#REF!)</f>
        <v>#REF!</v>
      </c>
      <c r="B489" t="e">
        <f>IF(A489="","",#REF!)</f>
        <v>#REF!</v>
      </c>
      <c r="C489" t="e">
        <f>IF(A489="","",#REF!)</f>
        <v>#REF!</v>
      </c>
      <c r="D489" t="e">
        <f>IF(A489="","",#REF!)</f>
        <v>#REF!</v>
      </c>
      <c r="E489" t="e">
        <f t="shared" si="21"/>
        <v>#REF!</v>
      </c>
      <c r="F489" t="e">
        <f t="shared" si="22"/>
        <v>#REF!</v>
      </c>
      <c r="G489" t="e">
        <f t="shared" si="23"/>
        <v>#REF!</v>
      </c>
    </row>
    <row r="490" spans="1:7" x14ac:dyDescent="0.3">
      <c r="A490" t="e">
        <f>IF(#REF!="","",#REF!)</f>
        <v>#REF!</v>
      </c>
      <c r="B490" t="e">
        <f>IF(A490="","",#REF!)</f>
        <v>#REF!</v>
      </c>
      <c r="C490" t="e">
        <f>IF(A490="","",#REF!)</f>
        <v>#REF!</v>
      </c>
      <c r="D490" t="e">
        <f>IF(A490="","",#REF!)</f>
        <v>#REF!</v>
      </c>
      <c r="E490" t="e">
        <f t="shared" si="21"/>
        <v>#REF!</v>
      </c>
      <c r="F490" t="e">
        <f t="shared" si="22"/>
        <v>#REF!</v>
      </c>
      <c r="G490" t="e">
        <f t="shared" si="23"/>
        <v>#REF!</v>
      </c>
    </row>
    <row r="491" spans="1:7" x14ac:dyDescent="0.3">
      <c r="A491" t="e">
        <f>IF(#REF!="","",#REF!)</f>
        <v>#REF!</v>
      </c>
      <c r="B491" t="e">
        <f>IF(A491="","",#REF!)</f>
        <v>#REF!</v>
      </c>
      <c r="C491" t="e">
        <f>IF(A491="","",#REF!)</f>
        <v>#REF!</v>
      </c>
      <c r="D491" t="e">
        <f>IF(A491="","",#REF!)</f>
        <v>#REF!</v>
      </c>
      <c r="E491" t="e">
        <f t="shared" si="21"/>
        <v>#REF!</v>
      </c>
      <c r="F491" t="e">
        <f t="shared" si="22"/>
        <v>#REF!</v>
      </c>
      <c r="G491" t="e">
        <f t="shared" si="23"/>
        <v>#REF!</v>
      </c>
    </row>
    <row r="492" spans="1:7" x14ac:dyDescent="0.3">
      <c r="A492" t="e">
        <f>IF(#REF!="","",#REF!)</f>
        <v>#REF!</v>
      </c>
      <c r="B492" t="e">
        <f>IF(A492="","",#REF!)</f>
        <v>#REF!</v>
      </c>
      <c r="C492" t="e">
        <f>IF(A492="","",#REF!)</f>
        <v>#REF!</v>
      </c>
      <c r="D492" t="e">
        <f>IF(A492="","",#REF!)</f>
        <v>#REF!</v>
      </c>
      <c r="E492" t="e">
        <f t="shared" si="21"/>
        <v>#REF!</v>
      </c>
      <c r="F492" t="e">
        <f t="shared" si="22"/>
        <v>#REF!</v>
      </c>
      <c r="G492" t="e">
        <f t="shared" si="23"/>
        <v>#REF!</v>
      </c>
    </row>
    <row r="493" spans="1:7" x14ac:dyDescent="0.3">
      <c r="A493" t="e">
        <f>IF(#REF!="","",#REF!)</f>
        <v>#REF!</v>
      </c>
      <c r="B493" t="e">
        <f>IF(A493="","",#REF!)</f>
        <v>#REF!</v>
      </c>
      <c r="C493" t="e">
        <f>IF(A493="","",#REF!)</f>
        <v>#REF!</v>
      </c>
      <c r="D493" t="e">
        <f>IF(A493="","",#REF!)</f>
        <v>#REF!</v>
      </c>
      <c r="E493" t="e">
        <f t="shared" si="21"/>
        <v>#REF!</v>
      </c>
      <c r="F493" t="e">
        <f t="shared" si="22"/>
        <v>#REF!</v>
      </c>
      <c r="G493" t="e">
        <f t="shared" si="23"/>
        <v>#REF!</v>
      </c>
    </row>
    <row r="494" spans="1:7" x14ac:dyDescent="0.3">
      <c r="A494" t="e">
        <f>IF(#REF!="","",#REF!)</f>
        <v>#REF!</v>
      </c>
      <c r="B494" t="e">
        <f>IF(A494="","",#REF!)</f>
        <v>#REF!</v>
      </c>
      <c r="C494" t="e">
        <f>IF(A494="","",#REF!)</f>
        <v>#REF!</v>
      </c>
      <c r="D494" t="e">
        <f>IF(A494="","",#REF!)</f>
        <v>#REF!</v>
      </c>
      <c r="E494" t="e">
        <f t="shared" si="21"/>
        <v>#REF!</v>
      </c>
      <c r="F494" t="e">
        <f t="shared" si="22"/>
        <v>#REF!</v>
      </c>
      <c r="G494" t="e">
        <f t="shared" si="23"/>
        <v>#REF!</v>
      </c>
    </row>
    <row r="495" spans="1:7" x14ac:dyDescent="0.3">
      <c r="A495" t="e">
        <f>IF(#REF!="","",#REF!)</f>
        <v>#REF!</v>
      </c>
      <c r="B495" t="e">
        <f>IF(A495="","",#REF!)</f>
        <v>#REF!</v>
      </c>
      <c r="C495" t="e">
        <f>IF(A495="","",#REF!)</f>
        <v>#REF!</v>
      </c>
      <c r="D495" t="e">
        <f>IF(A495="","",#REF!)</f>
        <v>#REF!</v>
      </c>
      <c r="E495" t="e">
        <f t="shared" si="21"/>
        <v>#REF!</v>
      </c>
      <c r="F495" t="e">
        <f t="shared" si="22"/>
        <v>#REF!</v>
      </c>
      <c r="G495" t="e">
        <f t="shared" si="23"/>
        <v>#REF!</v>
      </c>
    </row>
    <row r="496" spans="1:7" x14ac:dyDescent="0.3">
      <c r="A496" t="e">
        <f>IF(#REF!="","",#REF!)</f>
        <v>#REF!</v>
      </c>
      <c r="B496" t="e">
        <f>IF(A496="","",#REF!)</f>
        <v>#REF!</v>
      </c>
      <c r="C496" t="e">
        <f>IF(A496="","",#REF!)</f>
        <v>#REF!</v>
      </c>
      <c r="D496" t="e">
        <f>IF(A496="","",#REF!)</f>
        <v>#REF!</v>
      </c>
      <c r="E496" t="e">
        <f t="shared" si="21"/>
        <v>#REF!</v>
      </c>
      <c r="F496" t="e">
        <f t="shared" si="22"/>
        <v>#REF!</v>
      </c>
      <c r="G496" t="e">
        <f t="shared" si="23"/>
        <v>#REF!</v>
      </c>
    </row>
    <row r="497" spans="1:7" x14ac:dyDescent="0.3">
      <c r="A497" t="e">
        <f>IF(#REF!="","",#REF!)</f>
        <v>#REF!</v>
      </c>
      <c r="B497" t="e">
        <f>IF(A497="","",#REF!)</f>
        <v>#REF!</v>
      </c>
      <c r="C497" t="e">
        <f>IF(A497="","",#REF!)</f>
        <v>#REF!</v>
      </c>
      <c r="D497" t="e">
        <f>IF(A497="","",#REF!)</f>
        <v>#REF!</v>
      </c>
      <c r="E497" t="e">
        <f t="shared" si="21"/>
        <v>#REF!</v>
      </c>
      <c r="F497" t="e">
        <f t="shared" si="22"/>
        <v>#REF!</v>
      </c>
      <c r="G497" t="e">
        <f t="shared" si="23"/>
        <v>#REF!</v>
      </c>
    </row>
    <row r="498" spans="1:7" x14ac:dyDescent="0.3">
      <c r="A498" t="e">
        <f>IF(#REF!="","",#REF!)</f>
        <v>#REF!</v>
      </c>
      <c r="B498" t="e">
        <f>IF(A498="","",#REF!)</f>
        <v>#REF!</v>
      </c>
      <c r="C498" t="e">
        <f>IF(A498="","",#REF!)</f>
        <v>#REF!</v>
      </c>
      <c r="D498" t="e">
        <f>IF(A498="","",#REF!)</f>
        <v>#REF!</v>
      </c>
      <c r="E498" t="e">
        <f t="shared" si="21"/>
        <v>#REF!</v>
      </c>
      <c r="F498" t="e">
        <f t="shared" si="22"/>
        <v>#REF!</v>
      </c>
      <c r="G498" t="e">
        <f t="shared" si="23"/>
        <v>#REF!</v>
      </c>
    </row>
    <row r="499" spans="1:7" x14ac:dyDescent="0.3">
      <c r="A499" t="e">
        <f>IF(#REF!="","",#REF!)</f>
        <v>#REF!</v>
      </c>
      <c r="B499" t="e">
        <f>IF(A499="","",#REF!)</f>
        <v>#REF!</v>
      </c>
      <c r="C499" t="e">
        <f>IF(A499="","",#REF!)</f>
        <v>#REF!</v>
      </c>
      <c r="D499" t="e">
        <f>IF(A499="","",#REF!)</f>
        <v>#REF!</v>
      </c>
      <c r="E499" t="e">
        <f t="shared" si="21"/>
        <v>#REF!</v>
      </c>
      <c r="F499" t="e">
        <f t="shared" si="22"/>
        <v>#REF!</v>
      </c>
      <c r="G499" t="e">
        <f t="shared" si="23"/>
        <v>#REF!</v>
      </c>
    </row>
    <row r="500" spans="1:7" x14ac:dyDescent="0.3">
      <c r="A500" t="e">
        <f>IF(#REF!="","",#REF!)</f>
        <v>#REF!</v>
      </c>
      <c r="B500" t="e">
        <f>IF(A500="","",#REF!)</f>
        <v>#REF!</v>
      </c>
      <c r="C500" t="e">
        <f>IF(A500="","",#REF!)</f>
        <v>#REF!</v>
      </c>
      <c r="D500" t="e">
        <f>IF(A500="","",#REF!)</f>
        <v>#REF!</v>
      </c>
      <c r="E500" t="e">
        <f t="shared" si="21"/>
        <v>#REF!</v>
      </c>
      <c r="F500" t="e">
        <f t="shared" si="22"/>
        <v>#REF!</v>
      </c>
      <c r="G500" t="e">
        <f t="shared" si="23"/>
        <v>#REF!</v>
      </c>
    </row>
    <row r="501" spans="1:7" x14ac:dyDescent="0.3">
      <c r="A501" t="e">
        <f>IF(#REF!="","",#REF!)</f>
        <v>#REF!</v>
      </c>
      <c r="B501" t="e">
        <f>IF(A501="","",#REF!)</f>
        <v>#REF!</v>
      </c>
      <c r="C501" t="e">
        <f>IF(A501="","",#REF!)</f>
        <v>#REF!</v>
      </c>
      <c r="D501" t="e">
        <f>IF(A501="","",#REF!)</f>
        <v>#REF!</v>
      </c>
      <c r="E501" t="e">
        <f t="shared" si="21"/>
        <v>#REF!</v>
      </c>
      <c r="F501" t="e">
        <f t="shared" si="22"/>
        <v>#REF!</v>
      </c>
      <c r="G501" t="e">
        <f t="shared" si="23"/>
        <v>#REF!</v>
      </c>
    </row>
    <row r="502" spans="1:7" x14ac:dyDescent="0.3">
      <c r="A502" t="e">
        <f>IF(#REF!="","",#REF!)</f>
        <v>#REF!</v>
      </c>
      <c r="B502" t="e">
        <f>IF(A502="","",#REF!)</f>
        <v>#REF!</v>
      </c>
      <c r="C502" t="e">
        <f>IF(A502="","",#REF!)</f>
        <v>#REF!</v>
      </c>
      <c r="D502" t="e">
        <f>IF(A502="","",#REF!)</f>
        <v>#REF!</v>
      </c>
      <c r="E502" t="e">
        <f t="shared" si="21"/>
        <v>#REF!</v>
      </c>
      <c r="F502" t="e">
        <f t="shared" si="22"/>
        <v>#REF!</v>
      </c>
      <c r="G502" t="e">
        <f t="shared" si="23"/>
        <v>#REF!</v>
      </c>
    </row>
    <row r="503" spans="1:7" x14ac:dyDescent="0.3">
      <c r="A503" t="e">
        <f>IF(#REF!="","",#REF!)</f>
        <v>#REF!</v>
      </c>
      <c r="B503" t="e">
        <f>IF(A503="","",#REF!)</f>
        <v>#REF!</v>
      </c>
      <c r="C503" t="e">
        <f>IF(A503="","",#REF!)</f>
        <v>#REF!</v>
      </c>
      <c r="D503" t="e">
        <f>IF(A503="","",#REF!)</f>
        <v>#REF!</v>
      </c>
      <c r="E503" t="e">
        <f t="shared" si="21"/>
        <v>#REF!</v>
      </c>
      <c r="F503" t="e">
        <f t="shared" si="22"/>
        <v>#REF!</v>
      </c>
      <c r="G503" t="e">
        <f t="shared" si="23"/>
        <v>#REF!</v>
      </c>
    </row>
    <row r="504" spans="1:7" x14ac:dyDescent="0.3">
      <c r="A504" t="e">
        <f>IF(#REF!="","",#REF!)</f>
        <v>#REF!</v>
      </c>
      <c r="B504" t="e">
        <f>IF(A504="","",#REF!)</f>
        <v>#REF!</v>
      </c>
      <c r="C504" t="e">
        <f>IF(A504="","",#REF!)</f>
        <v>#REF!</v>
      </c>
      <c r="D504" t="e">
        <f>IF(A504="","",#REF!)</f>
        <v>#REF!</v>
      </c>
      <c r="E504" t="e">
        <f t="shared" si="21"/>
        <v>#REF!</v>
      </c>
      <c r="F504" t="e">
        <f t="shared" si="22"/>
        <v>#REF!</v>
      </c>
      <c r="G504" t="e">
        <f t="shared" si="23"/>
        <v>#REF!</v>
      </c>
    </row>
  </sheetData>
  <mergeCells count="2">
    <mergeCell ref="A1:I1"/>
    <mergeCell ref="A2:I2"/>
  </mergeCells>
  <pageMargins left="0.75" right="0.75" top="1" bottom="1" header="0.5" footer="0.5"/>
  <pageSetup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504"/>
  <sheetViews>
    <sheetView showGridLines="0" zoomScale="85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8" customWidth="1"/>
    <col min="2" max="3" width="16" customWidth="1"/>
    <col min="4" max="4" width="20" customWidth="1"/>
    <col min="5" max="6" width="22" customWidth="1"/>
    <col min="7" max="7" width="20" customWidth="1"/>
    <col min="8" max="8" width="22" customWidth="1"/>
    <col min="9" max="9" width="20" customWidth="1"/>
    <col min="10" max="10" width="18" customWidth="1"/>
    <col min="11" max="11" width="40" customWidth="1"/>
  </cols>
  <sheetData>
    <row r="1" spans="1:11" ht="28.05" customHeight="1" x14ac:dyDescent="0.3">
      <c r="A1" s="6" t="s">
        <v>255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0" customHeight="1" x14ac:dyDescent="0.3">
      <c r="A2" s="4" t="s">
        <v>256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spans="1:11" x14ac:dyDescent="0.3">
      <c r="A4" s="1" t="s">
        <v>257</v>
      </c>
      <c r="B4" s="1" t="s">
        <v>247</v>
      </c>
      <c r="C4" s="1" t="s">
        <v>258</v>
      </c>
      <c r="D4" s="1" t="s">
        <v>259</v>
      </c>
      <c r="E4" s="1" t="s">
        <v>260</v>
      </c>
      <c r="F4" s="1" t="s">
        <v>261</v>
      </c>
      <c r="G4" s="1" t="s">
        <v>262</v>
      </c>
      <c r="H4" s="1" t="s">
        <v>263</v>
      </c>
      <c r="I4" s="1" t="s">
        <v>253</v>
      </c>
      <c r="J4" s="1" t="s">
        <v>254</v>
      </c>
      <c r="K4" s="1" t="s">
        <v>29</v>
      </c>
    </row>
    <row r="5" spans="1:11" x14ac:dyDescent="0.3">
      <c r="A5" t="str">
        <f>IF('Raw Enrollments'!A5="","",'Raw Enrollments'!A5)</f>
        <v/>
      </c>
      <c r="B5" t="str">
        <f>IF('Raw Enrollments'!B5="","",'Raw Enrollments'!B5)</f>
        <v/>
      </c>
      <c r="C5" t="str">
        <f>IF('Raw Enrollments'!C5="","",'Raw Enrollments'!C5)</f>
        <v/>
      </c>
      <c r="D5" t="str">
        <f>IF('Raw Enrollments'!D5="","",'Raw Enrollments'!D5)</f>
        <v/>
      </c>
      <c r="E5" t="str">
        <f>IF('Raw Enrollments'!E5="","",'Raw Enrollments'!E5)</f>
        <v/>
      </c>
      <c r="F5" t="str">
        <f>IF(B5="","",IF(COUNTIF(#REF!,B5)&gt;0,"Valid","Invalid Student ID"))</f>
        <v/>
      </c>
      <c r="G5" t="str">
        <f>IF(C5="","",IF(COUNTIF('Raw Courses'!$A:$A,C5)&gt;0,"Valid","Invalid Course ID"))</f>
        <v/>
      </c>
      <c r="H5" t="str">
        <f t="shared" ref="H5:H68" si="0">IF(A5="","",IF(COUNTIF($A$5:$A$504,A5)&gt;1,"Duplicate","Unique"))</f>
        <v/>
      </c>
      <c r="I5" t="str">
        <f t="shared" ref="I5:I68" si="1">IF(A5="","",IF(OR(F5="Invalid Student ID",G5="Invalid Course ID",H5="Duplicate",D5="",E5=""),"Review","Pass"))</f>
        <v/>
      </c>
    </row>
    <row r="6" spans="1:11" x14ac:dyDescent="0.3">
      <c r="A6" t="str">
        <f>IF('Raw Enrollments'!A6="","",'Raw Enrollments'!A6)</f>
        <v/>
      </c>
      <c r="B6" t="str">
        <f>IF('Raw Enrollments'!B6="","",'Raw Enrollments'!B6)</f>
        <v/>
      </c>
      <c r="C6" t="str">
        <f>IF('Raw Enrollments'!C6="","",'Raw Enrollments'!C6)</f>
        <v/>
      </c>
      <c r="D6" t="str">
        <f>IF('Raw Enrollments'!D6="","",'Raw Enrollments'!D6)</f>
        <v/>
      </c>
      <c r="E6" t="str">
        <f>IF('Raw Enrollments'!E6="","",'Raw Enrollments'!E6)</f>
        <v/>
      </c>
      <c r="F6" t="str">
        <f>IF(B6="","",IF(COUNTIF(#REF!,B6)&gt;0,"Valid","Invalid Student ID"))</f>
        <v/>
      </c>
      <c r="G6" t="str">
        <f>IF(C6="","",IF(COUNTIF('Raw Courses'!$A:$A,C6)&gt;0,"Valid","Invalid Course ID"))</f>
        <v/>
      </c>
      <c r="H6" t="str">
        <f t="shared" si="0"/>
        <v/>
      </c>
      <c r="I6" t="str">
        <f t="shared" si="1"/>
        <v/>
      </c>
    </row>
    <row r="7" spans="1:11" x14ac:dyDescent="0.3">
      <c r="A7" t="str">
        <f>IF('Raw Enrollments'!A7="","",'Raw Enrollments'!A7)</f>
        <v/>
      </c>
      <c r="B7" t="str">
        <f>IF('Raw Enrollments'!B7="","",'Raw Enrollments'!B7)</f>
        <v/>
      </c>
      <c r="C7" t="str">
        <f>IF('Raw Enrollments'!C7="","",'Raw Enrollments'!C7)</f>
        <v/>
      </c>
      <c r="D7" t="str">
        <f>IF('Raw Enrollments'!D7="","",'Raw Enrollments'!D7)</f>
        <v/>
      </c>
      <c r="E7" t="str">
        <f>IF('Raw Enrollments'!E7="","",'Raw Enrollments'!E7)</f>
        <v/>
      </c>
      <c r="F7" t="str">
        <f>IF(B7="","",IF(COUNTIF(#REF!,B7)&gt;0,"Valid","Invalid Student ID"))</f>
        <v/>
      </c>
      <c r="G7" t="str">
        <f>IF(C7="","",IF(COUNTIF('Raw Courses'!$A:$A,C7)&gt;0,"Valid","Invalid Course ID"))</f>
        <v/>
      </c>
      <c r="H7" t="str">
        <f t="shared" si="0"/>
        <v/>
      </c>
      <c r="I7" t="str">
        <f t="shared" si="1"/>
        <v/>
      </c>
    </row>
    <row r="8" spans="1:11" x14ac:dyDescent="0.3">
      <c r="A8" t="str">
        <f>IF('Raw Enrollments'!A8="","",'Raw Enrollments'!A8)</f>
        <v/>
      </c>
      <c r="B8" t="str">
        <f>IF('Raw Enrollments'!B8="","",'Raw Enrollments'!B8)</f>
        <v/>
      </c>
      <c r="C8" t="str">
        <f>IF('Raw Enrollments'!C8="","",'Raw Enrollments'!C8)</f>
        <v/>
      </c>
      <c r="D8" t="str">
        <f>IF('Raw Enrollments'!D8="","",'Raw Enrollments'!D8)</f>
        <v/>
      </c>
      <c r="E8" t="str">
        <f>IF('Raw Enrollments'!E8="","",'Raw Enrollments'!E8)</f>
        <v/>
      </c>
      <c r="F8" t="str">
        <f>IF(B8="","",IF(COUNTIF(#REF!,B8)&gt;0,"Valid","Invalid Student ID"))</f>
        <v/>
      </c>
      <c r="G8" t="str">
        <f>IF(C8="","",IF(COUNTIF('Raw Courses'!$A:$A,C8)&gt;0,"Valid","Invalid Course ID"))</f>
        <v/>
      </c>
      <c r="H8" t="str">
        <f t="shared" si="0"/>
        <v/>
      </c>
      <c r="I8" t="str">
        <f t="shared" si="1"/>
        <v/>
      </c>
    </row>
    <row r="9" spans="1:11" x14ac:dyDescent="0.3">
      <c r="A9" t="str">
        <f>IF('Raw Enrollments'!A9="","",'Raw Enrollments'!A9)</f>
        <v/>
      </c>
      <c r="B9" t="str">
        <f>IF('Raw Enrollments'!B9="","",'Raw Enrollments'!B9)</f>
        <v/>
      </c>
      <c r="C9" t="str">
        <f>IF('Raw Enrollments'!C9="","",'Raw Enrollments'!C9)</f>
        <v/>
      </c>
      <c r="D9" t="str">
        <f>IF('Raw Enrollments'!D9="","",'Raw Enrollments'!D9)</f>
        <v/>
      </c>
      <c r="E9" t="str">
        <f>IF('Raw Enrollments'!E9="","",'Raw Enrollments'!E9)</f>
        <v/>
      </c>
      <c r="F9" t="str">
        <f>IF(B9="","",IF(COUNTIF(#REF!,B9)&gt;0,"Valid","Invalid Student ID"))</f>
        <v/>
      </c>
      <c r="G9" t="str">
        <f>IF(C9="","",IF(COUNTIF('Raw Courses'!$A:$A,C9)&gt;0,"Valid","Invalid Course ID"))</f>
        <v/>
      </c>
      <c r="H9" t="str">
        <f t="shared" si="0"/>
        <v/>
      </c>
      <c r="I9" t="str">
        <f t="shared" si="1"/>
        <v/>
      </c>
    </row>
    <row r="10" spans="1:11" x14ac:dyDescent="0.3">
      <c r="A10" t="str">
        <f>IF('Raw Enrollments'!A10="","",'Raw Enrollments'!A10)</f>
        <v/>
      </c>
      <c r="B10" t="str">
        <f>IF('Raw Enrollments'!B10="","",'Raw Enrollments'!B10)</f>
        <v/>
      </c>
      <c r="C10" t="str">
        <f>IF('Raw Enrollments'!C10="","",'Raw Enrollments'!C10)</f>
        <v/>
      </c>
      <c r="D10" t="str">
        <f>IF('Raw Enrollments'!D10="","",'Raw Enrollments'!D10)</f>
        <v/>
      </c>
      <c r="E10" t="str">
        <f>IF('Raw Enrollments'!E10="","",'Raw Enrollments'!E10)</f>
        <v/>
      </c>
      <c r="F10" t="str">
        <f>IF(B10="","",IF(COUNTIF(#REF!,B10)&gt;0,"Valid","Invalid Student ID"))</f>
        <v/>
      </c>
      <c r="G10" t="str">
        <f>IF(C10="","",IF(COUNTIF('Raw Courses'!$A:$A,C10)&gt;0,"Valid","Invalid Course ID"))</f>
        <v/>
      </c>
      <c r="H10" t="str">
        <f t="shared" si="0"/>
        <v/>
      </c>
      <c r="I10" t="str">
        <f t="shared" si="1"/>
        <v/>
      </c>
    </row>
    <row r="11" spans="1:11" x14ac:dyDescent="0.3">
      <c r="A11" t="str">
        <f>IF('Raw Enrollments'!A11="","",'Raw Enrollments'!A11)</f>
        <v/>
      </c>
      <c r="B11" t="str">
        <f>IF('Raw Enrollments'!B11="","",'Raw Enrollments'!B11)</f>
        <v/>
      </c>
      <c r="C11" t="str">
        <f>IF('Raw Enrollments'!C11="","",'Raw Enrollments'!C11)</f>
        <v/>
      </c>
      <c r="D11" t="str">
        <f>IF('Raw Enrollments'!D11="","",'Raw Enrollments'!D11)</f>
        <v/>
      </c>
      <c r="E11" t="str">
        <f>IF('Raw Enrollments'!E11="","",'Raw Enrollments'!E11)</f>
        <v/>
      </c>
      <c r="F11" t="str">
        <f>IF(B11="","",IF(COUNTIF(#REF!,B11)&gt;0,"Valid","Invalid Student ID"))</f>
        <v/>
      </c>
      <c r="G11" t="str">
        <f>IF(C11="","",IF(COUNTIF('Raw Courses'!$A:$A,C11)&gt;0,"Valid","Invalid Course ID"))</f>
        <v/>
      </c>
      <c r="H11" t="str">
        <f t="shared" si="0"/>
        <v/>
      </c>
      <c r="I11" t="str">
        <f t="shared" si="1"/>
        <v/>
      </c>
    </row>
    <row r="12" spans="1:11" x14ac:dyDescent="0.3">
      <c r="A12" t="str">
        <f>IF('Raw Enrollments'!A12="","",'Raw Enrollments'!A12)</f>
        <v/>
      </c>
      <c r="B12" t="str">
        <f>IF('Raw Enrollments'!B12="","",'Raw Enrollments'!B12)</f>
        <v/>
      </c>
      <c r="C12" t="str">
        <f>IF('Raw Enrollments'!C12="","",'Raw Enrollments'!C12)</f>
        <v/>
      </c>
      <c r="D12" t="str">
        <f>IF('Raw Enrollments'!D12="","",'Raw Enrollments'!D12)</f>
        <v/>
      </c>
      <c r="E12" t="str">
        <f>IF('Raw Enrollments'!E12="","",'Raw Enrollments'!E12)</f>
        <v/>
      </c>
      <c r="F12" t="str">
        <f>IF(B12="","",IF(COUNTIF(#REF!,B12)&gt;0,"Valid","Invalid Student ID"))</f>
        <v/>
      </c>
      <c r="G12" t="str">
        <f>IF(C12="","",IF(COUNTIF('Raw Courses'!$A:$A,C12)&gt;0,"Valid","Invalid Course ID"))</f>
        <v/>
      </c>
      <c r="H12" t="str">
        <f t="shared" si="0"/>
        <v/>
      </c>
      <c r="I12" t="str">
        <f t="shared" si="1"/>
        <v/>
      </c>
    </row>
    <row r="13" spans="1:11" x14ac:dyDescent="0.3">
      <c r="A13" t="str">
        <f>IF('Raw Enrollments'!A13="","",'Raw Enrollments'!A13)</f>
        <v/>
      </c>
      <c r="B13" t="str">
        <f>IF('Raw Enrollments'!B13="","",'Raw Enrollments'!B13)</f>
        <v/>
      </c>
      <c r="C13" t="str">
        <f>IF('Raw Enrollments'!C13="","",'Raw Enrollments'!C13)</f>
        <v/>
      </c>
      <c r="D13" t="str">
        <f>IF('Raw Enrollments'!D13="","",'Raw Enrollments'!D13)</f>
        <v/>
      </c>
      <c r="E13" t="str">
        <f>IF('Raw Enrollments'!E13="","",'Raw Enrollments'!E13)</f>
        <v/>
      </c>
      <c r="F13" t="str">
        <f>IF(B13="","",IF(COUNTIF(#REF!,B13)&gt;0,"Valid","Invalid Student ID"))</f>
        <v/>
      </c>
      <c r="G13" t="str">
        <f>IF(C13="","",IF(COUNTIF('Raw Courses'!$A:$A,C13)&gt;0,"Valid","Invalid Course ID"))</f>
        <v/>
      </c>
      <c r="H13" t="str">
        <f t="shared" si="0"/>
        <v/>
      </c>
      <c r="I13" t="str">
        <f t="shared" si="1"/>
        <v/>
      </c>
    </row>
    <row r="14" spans="1:11" x14ac:dyDescent="0.3">
      <c r="A14" t="str">
        <f>IF('Raw Enrollments'!A14="","",'Raw Enrollments'!A14)</f>
        <v/>
      </c>
      <c r="B14" t="str">
        <f>IF('Raw Enrollments'!B14="","",'Raw Enrollments'!B14)</f>
        <v/>
      </c>
      <c r="C14" t="str">
        <f>IF('Raw Enrollments'!C14="","",'Raw Enrollments'!C14)</f>
        <v/>
      </c>
      <c r="D14" t="str">
        <f>IF('Raw Enrollments'!D14="","",'Raw Enrollments'!D14)</f>
        <v/>
      </c>
      <c r="E14" t="str">
        <f>IF('Raw Enrollments'!E14="","",'Raw Enrollments'!E14)</f>
        <v/>
      </c>
      <c r="F14" t="str">
        <f>IF(B14="","",IF(COUNTIF(#REF!,B14)&gt;0,"Valid","Invalid Student ID"))</f>
        <v/>
      </c>
      <c r="G14" t="str">
        <f>IF(C14="","",IF(COUNTIF('Raw Courses'!$A:$A,C14)&gt;0,"Valid","Invalid Course ID"))</f>
        <v/>
      </c>
      <c r="H14" t="str">
        <f t="shared" si="0"/>
        <v/>
      </c>
      <c r="I14" t="str">
        <f t="shared" si="1"/>
        <v/>
      </c>
    </row>
    <row r="15" spans="1:11" x14ac:dyDescent="0.3">
      <c r="A15" t="str">
        <f>IF('Raw Enrollments'!A15="","",'Raw Enrollments'!A15)</f>
        <v/>
      </c>
      <c r="B15" t="str">
        <f>IF('Raw Enrollments'!B15="","",'Raw Enrollments'!B15)</f>
        <v/>
      </c>
      <c r="C15" t="str">
        <f>IF('Raw Enrollments'!C15="","",'Raw Enrollments'!C15)</f>
        <v/>
      </c>
      <c r="D15" t="str">
        <f>IF('Raw Enrollments'!D15="","",'Raw Enrollments'!D15)</f>
        <v/>
      </c>
      <c r="E15" t="str">
        <f>IF('Raw Enrollments'!E15="","",'Raw Enrollments'!E15)</f>
        <v/>
      </c>
      <c r="F15" t="str">
        <f>IF(B15="","",IF(COUNTIF(#REF!,B15)&gt;0,"Valid","Invalid Student ID"))</f>
        <v/>
      </c>
      <c r="G15" t="str">
        <f>IF(C15="","",IF(COUNTIF('Raw Courses'!$A:$A,C15)&gt;0,"Valid","Invalid Course ID"))</f>
        <v/>
      </c>
      <c r="H15" t="str">
        <f t="shared" si="0"/>
        <v/>
      </c>
      <c r="I15" t="str">
        <f t="shared" si="1"/>
        <v/>
      </c>
    </row>
    <row r="16" spans="1:11" x14ac:dyDescent="0.3">
      <c r="A16" t="str">
        <f>IF('Raw Enrollments'!A16="","",'Raw Enrollments'!A16)</f>
        <v/>
      </c>
      <c r="B16" t="str">
        <f>IF('Raw Enrollments'!B16="","",'Raw Enrollments'!B16)</f>
        <v/>
      </c>
      <c r="C16" t="str">
        <f>IF('Raw Enrollments'!C16="","",'Raw Enrollments'!C16)</f>
        <v/>
      </c>
      <c r="D16" t="str">
        <f>IF('Raw Enrollments'!D16="","",'Raw Enrollments'!D16)</f>
        <v/>
      </c>
      <c r="E16" t="str">
        <f>IF('Raw Enrollments'!E16="","",'Raw Enrollments'!E16)</f>
        <v/>
      </c>
      <c r="F16" t="str">
        <f>IF(B16="","",IF(COUNTIF(#REF!,B16)&gt;0,"Valid","Invalid Student ID"))</f>
        <v/>
      </c>
      <c r="G16" t="str">
        <f>IF(C16="","",IF(COUNTIF('Raw Courses'!$A:$A,C16)&gt;0,"Valid","Invalid Course ID"))</f>
        <v/>
      </c>
      <c r="H16" t="str">
        <f t="shared" si="0"/>
        <v/>
      </c>
      <c r="I16" t="str">
        <f t="shared" si="1"/>
        <v/>
      </c>
    </row>
    <row r="17" spans="1:9" x14ac:dyDescent="0.3">
      <c r="A17" t="str">
        <f>IF('Raw Enrollments'!A17="","",'Raw Enrollments'!A17)</f>
        <v/>
      </c>
      <c r="B17" t="str">
        <f>IF('Raw Enrollments'!B17="","",'Raw Enrollments'!B17)</f>
        <v/>
      </c>
      <c r="C17" t="str">
        <f>IF('Raw Enrollments'!C17="","",'Raw Enrollments'!C17)</f>
        <v/>
      </c>
      <c r="D17" t="str">
        <f>IF('Raw Enrollments'!D17="","",'Raw Enrollments'!D17)</f>
        <v/>
      </c>
      <c r="E17" t="str">
        <f>IF('Raw Enrollments'!E17="","",'Raw Enrollments'!E17)</f>
        <v/>
      </c>
      <c r="F17" t="str">
        <f>IF(B17="","",IF(COUNTIF(#REF!,B17)&gt;0,"Valid","Invalid Student ID"))</f>
        <v/>
      </c>
      <c r="G17" t="str">
        <f>IF(C17="","",IF(COUNTIF('Raw Courses'!$A:$A,C17)&gt;0,"Valid","Invalid Course ID"))</f>
        <v/>
      </c>
      <c r="H17" t="str">
        <f t="shared" si="0"/>
        <v/>
      </c>
      <c r="I17" t="str">
        <f t="shared" si="1"/>
        <v/>
      </c>
    </row>
    <row r="18" spans="1:9" x14ac:dyDescent="0.3">
      <c r="A18" t="str">
        <f>IF('Raw Enrollments'!A18="","",'Raw Enrollments'!A18)</f>
        <v/>
      </c>
      <c r="B18" t="str">
        <f>IF('Raw Enrollments'!B18="","",'Raw Enrollments'!B18)</f>
        <v/>
      </c>
      <c r="C18" t="str">
        <f>IF('Raw Enrollments'!C18="","",'Raw Enrollments'!C18)</f>
        <v/>
      </c>
      <c r="D18" t="str">
        <f>IF('Raw Enrollments'!D18="","",'Raw Enrollments'!D18)</f>
        <v/>
      </c>
      <c r="E18" t="str">
        <f>IF('Raw Enrollments'!E18="","",'Raw Enrollments'!E18)</f>
        <v/>
      </c>
      <c r="F18" t="str">
        <f>IF(B18="","",IF(COUNTIF(#REF!,B18)&gt;0,"Valid","Invalid Student ID"))</f>
        <v/>
      </c>
      <c r="G18" t="str">
        <f>IF(C18="","",IF(COUNTIF('Raw Courses'!$A:$A,C18)&gt;0,"Valid","Invalid Course ID"))</f>
        <v/>
      </c>
      <c r="H18" t="str">
        <f t="shared" si="0"/>
        <v/>
      </c>
      <c r="I18" t="str">
        <f t="shared" si="1"/>
        <v/>
      </c>
    </row>
    <row r="19" spans="1:9" x14ac:dyDescent="0.3">
      <c r="A19" t="str">
        <f>IF('Raw Enrollments'!A19="","",'Raw Enrollments'!A19)</f>
        <v/>
      </c>
      <c r="B19" t="str">
        <f>IF('Raw Enrollments'!B19="","",'Raw Enrollments'!B19)</f>
        <v/>
      </c>
      <c r="C19" t="str">
        <f>IF('Raw Enrollments'!C19="","",'Raw Enrollments'!C19)</f>
        <v/>
      </c>
      <c r="D19" t="str">
        <f>IF('Raw Enrollments'!D19="","",'Raw Enrollments'!D19)</f>
        <v/>
      </c>
      <c r="E19" t="str">
        <f>IF('Raw Enrollments'!E19="","",'Raw Enrollments'!E19)</f>
        <v/>
      </c>
      <c r="F19" t="str">
        <f>IF(B19="","",IF(COUNTIF(#REF!,B19)&gt;0,"Valid","Invalid Student ID"))</f>
        <v/>
      </c>
      <c r="G19" t="str">
        <f>IF(C19="","",IF(COUNTIF('Raw Courses'!$A:$A,C19)&gt;0,"Valid","Invalid Course ID"))</f>
        <v/>
      </c>
      <c r="H19" t="str">
        <f t="shared" si="0"/>
        <v/>
      </c>
      <c r="I19" t="str">
        <f t="shared" si="1"/>
        <v/>
      </c>
    </row>
    <row r="20" spans="1:9" x14ac:dyDescent="0.3">
      <c r="A20" t="str">
        <f>IF('Raw Enrollments'!A20="","",'Raw Enrollments'!A20)</f>
        <v/>
      </c>
      <c r="B20" t="str">
        <f>IF('Raw Enrollments'!B20="","",'Raw Enrollments'!B20)</f>
        <v/>
      </c>
      <c r="C20" t="str">
        <f>IF('Raw Enrollments'!C20="","",'Raw Enrollments'!C20)</f>
        <v/>
      </c>
      <c r="D20" t="str">
        <f>IF('Raw Enrollments'!D20="","",'Raw Enrollments'!D20)</f>
        <v/>
      </c>
      <c r="E20" t="str">
        <f>IF('Raw Enrollments'!E20="","",'Raw Enrollments'!E20)</f>
        <v/>
      </c>
      <c r="F20" t="str">
        <f>IF(B20="","",IF(COUNTIF(#REF!,B20)&gt;0,"Valid","Invalid Student ID"))</f>
        <v/>
      </c>
      <c r="G20" t="str">
        <f>IF(C20="","",IF(COUNTIF('Raw Courses'!$A:$A,C20)&gt;0,"Valid","Invalid Course ID"))</f>
        <v/>
      </c>
      <c r="H20" t="str">
        <f t="shared" si="0"/>
        <v/>
      </c>
      <c r="I20" t="str">
        <f t="shared" si="1"/>
        <v/>
      </c>
    </row>
    <row r="21" spans="1:9" x14ac:dyDescent="0.3">
      <c r="A21" t="str">
        <f>IF('Raw Enrollments'!A21="","",'Raw Enrollments'!A21)</f>
        <v/>
      </c>
      <c r="B21" t="str">
        <f>IF('Raw Enrollments'!B21="","",'Raw Enrollments'!B21)</f>
        <v/>
      </c>
      <c r="C21" t="str">
        <f>IF('Raw Enrollments'!C21="","",'Raw Enrollments'!C21)</f>
        <v/>
      </c>
      <c r="D21" t="str">
        <f>IF('Raw Enrollments'!D21="","",'Raw Enrollments'!D21)</f>
        <v/>
      </c>
      <c r="E21" t="str">
        <f>IF('Raw Enrollments'!E21="","",'Raw Enrollments'!E21)</f>
        <v/>
      </c>
      <c r="F21" t="str">
        <f>IF(B21="","",IF(COUNTIF(#REF!,B21)&gt;0,"Valid","Invalid Student ID"))</f>
        <v/>
      </c>
      <c r="G21" t="str">
        <f>IF(C21="","",IF(COUNTIF('Raw Courses'!$A:$A,C21)&gt;0,"Valid","Invalid Course ID"))</f>
        <v/>
      </c>
      <c r="H21" t="str">
        <f t="shared" si="0"/>
        <v/>
      </c>
      <c r="I21" t="str">
        <f t="shared" si="1"/>
        <v/>
      </c>
    </row>
    <row r="22" spans="1:9" x14ac:dyDescent="0.3">
      <c r="A22" t="str">
        <f>IF('Raw Enrollments'!A22="","",'Raw Enrollments'!A22)</f>
        <v/>
      </c>
      <c r="B22" t="str">
        <f>IF('Raw Enrollments'!B22="","",'Raw Enrollments'!B22)</f>
        <v/>
      </c>
      <c r="C22" t="str">
        <f>IF('Raw Enrollments'!C22="","",'Raw Enrollments'!C22)</f>
        <v/>
      </c>
      <c r="D22" t="str">
        <f>IF('Raw Enrollments'!D22="","",'Raw Enrollments'!D22)</f>
        <v/>
      </c>
      <c r="E22" t="str">
        <f>IF('Raw Enrollments'!E22="","",'Raw Enrollments'!E22)</f>
        <v/>
      </c>
      <c r="F22" t="str">
        <f>IF(B22="","",IF(COUNTIF(#REF!,B22)&gt;0,"Valid","Invalid Student ID"))</f>
        <v/>
      </c>
      <c r="G22" t="str">
        <f>IF(C22="","",IF(COUNTIF('Raw Courses'!$A:$A,C22)&gt;0,"Valid","Invalid Course ID"))</f>
        <v/>
      </c>
      <c r="H22" t="str">
        <f t="shared" si="0"/>
        <v/>
      </c>
      <c r="I22" t="str">
        <f t="shared" si="1"/>
        <v/>
      </c>
    </row>
    <row r="23" spans="1:9" x14ac:dyDescent="0.3">
      <c r="A23" t="str">
        <f>IF('Raw Enrollments'!A23="","",'Raw Enrollments'!A23)</f>
        <v/>
      </c>
      <c r="B23" t="str">
        <f>IF('Raw Enrollments'!B23="","",'Raw Enrollments'!B23)</f>
        <v/>
      </c>
      <c r="C23" t="str">
        <f>IF('Raw Enrollments'!C23="","",'Raw Enrollments'!C23)</f>
        <v/>
      </c>
      <c r="D23" t="str">
        <f>IF('Raw Enrollments'!D23="","",'Raw Enrollments'!D23)</f>
        <v/>
      </c>
      <c r="E23" t="str">
        <f>IF('Raw Enrollments'!E23="","",'Raw Enrollments'!E23)</f>
        <v/>
      </c>
      <c r="F23" t="str">
        <f>IF(B23="","",IF(COUNTIF(#REF!,B23)&gt;0,"Valid","Invalid Student ID"))</f>
        <v/>
      </c>
      <c r="G23" t="str">
        <f>IF(C23="","",IF(COUNTIF('Raw Courses'!$A:$A,C23)&gt;0,"Valid","Invalid Course ID"))</f>
        <v/>
      </c>
      <c r="H23" t="str">
        <f t="shared" si="0"/>
        <v/>
      </c>
      <c r="I23" t="str">
        <f t="shared" si="1"/>
        <v/>
      </c>
    </row>
    <row r="24" spans="1:9" x14ac:dyDescent="0.3">
      <c r="A24" t="str">
        <f>IF('Raw Enrollments'!A24="","",'Raw Enrollments'!A24)</f>
        <v/>
      </c>
      <c r="B24" t="str">
        <f>IF('Raw Enrollments'!B24="","",'Raw Enrollments'!B24)</f>
        <v/>
      </c>
      <c r="C24" t="str">
        <f>IF('Raw Enrollments'!C24="","",'Raw Enrollments'!C24)</f>
        <v/>
      </c>
      <c r="D24" t="str">
        <f>IF('Raw Enrollments'!D24="","",'Raw Enrollments'!D24)</f>
        <v/>
      </c>
      <c r="E24" t="str">
        <f>IF('Raw Enrollments'!E24="","",'Raw Enrollments'!E24)</f>
        <v/>
      </c>
      <c r="F24" t="str">
        <f>IF(B24="","",IF(COUNTIF(#REF!,B24)&gt;0,"Valid","Invalid Student ID"))</f>
        <v/>
      </c>
      <c r="G24" t="str">
        <f>IF(C24="","",IF(COUNTIF('Raw Courses'!$A:$A,C24)&gt;0,"Valid","Invalid Course ID"))</f>
        <v/>
      </c>
      <c r="H24" t="str">
        <f t="shared" si="0"/>
        <v/>
      </c>
      <c r="I24" t="str">
        <f t="shared" si="1"/>
        <v/>
      </c>
    </row>
    <row r="25" spans="1:9" x14ac:dyDescent="0.3">
      <c r="A25" t="str">
        <f>IF('Raw Enrollments'!A25="","",'Raw Enrollments'!A25)</f>
        <v/>
      </c>
      <c r="B25" t="str">
        <f>IF('Raw Enrollments'!B25="","",'Raw Enrollments'!B25)</f>
        <v/>
      </c>
      <c r="C25" t="str">
        <f>IF('Raw Enrollments'!C25="","",'Raw Enrollments'!C25)</f>
        <v/>
      </c>
      <c r="D25" t="str">
        <f>IF('Raw Enrollments'!D25="","",'Raw Enrollments'!D25)</f>
        <v/>
      </c>
      <c r="E25" t="str">
        <f>IF('Raw Enrollments'!E25="","",'Raw Enrollments'!E25)</f>
        <v/>
      </c>
      <c r="F25" t="str">
        <f>IF(B25="","",IF(COUNTIF(#REF!,B25)&gt;0,"Valid","Invalid Student ID"))</f>
        <v/>
      </c>
      <c r="G25" t="str">
        <f>IF(C25="","",IF(COUNTIF('Raw Courses'!$A:$A,C25)&gt;0,"Valid","Invalid Course ID"))</f>
        <v/>
      </c>
      <c r="H25" t="str">
        <f t="shared" si="0"/>
        <v/>
      </c>
      <c r="I25" t="str">
        <f t="shared" si="1"/>
        <v/>
      </c>
    </row>
    <row r="26" spans="1:9" x14ac:dyDescent="0.3">
      <c r="A26" t="str">
        <f>IF('Raw Enrollments'!A26="","",'Raw Enrollments'!A26)</f>
        <v/>
      </c>
      <c r="B26" t="str">
        <f>IF('Raw Enrollments'!B26="","",'Raw Enrollments'!B26)</f>
        <v/>
      </c>
      <c r="C26" t="str">
        <f>IF('Raw Enrollments'!C26="","",'Raw Enrollments'!C26)</f>
        <v/>
      </c>
      <c r="D26" t="str">
        <f>IF('Raw Enrollments'!D26="","",'Raw Enrollments'!D26)</f>
        <v/>
      </c>
      <c r="E26" t="str">
        <f>IF('Raw Enrollments'!E26="","",'Raw Enrollments'!E26)</f>
        <v/>
      </c>
      <c r="F26" t="str">
        <f>IF(B26="","",IF(COUNTIF(#REF!,B26)&gt;0,"Valid","Invalid Student ID"))</f>
        <v/>
      </c>
      <c r="G26" t="str">
        <f>IF(C26="","",IF(COUNTIF('Raw Courses'!$A:$A,C26)&gt;0,"Valid","Invalid Course ID"))</f>
        <v/>
      </c>
      <c r="H26" t="str">
        <f t="shared" si="0"/>
        <v/>
      </c>
      <c r="I26" t="str">
        <f t="shared" si="1"/>
        <v/>
      </c>
    </row>
    <row r="27" spans="1:9" x14ac:dyDescent="0.3">
      <c r="A27" t="str">
        <f>IF('Raw Enrollments'!A27="","",'Raw Enrollments'!A27)</f>
        <v/>
      </c>
      <c r="B27" t="str">
        <f>IF('Raw Enrollments'!B27="","",'Raw Enrollments'!B27)</f>
        <v/>
      </c>
      <c r="C27" t="str">
        <f>IF('Raw Enrollments'!C27="","",'Raw Enrollments'!C27)</f>
        <v/>
      </c>
      <c r="D27" t="str">
        <f>IF('Raw Enrollments'!D27="","",'Raw Enrollments'!D27)</f>
        <v/>
      </c>
      <c r="E27" t="str">
        <f>IF('Raw Enrollments'!E27="","",'Raw Enrollments'!E27)</f>
        <v/>
      </c>
      <c r="F27" t="str">
        <f>IF(B27="","",IF(COUNTIF(#REF!,B27)&gt;0,"Valid","Invalid Student ID"))</f>
        <v/>
      </c>
      <c r="G27" t="str">
        <f>IF(C27="","",IF(COUNTIF('Raw Courses'!$A:$A,C27)&gt;0,"Valid","Invalid Course ID"))</f>
        <v/>
      </c>
      <c r="H27" t="str">
        <f t="shared" si="0"/>
        <v/>
      </c>
      <c r="I27" t="str">
        <f t="shared" si="1"/>
        <v/>
      </c>
    </row>
    <row r="28" spans="1:9" x14ac:dyDescent="0.3">
      <c r="A28" t="str">
        <f>IF('Raw Enrollments'!A28="","",'Raw Enrollments'!A28)</f>
        <v/>
      </c>
      <c r="B28" t="str">
        <f>IF('Raw Enrollments'!B28="","",'Raw Enrollments'!B28)</f>
        <v/>
      </c>
      <c r="C28" t="str">
        <f>IF('Raw Enrollments'!C28="","",'Raw Enrollments'!C28)</f>
        <v/>
      </c>
      <c r="D28" t="str">
        <f>IF('Raw Enrollments'!D28="","",'Raw Enrollments'!D28)</f>
        <v/>
      </c>
      <c r="E28" t="str">
        <f>IF('Raw Enrollments'!E28="","",'Raw Enrollments'!E28)</f>
        <v/>
      </c>
      <c r="F28" t="str">
        <f>IF(B28="","",IF(COUNTIF(#REF!,B28)&gt;0,"Valid","Invalid Student ID"))</f>
        <v/>
      </c>
      <c r="G28" t="str">
        <f>IF(C28="","",IF(COUNTIF('Raw Courses'!$A:$A,C28)&gt;0,"Valid","Invalid Course ID"))</f>
        <v/>
      </c>
      <c r="H28" t="str">
        <f t="shared" si="0"/>
        <v/>
      </c>
      <c r="I28" t="str">
        <f t="shared" si="1"/>
        <v/>
      </c>
    </row>
    <row r="29" spans="1:9" x14ac:dyDescent="0.3">
      <c r="A29" t="str">
        <f>IF('Raw Enrollments'!A29="","",'Raw Enrollments'!A29)</f>
        <v/>
      </c>
      <c r="B29" t="str">
        <f>IF('Raw Enrollments'!B29="","",'Raw Enrollments'!B29)</f>
        <v/>
      </c>
      <c r="C29" t="str">
        <f>IF('Raw Enrollments'!C29="","",'Raw Enrollments'!C29)</f>
        <v/>
      </c>
      <c r="D29" t="str">
        <f>IF('Raw Enrollments'!D29="","",'Raw Enrollments'!D29)</f>
        <v/>
      </c>
      <c r="E29" t="str">
        <f>IF('Raw Enrollments'!E29="","",'Raw Enrollments'!E29)</f>
        <v/>
      </c>
      <c r="F29" t="str">
        <f>IF(B29="","",IF(COUNTIF(#REF!,B29)&gt;0,"Valid","Invalid Student ID"))</f>
        <v/>
      </c>
      <c r="G29" t="str">
        <f>IF(C29="","",IF(COUNTIF('Raw Courses'!$A:$A,C29)&gt;0,"Valid","Invalid Course ID"))</f>
        <v/>
      </c>
      <c r="H29" t="str">
        <f t="shared" si="0"/>
        <v/>
      </c>
      <c r="I29" t="str">
        <f t="shared" si="1"/>
        <v/>
      </c>
    </row>
    <row r="30" spans="1:9" x14ac:dyDescent="0.3">
      <c r="A30" t="str">
        <f>IF('Raw Enrollments'!A30="","",'Raw Enrollments'!A30)</f>
        <v/>
      </c>
      <c r="B30" t="str">
        <f>IF('Raw Enrollments'!B30="","",'Raw Enrollments'!B30)</f>
        <v/>
      </c>
      <c r="C30" t="str">
        <f>IF('Raw Enrollments'!C30="","",'Raw Enrollments'!C30)</f>
        <v/>
      </c>
      <c r="D30" t="str">
        <f>IF('Raw Enrollments'!D30="","",'Raw Enrollments'!D30)</f>
        <v/>
      </c>
      <c r="E30" t="str">
        <f>IF('Raw Enrollments'!E30="","",'Raw Enrollments'!E30)</f>
        <v/>
      </c>
      <c r="F30" t="str">
        <f>IF(B30="","",IF(COUNTIF(#REF!,B30)&gt;0,"Valid","Invalid Student ID"))</f>
        <v/>
      </c>
      <c r="G30" t="str">
        <f>IF(C30="","",IF(COUNTIF('Raw Courses'!$A:$A,C30)&gt;0,"Valid","Invalid Course ID"))</f>
        <v/>
      </c>
      <c r="H30" t="str">
        <f t="shared" si="0"/>
        <v/>
      </c>
      <c r="I30" t="str">
        <f t="shared" si="1"/>
        <v/>
      </c>
    </row>
    <row r="31" spans="1:9" x14ac:dyDescent="0.3">
      <c r="A31" t="str">
        <f>IF('Raw Enrollments'!A31="","",'Raw Enrollments'!A31)</f>
        <v/>
      </c>
      <c r="B31" t="str">
        <f>IF('Raw Enrollments'!B31="","",'Raw Enrollments'!B31)</f>
        <v/>
      </c>
      <c r="C31" t="str">
        <f>IF('Raw Enrollments'!C31="","",'Raw Enrollments'!C31)</f>
        <v/>
      </c>
      <c r="D31" t="str">
        <f>IF('Raw Enrollments'!D31="","",'Raw Enrollments'!D31)</f>
        <v/>
      </c>
      <c r="E31" t="str">
        <f>IF('Raw Enrollments'!E31="","",'Raw Enrollments'!E31)</f>
        <v/>
      </c>
      <c r="F31" t="str">
        <f>IF(B31="","",IF(COUNTIF(#REF!,B31)&gt;0,"Valid","Invalid Student ID"))</f>
        <v/>
      </c>
      <c r="G31" t="str">
        <f>IF(C31="","",IF(COUNTIF('Raw Courses'!$A:$A,C31)&gt;0,"Valid","Invalid Course ID"))</f>
        <v/>
      </c>
      <c r="H31" t="str">
        <f t="shared" si="0"/>
        <v/>
      </c>
      <c r="I31" t="str">
        <f t="shared" si="1"/>
        <v/>
      </c>
    </row>
    <row r="32" spans="1:9" x14ac:dyDescent="0.3">
      <c r="A32" t="str">
        <f>IF('Raw Enrollments'!A32="","",'Raw Enrollments'!A32)</f>
        <v/>
      </c>
      <c r="B32" t="str">
        <f>IF('Raw Enrollments'!B32="","",'Raw Enrollments'!B32)</f>
        <v/>
      </c>
      <c r="C32" t="str">
        <f>IF('Raw Enrollments'!C32="","",'Raw Enrollments'!C32)</f>
        <v/>
      </c>
      <c r="D32" t="str">
        <f>IF('Raw Enrollments'!D32="","",'Raw Enrollments'!D32)</f>
        <v/>
      </c>
      <c r="E32" t="str">
        <f>IF('Raw Enrollments'!E32="","",'Raw Enrollments'!E32)</f>
        <v/>
      </c>
      <c r="F32" t="str">
        <f>IF(B32="","",IF(COUNTIF(#REF!,B32)&gt;0,"Valid","Invalid Student ID"))</f>
        <v/>
      </c>
      <c r="G32" t="str">
        <f>IF(C32="","",IF(COUNTIF('Raw Courses'!$A:$A,C32)&gt;0,"Valid","Invalid Course ID"))</f>
        <v/>
      </c>
      <c r="H32" t="str">
        <f t="shared" si="0"/>
        <v/>
      </c>
      <c r="I32" t="str">
        <f t="shared" si="1"/>
        <v/>
      </c>
    </row>
    <row r="33" spans="1:9" x14ac:dyDescent="0.3">
      <c r="A33" t="str">
        <f>IF('Raw Enrollments'!A33="","",'Raw Enrollments'!A33)</f>
        <v/>
      </c>
      <c r="B33" t="str">
        <f>IF('Raw Enrollments'!B33="","",'Raw Enrollments'!B33)</f>
        <v/>
      </c>
      <c r="C33" t="str">
        <f>IF('Raw Enrollments'!C33="","",'Raw Enrollments'!C33)</f>
        <v/>
      </c>
      <c r="D33" t="str">
        <f>IF('Raw Enrollments'!D33="","",'Raw Enrollments'!D33)</f>
        <v/>
      </c>
      <c r="E33" t="str">
        <f>IF('Raw Enrollments'!E33="","",'Raw Enrollments'!E33)</f>
        <v/>
      </c>
      <c r="F33" t="str">
        <f>IF(B33="","",IF(COUNTIF(#REF!,B33)&gt;0,"Valid","Invalid Student ID"))</f>
        <v/>
      </c>
      <c r="G33" t="str">
        <f>IF(C33="","",IF(COUNTIF('Raw Courses'!$A:$A,C33)&gt;0,"Valid","Invalid Course ID"))</f>
        <v/>
      </c>
      <c r="H33" t="str">
        <f t="shared" si="0"/>
        <v/>
      </c>
      <c r="I33" t="str">
        <f t="shared" si="1"/>
        <v/>
      </c>
    </row>
    <row r="34" spans="1:9" x14ac:dyDescent="0.3">
      <c r="A34" t="str">
        <f>IF('Raw Enrollments'!A34="","",'Raw Enrollments'!A34)</f>
        <v/>
      </c>
      <c r="B34" t="str">
        <f>IF('Raw Enrollments'!B34="","",'Raw Enrollments'!B34)</f>
        <v/>
      </c>
      <c r="C34" t="str">
        <f>IF('Raw Enrollments'!C34="","",'Raw Enrollments'!C34)</f>
        <v/>
      </c>
      <c r="D34" t="str">
        <f>IF('Raw Enrollments'!D34="","",'Raw Enrollments'!D34)</f>
        <v/>
      </c>
      <c r="E34" t="str">
        <f>IF('Raw Enrollments'!E34="","",'Raw Enrollments'!E34)</f>
        <v/>
      </c>
      <c r="F34" t="str">
        <f>IF(B34="","",IF(COUNTIF(#REF!,B34)&gt;0,"Valid","Invalid Student ID"))</f>
        <v/>
      </c>
      <c r="G34" t="str">
        <f>IF(C34="","",IF(COUNTIF('Raw Courses'!$A:$A,C34)&gt;0,"Valid","Invalid Course ID"))</f>
        <v/>
      </c>
      <c r="H34" t="str">
        <f t="shared" si="0"/>
        <v/>
      </c>
      <c r="I34" t="str">
        <f t="shared" si="1"/>
        <v/>
      </c>
    </row>
    <row r="35" spans="1:9" x14ac:dyDescent="0.3">
      <c r="A35" t="str">
        <f>IF('Raw Enrollments'!A35="","",'Raw Enrollments'!A35)</f>
        <v/>
      </c>
      <c r="B35" t="str">
        <f>IF('Raw Enrollments'!B35="","",'Raw Enrollments'!B35)</f>
        <v/>
      </c>
      <c r="C35" t="str">
        <f>IF('Raw Enrollments'!C35="","",'Raw Enrollments'!C35)</f>
        <v/>
      </c>
      <c r="D35" t="str">
        <f>IF('Raw Enrollments'!D35="","",'Raw Enrollments'!D35)</f>
        <v/>
      </c>
      <c r="E35" t="str">
        <f>IF('Raw Enrollments'!E35="","",'Raw Enrollments'!E35)</f>
        <v/>
      </c>
      <c r="F35" t="str">
        <f>IF(B35="","",IF(COUNTIF(#REF!,B35)&gt;0,"Valid","Invalid Student ID"))</f>
        <v/>
      </c>
      <c r="G35" t="str">
        <f>IF(C35="","",IF(COUNTIF('Raw Courses'!$A:$A,C35)&gt;0,"Valid","Invalid Course ID"))</f>
        <v/>
      </c>
      <c r="H35" t="str">
        <f t="shared" si="0"/>
        <v/>
      </c>
      <c r="I35" t="str">
        <f t="shared" si="1"/>
        <v/>
      </c>
    </row>
    <row r="36" spans="1:9" x14ac:dyDescent="0.3">
      <c r="A36" t="str">
        <f>IF('Raw Enrollments'!A36="","",'Raw Enrollments'!A36)</f>
        <v/>
      </c>
      <c r="B36" t="str">
        <f>IF('Raw Enrollments'!B36="","",'Raw Enrollments'!B36)</f>
        <v/>
      </c>
      <c r="C36" t="str">
        <f>IF('Raw Enrollments'!C36="","",'Raw Enrollments'!C36)</f>
        <v/>
      </c>
      <c r="D36" t="str">
        <f>IF('Raw Enrollments'!D36="","",'Raw Enrollments'!D36)</f>
        <v/>
      </c>
      <c r="E36" t="str">
        <f>IF('Raw Enrollments'!E36="","",'Raw Enrollments'!E36)</f>
        <v/>
      </c>
      <c r="F36" t="str">
        <f>IF(B36="","",IF(COUNTIF(#REF!,B36)&gt;0,"Valid","Invalid Student ID"))</f>
        <v/>
      </c>
      <c r="G36" t="str">
        <f>IF(C36="","",IF(COUNTIF('Raw Courses'!$A:$A,C36)&gt;0,"Valid","Invalid Course ID"))</f>
        <v/>
      </c>
      <c r="H36" t="str">
        <f t="shared" si="0"/>
        <v/>
      </c>
      <c r="I36" t="str">
        <f t="shared" si="1"/>
        <v/>
      </c>
    </row>
    <row r="37" spans="1:9" x14ac:dyDescent="0.3">
      <c r="A37" t="str">
        <f>IF('Raw Enrollments'!A37="","",'Raw Enrollments'!A37)</f>
        <v/>
      </c>
      <c r="B37" t="str">
        <f>IF('Raw Enrollments'!B37="","",'Raw Enrollments'!B37)</f>
        <v/>
      </c>
      <c r="C37" t="str">
        <f>IF('Raw Enrollments'!C37="","",'Raw Enrollments'!C37)</f>
        <v/>
      </c>
      <c r="D37" t="str">
        <f>IF('Raw Enrollments'!D37="","",'Raw Enrollments'!D37)</f>
        <v/>
      </c>
      <c r="E37" t="str">
        <f>IF('Raw Enrollments'!E37="","",'Raw Enrollments'!E37)</f>
        <v/>
      </c>
      <c r="F37" t="str">
        <f>IF(B37="","",IF(COUNTIF(#REF!,B37)&gt;0,"Valid","Invalid Student ID"))</f>
        <v/>
      </c>
      <c r="G37" t="str">
        <f>IF(C37="","",IF(COUNTIF('Raw Courses'!$A:$A,C37)&gt;0,"Valid","Invalid Course ID"))</f>
        <v/>
      </c>
      <c r="H37" t="str">
        <f t="shared" si="0"/>
        <v/>
      </c>
      <c r="I37" t="str">
        <f t="shared" si="1"/>
        <v/>
      </c>
    </row>
    <row r="38" spans="1:9" x14ac:dyDescent="0.3">
      <c r="A38" t="str">
        <f>IF('Raw Enrollments'!A38="","",'Raw Enrollments'!A38)</f>
        <v/>
      </c>
      <c r="B38" t="str">
        <f>IF('Raw Enrollments'!B38="","",'Raw Enrollments'!B38)</f>
        <v/>
      </c>
      <c r="C38" t="str">
        <f>IF('Raw Enrollments'!C38="","",'Raw Enrollments'!C38)</f>
        <v/>
      </c>
      <c r="D38" t="str">
        <f>IF('Raw Enrollments'!D38="","",'Raw Enrollments'!D38)</f>
        <v/>
      </c>
      <c r="E38" t="str">
        <f>IF('Raw Enrollments'!E38="","",'Raw Enrollments'!E38)</f>
        <v/>
      </c>
      <c r="F38" t="str">
        <f>IF(B38="","",IF(COUNTIF(#REF!,B38)&gt;0,"Valid","Invalid Student ID"))</f>
        <v/>
      </c>
      <c r="G38" t="str">
        <f>IF(C38="","",IF(COUNTIF('Raw Courses'!$A:$A,C38)&gt;0,"Valid","Invalid Course ID"))</f>
        <v/>
      </c>
      <c r="H38" t="str">
        <f t="shared" si="0"/>
        <v/>
      </c>
      <c r="I38" t="str">
        <f t="shared" si="1"/>
        <v/>
      </c>
    </row>
    <row r="39" spans="1:9" x14ac:dyDescent="0.3">
      <c r="A39" t="str">
        <f>IF('Raw Enrollments'!A39="","",'Raw Enrollments'!A39)</f>
        <v/>
      </c>
      <c r="B39" t="str">
        <f>IF('Raw Enrollments'!B39="","",'Raw Enrollments'!B39)</f>
        <v/>
      </c>
      <c r="C39" t="str">
        <f>IF('Raw Enrollments'!C39="","",'Raw Enrollments'!C39)</f>
        <v/>
      </c>
      <c r="D39" t="str">
        <f>IF('Raw Enrollments'!D39="","",'Raw Enrollments'!D39)</f>
        <v/>
      </c>
      <c r="E39" t="str">
        <f>IF('Raw Enrollments'!E39="","",'Raw Enrollments'!E39)</f>
        <v/>
      </c>
      <c r="F39" t="str">
        <f>IF(B39="","",IF(COUNTIF(#REF!,B39)&gt;0,"Valid","Invalid Student ID"))</f>
        <v/>
      </c>
      <c r="G39" t="str">
        <f>IF(C39="","",IF(COUNTIF('Raw Courses'!$A:$A,C39)&gt;0,"Valid","Invalid Course ID"))</f>
        <v/>
      </c>
      <c r="H39" t="str">
        <f t="shared" si="0"/>
        <v/>
      </c>
      <c r="I39" t="str">
        <f t="shared" si="1"/>
        <v/>
      </c>
    </row>
    <row r="40" spans="1:9" x14ac:dyDescent="0.3">
      <c r="A40" t="str">
        <f>IF('Raw Enrollments'!A40="","",'Raw Enrollments'!A40)</f>
        <v/>
      </c>
      <c r="B40" t="str">
        <f>IF('Raw Enrollments'!B40="","",'Raw Enrollments'!B40)</f>
        <v/>
      </c>
      <c r="C40" t="str">
        <f>IF('Raw Enrollments'!C40="","",'Raw Enrollments'!C40)</f>
        <v/>
      </c>
      <c r="D40" t="str">
        <f>IF('Raw Enrollments'!D40="","",'Raw Enrollments'!D40)</f>
        <v/>
      </c>
      <c r="E40" t="str">
        <f>IF('Raw Enrollments'!E40="","",'Raw Enrollments'!E40)</f>
        <v/>
      </c>
      <c r="F40" t="str">
        <f>IF(B40="","",IF(COUNTIF(#REF!,B40)&gt;0,"Valid","Invalid Student ID"))</f>
        <v/>
      </c>
      <c r="G40" t="str">
        <f>IF(C40="","",IF(COUNTIF('Raw Courses'!$A:$A,C40)&gt;0,"Valid","Invalid Course ID"))</f>
        <v/>
      </c>
      <c r="H40" t="str">
        <f t="shared" si="0"/>
        <v/>
      </c>
      <c r="I40" t="str">
        <f t="shared" si="1"/>
        <v/>
      </c>
    </row>
    <row r="41" spans="1:9" x14ac:dyDescent="0.3">
      <c r="A41" t="str">
        <f>IF('Raw Enrollments'!A41="","",'Raw Enrollments'!A41)</f>
        <v/>
      </c>
      <c r="B41" t="str">
        <f>IF('Raw Enrollments'!B41="","",'Raw Enrollments'!B41)</f>
        <v/>
      </c>
      <c r="C41" t="str">
        <f>IF('Raw Enrollments'!C41="","",'Raw Enrollments'!C41)</f>
        <v/>
      </c>
      <c r="D41" t="str">
        <f>IF('Raw Enrollments'!D41="","",'Raw Enrollments'!D41)</f>
        <v/>
      </c>
      <c r="E41" t="str">
        <f>IF('Raw Enrollments'!E41="","",'Raw Enrollments'!E41)</f>
        <v/>
      </c>
      <c r="F41" t="str">
        <f>IF(B41="","",IF(COUNTIF(#REF!,B41)&gt;0,"Valid","Invalid Student ID"))</f>
        <v/>
      </c>
      <c r="G41" t="str">
        <f>IF(C41="","",IF(COUNTIF('Raw Courses'!$A:$A,C41)&gt;0,"Valid","Invalid Course ID"))</f>
        <v/>
      </c>
      <c r="H41" t="str">
        <f t="shared" si="0"/>
        <v/>
      </c>
      <c r="I41" t="str">
        <f t="shared" si="1"/>
        <v/>
      </c>
    </row>
    <row r="42" spans="1:9" x14ac:dyDescent="0.3">
      <c r="A42" t="str">
        <f>IF('Raw Enrollments'!A42="","",'Raw Enrollments'!A42)</f>
        <v/>
      </c>
      <c r="B42" t="str">
        <f>IF('Raw Enrollments'!B42="","",'Raw Enrollments'!B42)</f>
        <v/>
      </c>
      <c r="C42" t="str">
        <f>IF('Raw Enrollments'!C42="","",'Raw Enrollments'!C42)</f>
        <v/>
      </c>
      <c r="D42" t="str">
        <f>IF('Raw Enrollments'!D42="","",'Raw Enrollments'!D42)</f>
        <v/>
      </c>
      <c r="E42" t="str">
        <f>IF('Raw Enrollments'!E42="","",'Raw Enrollments'!E42)</f>
        <v/>
      </c>
      <c r="F42" t="str">
        <f>IF(B42="","",IF(COUNTIF(#REF!,B42)&gt;0,"Valid","Invalid Student ID"))</f>
        <v/>
      </c>
      <c r="G42" t="str">
        <f>IF(C42="","",IF(COUNTIF('Raw Courses'!$A:$A,C42)&gt;0,"Valid","Invalid Course ID"))</f>
        <v/>
      </c>
      <c r="H42" t="str">
        <f t="shared" si="0"/>
        <v/>
      </c>
      <c r="I42" t="str">
        <f t="shared" si="1"/>
        <v/>
      </c>
    </row>
    <row r="43" spans="1:9" x14ac:dyDescent="0.3">
      <c r="A43" t="str">
        <f>IF('Raw Enrollments'!A43="","",'Raw Enrollments'!A43)</f>
        <v/>
      </c>
      <c r="B43" t="str">
        <f>IF('Raw Enrollments'!B43="","",'Raw Enrollments'!B43)</f>
        <v/>
      </c>
      <c r="C43" t="str">
        <f>IF('Raw Enrollments'!C43="","",'Raw Enrollments'!C43)</f>
        <v/>
      </c>
      <c r="D43" t="str">
        <f>IF('Raw Enrollments'!D43="","",'Raw Enrollments'!D43)</f>
        <v/>
      </c>
      <c r="E43" t="str">
        <f>IF('Raw Enrollments'!E43="","",'Raw Enrollments'!E43)</f>
        <v/>
      </c>
      <c r="F43" t="str">
        <f>IF(B43="","",IF(COUNTIF(#REF!,B43)&gt;0,"Valid","Invalid Student ID"))</f>
        <v/>
      </c>
      <c r="G43" t="str">
        <f>IF(C43="","",IF(COUNTIF('Raw Courses'!$A:$A,C43)&gt;0,"Valid","Invalid Course ID"))</f>
        <v/>
      </c>
      <c r="H43" t="str">
        <f t="shared" si="0"/>
        <v/>
      </c>
      <c r="I43" t="str">
        <f t="shared" si="1"/>
        <v/>
      </c>
    </row>
    <row r="44" spans="1:9" x14ac:dyDescent="0.3">
      <c r="A44" t="str">
        <f>IF('Raw Enrollments'!A44="","",'Raw Enrollments'!A44)</f>
        <v/>
      </c>
      <c r="B44" t="str">
        <f>IF('Raw Enrollments'!B44="","",'Raw Enrollments'!B44)</f>
        <v/>
      </c>
      <c r="C44" t="str">
        <f>IF('Raw Enrollments'!C44="","",'Raw Enrollments'!C44)</f>
        <v/>
      </c>
      <c r="D44" t="str">
        <f>IF('Raw Enrollments'!D44="","",'Raw Enrollments'!D44)</f>
        <v/>
      </c>
      <c r="E44" t="str">
        <f>IF('Raw Enrollments'!E44="","",'Raw Enrollments'!E44)</f>
        <v/>
      </c>
      <c r="F44" t="str">
        <f>IF(B44="","",IF(COUNTIF(#REF!,B44)&gt;0,"Valid","Invalid Student ID"))</f>
        <v/>
      </c>
      <c r="G44" t="str">
        <f>IF(C44="","",IF(COUNTIF('Raw Courses'!$A:$A,C44)&gt;0,"Valid","Invalid Course ID"))</f>
        <v/>
      </c>
      <c r="H44" t="str">
        <f t="shared" si="0"/>
        <v/>
      </c>
      <c r="I44" t="str">
        <f t="shared" si="1"/>
        <v/>
      </c>
    </row>
    <row r="45" spans="1:9" x14ac:dyDescent="0.3">
      <c r="A45" t="str">
        <f>IF('Raw Enrollments'!A45="","",'Raw Enrollments'!A45)</f>
        <v/>
      </c>
      <c r="B45" t="str">
        <f>IF('Raw Enrollments'!B45="","",'Raw Enrollments'!B45)</f>
        <v/>
      </c>
      <c r="C45" t="str">
        <f>IF('Raw Enrollments'!C45="","",'Raw Enrollments'!C45)</f>
        <v/>
      </c>
      <c r="D45" t="str">
        <f>IF('Raw Enrollments'!D45="","",'Raw Enrollments'!D45)</f>
        <v/>
      </c>
      <c r="E45" t="str">
        <f>IF('Raw Enrollments'!E45="","",'Raw Enrollments'!E45)</f>
        <v/>
      </c>
      <c r="F45" t="str">
        <f>IF(B45="","",IF(COUNTIF(#REF!,B45)&gt;0,"Valid","Invalid Student ID"))</f>
        <v/>
      </c>
      <c r="G45" t="str">
        <f>IF(C45="","",IF(COUNTIF('Raw Courses'!$A:$A,C45)&gt;0,"Valid","Invalid Course ID"))</f>
        <v/>
      </c>
      <c r="H45" t="str">
        <f t="shared" si="0"/>
        <v/>
      </c>
      <c r="I45" t="str">
        <f t="shared" si="1"/>
        <v/>
      </c>
    </row>
    <row r="46" spans="1:9" x14ac:dyDescent="0.3">
      <c r="A46" t="str">
        <f>IF('Raw Enrollments'!A46="","",'Raw Enrollments'!A46)</f>
        <v/>
      </c>
      <c r="B46" t="str">
        <f>IF('Raw Enrollments'!B46="","",'Raw Enrollments'!B46)</f>
        <v/>
      </c>
      <c r="C46" t="str">
        <f>IF('Raw Enrollments'!C46="","",'Raw Enrollments'!C46)</f>
        <v/>
      </c>
      <c r="D46" t="str">
        <f>IF('Raw Enrollments'!D46="","",'Raw Enrollments'!D46)</f>
        <v/>
      </c>
      <c r="E46" t="str">
        <f>IF('Raw Enrollments'!E46="","",'Raw Enrollments'!E46)</f>
        <v/>
      </c>
      <c r="F46" t="str">
        <f>IF(B46="","",IF(COUNTIF(#REF!,B46)&gt;0,"Valid","Invalid Student ID"))</f>
        <v/>
      </c>
      <c r="G46" t="str">
        <f>IF(C46="","",IF(COUNTIF('Raw Courses'!$A:$A,C46)&gt;0,"Valid","Invalid Course ID"))</f>
        <v/>
      </c>
      <c r="H46" t="str">
        <f t="shared" si="0"/>
        <v/>
      </c>
      <c r="I46" t="str">
        <f t="shared" si="1"/>
        <v/>
      </c>
    </row>
    <row r="47" spans="1:9" x14ac:dyDescent="0.3">
      <c r="A47" t="str">
        <f>IF('Raw Enrollments'!A47="","",'Raw Enrollments'!A47)</f>
        <v/>
      </c>
      <c r="B47" t="str">
        <f>IF('Raw Enrollments'!B47="","",'Raw Enrollments'!B47)</f>
        <v/>
      </c>
      <c r="C47" t="str">
        <f>IF('Raw Enrollments'!C47="","",'Raw Enrollments'!C47)</f>
        <v/>
      </c>
      <c r="D47" t="str">
        <f>IF('Raw Enrollments'!D47="","",'Raw Enrollments'!D47)</f>
        <v/>
      </c>
      <c r="E47" t="str">
        <f>IF('Raw Enrollments'!E47="","",'Raw Enrollments'!E47)</f>
        <v/>
      </c>
      <c r="F47" t="str">
        <f>IF(B47="","",IF(COUNTIF(#REF!,B47)&gt;0,"Valid","Invalid Student ID"))</f>
        <v/>
      </c>
      <c r="G47" t="str">
        <f>IF(C47="","",IF(COUNTIF('Raw Courses'!$A:$A,C47)&gt;0,"Valid","Invalid Course ID"))</f>
        <v/>
      </c>
      <c r="H47" t="str">
        <f t="shared" si="0"/>
        <v/>
      </c>
      <c r="I47" t="str">
        <f t="shared" si="1"/>
        <v/>
      </c>
    </row>
    <row r="48" spans="1:9" x14ac:dyDescent="0.3">
      <c r="A48" t="str">
        <f>IF('Raw Enrollments'!A48="","",'Raw Enrollments'!A48)</f>
        <v/>
      </c>
      <c r="B48" t="str">
        <f>IF('Raw Enrollments'!B48="","",'Raw Enrollments'!B48)</f>
        <v/>
      </c>
      <c r="C48" t="str">
        <f>IF('Raw Enrollments'!C48="","",'Raw Enrollments'!C48)</f>
        <v/>
      </c>
      <c r="D48" t="str">
        <f>IF('Raw Enrollments'!D48="","",'Raw Enrollments'!D48)</f>
        <v/>
      </c>
      <c r="E48" t="str">
        <f>IF('Raw Enrollments'!E48="","",'Raw Enrollments'!E48)</f>
        <v/>
      </c>
      <c r="F48" t="str">
        <f>IF(B48="","",IF(COUNTIF(#REF!,B48)&gt;0,"Valid","Invalid Student ID"))</f>
        <v/>
      </c>
      <c r="G48" t="str">
        <f>IF(C48="","",IF(COUNTIF('Raw Courses'!$A:$A,C48)&gt;0,"Valid","Invalid Course ID"))</f>
        <v/>
      </c>
      <c r="H48" t="str">
        <f t="shared" si="0"/>
        <v/>
      </c>
      <c r="I48" t="str">
        <f t="shared" si="1"/>
        <v/>
      </c>
    </row>
    <row r="49" spans="1:9" x14ac:dyDescent="0.3">
      <c r="A49" t="str">
        <f>IF('Raw Enrollments'!A49="","",'Raw Enrollments'!A49)</f>
        <v/>
      </c>
      <c r="B49" t="str">
        <f>IF('Raw Enrollments'!B49="","",'Raw Enrollments'!B49)</f>
        <v/>
      </c>
      <c r="C49" t="str">
        <f>IF('Raw Enrollments'!C49="","",'Raw Enrollments'!C49)</f>
        <v/>
      </c>
      <c r="D49" t="str">
        <f>IF('Raw Enrollments'!D49="","",'Raw Enrollments'!D49)</f>
        <v/>
      </c>
      <c r="E49" t="str">
        <f>IF('Raw Enrollments'!E49="","",'Raw Enrollments'!E49)</f>
        <v/>
      </c>
      <c r="F49" t="str">
        <f>IF(B49="","",IF(COUNTIF(#REF!,B49)&gt;0,"Valid","Invalid Student ID"))</f>
        <v/>
      </c>
      <c r="G49" t="str">
        <f>IF(C49="","",IF(COUNTIF('Raw Courses'!$A:$A,C49)&gt;0,"Valid","Invalid Course ID"))</f>
        <v/>
      </c>
      <c r="H49" t="str">
        <f t="shared" si="0"/>
        <v/>
      </c>
      <c r="I49" t="str">
        <f t="shared" si="1"/>
        <v/>
      </c>
    </row>
    <row r="50" spans="1:9" x14ac:dyDescent="0.3">
      <c r="A50" t="str">
        <f>IF('Raw Enrollments'!A50="","",'Raw Enrollments'!A50)</f>
        <v/>
      </c>
      <c r="B50" t="str">
        <f>IF('Raw Enrollments'!B50="","",'Raw Enrollments'!B50)</f>
        <v/>
      </c>
      <c r="C50" t="str">
        <f>IF('Raw Enrollments'!C50="","",'Raw Enrollments'!C50)</f>
        <v/>
      </c>
      <c r="D50" t="str">
        <f>IF('Raw Enrollments'!D50="","",'Raw Enrollments'!D50)</f>
        <v/>
      </c>
      <c r="E50" t="str">
        <f>IF('Raw Enrollments'!E50="","",'Raw Enrollments'!E50)</f>
        <v/>
      </c>
      <c r="F50" t="str">
        <f>IF(B50="","",IF(COUNTIF(#REF!,B50)&gt;0,"Valid","Invalid Student ID"))</f>
        <v/>
      </c>
      <c r="G50" t="str">
        <f>IF(C50="","",IF(COUNTIF('Raw Courses'!$A:$A,C50)&gt;0,"Valid","Invalid Course ID"))</f>
        <v/>
      </c>
      <c r="H50" t="str">
        <f t="shared" si="0"/>
        <v/>
      </c>
      <c r="I50" t="str">
        <f t="shared" si="1"/>
        <v/>
      </c>
    </row>
    <row r="51" spans="1:9" x14ac:dyDescent="0.3">
      <c r="A51" t="str">
        <f>IF('Raw Enrollments'!A51="","",'Raw Enrollments'!A51)</f>
        <v/>
      </c>
      <c r="B51" t="str">
        <f>IF('Raw Enrollments'!B51="","",'Raw Enrollments'!B51)</f>
        <v/>
      </c>
      <c r="C51" t="str">
        <f>IF('Raw Enrollments'!C51="","",'Raw Enrollments'!C51)</f>
        <v/>
      </c>
      <c r="D51" t="str">
        <f>IF('Raw Enrollments'!D51="","",'Raw Enrollments'!D51)</f>
        <v/>
      </c>
      <c r="E51" t="str">
        <f>IF('Raw Enrollments'!E51="","",'Raw Enrollments'!E51)</f>
        <v/>
      </c>
      <c r="F51" t="str">
        <f>IF(B51="","",IF(COUNTIF(#REF!,B51)&gt;0,"Valid","Invalid Student ID"))</f>
        <v/>
      </c>
      <c r="G51" t="str">
        <f>IF(C51="","",IF(COUNTIF('Raw Courses'!$A:$A,C51)&gt;0,"Valid","Invalid Course ID"))</f>
        <v/>
      </c>
      <c r="H51" t="str">
        <f t="shared" si="0"/>
        <v/>
      </c>
      <c r="I51" t="str">
        <f t="shared" si="1"/>
        <v/>
      </c>
    </row>
    <row r="52" spans="1:9" x14ac:dyDescent="0.3">
      <c r="A52" t="str">
        <f>IF('Raw Enrollments'!A52="","",'Raw Enrollments'!A52)</f>
        <v/>
      </c>
      <c r="B52" t="str">
        <f>IF('Raw Enrollments'!B52="","",'Raw Enrollments'!B52)</f>
        <v/>
      </c>
      <c r="C52" t="str">
        <f>IF('Raw Enrollments'!C52="","",'Raw Enrollments'!C52)</f>
        <v/>
      </c>
      <c r="D52" t="str">
        <f>IF('Raw Enrollments'!D52="","",'Raw Enrollments'!D52)</f>
        <v/>
      </c>
      <c r="E52" t="str">
        <f>IF('Raw Enrollments'!E52="","",'Raw Enrollments'!E52)</f>
        <v/>
      </c>
      <c r="F52" t="str">
        <f>IF(B52="","",IF(COUNTIF(#REF!,B52)&gt;0,"Valid","Invalid Student ID"))</f>
        <v/>
      </c>
      <c r="G52" t="str">
        <f>IF(C52="","",IF(COUNTIF('Raw Courses'!$A:$A,C52)&gt;0,"Valid","Invalid Course ID"))</f>
        <v/>
      </c>
      <c r="H52" t="str">
        <f t="shared" si="0"/>
        <v/>
      </c>
      <c r="I52" t="str">
        <f t="shared" si="1"/>
        <v/>
      </c>
    </row>
    <row r="53" spans="1:9" x14ac:dyDescent="0.3">
      <c r="A53" t="str">
        <f>IF('Raw Enrollments'!A53="","",'Raw Enrollments'!A53)</f>
        <v/>
      </c>
      <c r="B53" t="str">
        <f>IF('Raw Enrollments'!B53="","",'Raw Enrollments'!B53)</f>
        <v/>
      </c>
      <c r="C53" t="str">
        <f>IF('Raw Enrollments'!C53="","",'Raw Enrollments'!C53)</f>
        <v/>
      </c>
      <c r="D53" t="str">
        <f>IF('Raw Enrollments'!D53="","",'Raw Enrollments'!D53)</f>
        <v/>
      </c>
      <c r="E53" t="str">
        <f>IF('Raw Enrollments'!E53="","",'Raw Enrollments'!E53)</f>
        <v/>
      </c>
      <c r="F53" t="str">
        <f>IF(B53="","",IF(COUNTIF(#REF!,B53)&gt;0,"Valid","Invalid Student ID"))</f>
        <v/>
      </c>
      <c r="G53" t="str">
        <f>IF(C53="","",IF(COUNTIF('Raw Courses'!$A:$A,C53)&gt;0,"Valid","Invalid Course ID"))</f>
        <v/>
      </c>
      <c r="H53" t="str">
        <f t="shared" si="0"/>
        <v/>
      </c>
      <c r="I53" t="str">
        <f t="shared" si="1"/>
        <v/>
      </c>
    </row>
    <row r="54" spans="1:9" x14ac:dyDescent="0.3">
      <c r="A54" t="str">
        <f>IF('Raw Enrollments'!A54="","",'Raw Enrollments'!A54)</f>
        <v/>
      </c>
      <c r="B54" t="str">
        <f>IF('Raw Enrollments'!B54="","",'Raw Enrollments'!B54)</f>
        <v/>
      </c>
      <c r="C54" t="str">
        <f>IF('Raw Enrollments'!C54="","",'Raw Enrollments'!C54)</f>
        <v/>
      </c>
      <c r="D54" t="str">
        <f>IF('Raw Enrollments'!D54="","",'Raw Enrollments'!D54)</f>
        <v/>
      </c>
      <c r="E54" t="str">
        <f>IF('Raw Enrollments'!E54="","",'Raw Enrollments'!E54)</f>
        <v/>
      </c>
      <c r="F54" t="str">
        <f>IF(B54="","",IF(COUNTIF(#REF!,B54)&gt;0,"Valid","Invalid Student ID"))</f>
        <v/>
      </c>
      <c r="G54" t="str">
        <f>IF(C54="","",IF(COUNTIF('Raw Courses'!$A:$A,C54)&gt;0,"Valid","Invalid Course ID"))</f>
        <v/>
      </c>
      <c r="H54" t="str">
        <f t="shared" si="0"/>
        <v/>
      </c>
      <c r="I54" t="str">
        <f t="shared" si="1"/>
        <v/>
      </c>
    </row>
    <row r="55" spans="1:9" x14ac:dyDescent="0.3">
      <c r="A55" t="str">
        <f>IF('Raw Enrollments'!A55="","",'Raw Enrollments'!A55)</f>
        <v/>
      </c>
      <c r="B55" t="str">
        <f>IF('Raw Enrollments'!B55="","",'Raw Enrollments'!B55)</f>
        <v/>
      </c>
      <c r="C55" t="str">
        <f>IF('Raw Enrollments'!C55="","",'Raw Enrollments'!C55)</f>
        <v/>
      </c>
      <c r="D55" t="str">
        <f>IF('Raw Enrollments'!D55="","",'Raw Enrollments'!D55)</f>
        <v/>
      </c>
      <c r="E55" t="str">
        <f>IF('Raw Enrollments'!E55="","",'Raw Enrollments'!E55)</f>
        <v/>
      </c>
      <c r="F55" t="str">
        <f>IF(B55="","",IF(COUNTIF(#REF!,B55)&gt;0,"Valid","Invalid Student ID"))</f>
        <v/>
      </c>
      <c r="G55" t="str">
        <f>IF(C55="","",IF(COUNTIF('Raw Courses'!$A:$A,C55)&gt;0,"Valid","Invalid Course ID"))</f>
        <v/>
      </c>
      <c r="H55" t="str">
        <f t="shared" si="0"/>
        <v/>
      </c>
      <c r="I55" t="str">
        <f t="shared" si="1"/>
        <v/>
      </c>
    </row>
    <row r="56" spans="1:9" x14ac:dyDescent="0.3">
      <c r="A56" t="str">
        <f>IF('Raw Enrollments'!A56="","",'Raw Enrollments'!A56)</f>
        <v/>
      </c>
      <c r="B56" t="str">
        <f>IF('Raw Enrollments'!B56="","",'Raw Enrollments'!B56)</f>
        <v/>
      </c>
      <c r="C56" t="str">
        <f>IF('Raw Enrollments'!C56="","",'Raw Enrollments'!C56)</f>
        <v/>
      </c>
      <c r="D56" t="str">
        <f>IF('Raw Enrollments'!D56="","",'Raw Enrollments'!D56)</f>
        <v/>
      </c>
      <c r="E56" t="str">
        <f>IF('Raw Enrollments'!E56="","",'Raw Enrollments'!E56)</f>
        <v/>
      </c>
      <c r="F56" t="str">
        <f>IF(B56="","",IF(COUNTIF(#REF!,B56)&gt;0,"Valid","Invalid Student ID"))</f>
        <v/>
      </c>
      <c r="G56" t="str">
        <f>IF(C56="","",IF(COUNTIF('Raw Courses'!$A:$A,C56)&gt;0,"Valid","Invalid Course ID"))</f>
        <v/>
      </c>
      <c r="H56" t="str">
        <f t="shared" si="0"/>
        <v/>
      </c>
      <c r="I56" t="str">
        <f t="shared" si="1"/>
        <v/>
      </c>
    </row>
    <row r="57" spans="1:9" x14ac:dyDescent="0.3">
      <c r="A57" t="str">
        <f>IF('Raw Enrollments'!A57="","",'Raw Enrollments'!A57)</f>
        <v/>
      </c>
      <c r="B57" t="str">
        <f>IF('Raw Enrollments'!B57="","",'Raw Enrollments'!B57)</f>
        <v/>
      </c>
      <c r="C57" t="str">
        <f>IF('Raw Enrollments'!C57="","",'Raw Enrollments'!C57)</f>
        <v/>
      </c>
      <c r="D57" t="str">
        <f>IF('Raw Enrollments'!D57="","",'Raw Enrollments'!D57)</f>
        <v/>
      </c>
      <c r="E57" t="str">
        <f>IF('Raw Enrollments'!E57="","",'Raw Enrollments'!E57)</f>
        <v/>
      </c>
      <c r="F57" t="str">
        <f>IF(B57="","",IF(COUNTIF(#REF!,B57)&gt;0,"Valid","Invalid Student ID"))</f>
        <v/>
      </c>
      <c r="G57" t="str">
        <f>IF(C57="","",IF(COUNTIF('Raw Courses'!$A:$A,C57)&gt;0,"Valid","Invalid Course ID"))</f>
        <v/>
      </c>
      <c r="H57" t="str">
        <f t="shared" si="0"/>
        <v/>
      </c>
      <c r="I57" t="str">
        <f t="shared" si="1"/>
        <v/>
      </c>
    </row>
    <row r="58" spans="1:9" x14ac:dyDescent="0.3">
      <c r="A58" t="str">
        <f>IF('Raw Enrollments'!A58="","",'Raw Enrollments'!A58)</f>
        <v/>
      </c>
      <c r="B58" t="str">
        <f>IF('Raw Enrollments'!B58="","",'Raw Enrollments'!B58)</f>
        <v/>
      </c>
      <c r="C58" t="str">
        <f>IF('Raw Enrollments'!C58="","",'Raw Enrollments'!C58)</f>
        <v/>
      </c>
      <c r="D58" t="str">
        <f>IF('Raw Enrollments'!D58="","",'Raw Enrollments'!D58)</f>
        <v/>
      </c>
      <c r="E58" t="str">
        <f>IF('Raw Enrollments'!E58="","",'Raw Enrollments'!E58)</f>
        <v/>
      </c>
      <c r="F58" t="str">
        <f>IF(B58="","",IF(COUNTIF(#REF!,B58)&gt;0,"Valid","Invalid Student ID"))</f>
        <v/>
      </c>
      <c r="G58" t="str">
        <f>IF(C58="","",IF(COUNTIF('Raw Courses'!$A:$A,C58)&gt;0,"Valid","Invalid Course ID"))</f>
        <v/>
      </c>
      <c r="H58" t="str">
        <f t="shared" si="0"/>
        <v/>
      </c>
      <c r="I58" t="str">
        <f t="shared" si="1"/>
        <v/>
      </c>
    </row>
    <row r="59" spans="1:9" x14ac:dyDescent="0.3">
      <c r="A59" t="str">
        <f>IF('Raw Enrollments'!A59="","",'Raw Enrollments'!A59)</f>
        <v/>
      </c>
      <c r="B59" t="str">
        <f>IF('Raw Enrollments'!B59="","",'Raw Enrollments'!B59)</f>
        <v/>
      </c>
      <c r="C59" t="str">
        <f>IF('Raw Enrollments'!C59="","",'Raw Enrollments'!C59)</f>
        <v/>
      </c>
      <c r="D59" t="str">
        <f>IF('Raw Enrollments'!D59="","",'Raw Enrollments'!D59)</f>
        <v/>
      </c>
      <c r="E59" t="str">
        <f>IF('Raw Enrollments'!E59="","",'Raw Enrollments'!E59)</f>
        <v/>
      </c>
      <c r="F59" t="str">
        <f>IF(B59="","",IF(COUNTIF(#REF!,B59)&gt;0,"Valid","Invalid Student ID"))</f>
        <v/>
      </c>
      <c r="G59" t="str">
        <f>IF(C59="","",IF(COUNTIF('Raw Courses'!$A:$A,C59)&gt;0,"Valid","Invalid Course ID"))</f>
        <v/>
      </c>
      <c r="H59" t="str">
        <f t="shared" si="0"/>
        <v/>
      </c>
      <c r="I59" t="str">
        <f t="shared" si="1"/>
        <v/>
      </c>
    </row>
    <row r="60" spans="1:9" x14ac:dyDescent="0.3">
      <c r="A60" t="str">
        <f>IF('Raw Enrollments'!A60="","",'Raw Enrollments'!A60)</f>
        <v/>
      </c>
      <c r="B60" t="str">
        <f>IF('Raw Enrollments'!B60="","",'Raw Enrollments'!B60)</f>
        <v/>
      </c>
      <c r="C60" t="str">
        <f>IF('Raw Enrollments'!C60="","",'Raw Enrollments'!C60)</f>
        <v/>
      </c>
      <c r="D60" t="str">
        <f>IF('Raw Enrollments'!D60="","",'Raw Enrollments'!D60)</f>
        <v/>
      </c>
      <c r="E60" t="str">
        <f>IF('Raw Enrollments'!E60="","",'Raw Enrollments'!E60)</f>
        <v/>
      </c>
      <c r="F60" t="str">
        <f>IF(B60="","",IF(COUNTIF(#REF!,B60)&gt;0,"Valid","Invalid Student ID"))</f>
        <v/>
      </c>
      <c r="G60" t="str">
        <f>IF(C60="","",IF(COUNTIF('Raw Courses'!$A:$A,C60)&gt;0,"Valid","Invalid Course ID"))</f>
        <v/>
      </c>
      <c r="H60" t="str">
        <f t="shared" si="0"/>
        <v/>
      </c>
      <c r="I60" t="str">
        <f t="shared" si="1"/>
        <v/>
      </c>
    </row>
    <row r="61" spans="1:9" x14ac:dyDescent="0.3">
      <c r="A61" t="str">
        <f>IF('Raw Enrollments'!A61="","",'Raw Enrollments'!A61)</f>
        <v/>
      </c>
      <c r="B61" t="str">
        <f>IF('Raw Enrollments'!B61="","",'Raw Enrollments'!B61)</f>
        <v/>
      </c>
      <c r="C61" t="str">
        <f>IF('Raw Enrollments'!C61="","",'Raw Enrollments'!C61)</f>
        <v/>
      </c>
      <c r="D61" t="str">
        <f>IF('Raw Enrollments'!D61="","",'Raw Enrollments'!D61)</f>
        <v/>
      </c>
      <c r="E61" t="str">
        <f>IF('Raw Enrollments'!E61="","",'Raw Enrollments'!E61)</f>
        <v/>
      </c>
      <c r="F61" t="str">
        <f>IF(B61="","",IF(COUNTIF(#REF!,B61)&gt;0,"Valid","Invalid Student ID"))</f>
        <v/>
      </c>
      <c r="G61" t="str">
        <f>IF(C61="","",IF(COUNTIF('Raw Courses'!$A:$A,C61)&gt;0,"Valid","Invalid Course ID"))</f>
        <v/>
      </c>
      <c r="H61" t="str">
        <f t="shared" si="0"/>
        <v/>
      </c>
      <c r="I61" t="str">
        <f t="shared" si="1"/>
        <v/>
      </c>
    </row>
    <row r="62" spans="1:9" x14ac:dyDescent="0.3">
      <c r="A62" t="str">
        <f>IF('Raw Enrollments'!A62="","",'Raw Enrollments'!A62)</f>
        <v/>
      </c>
      <c r="B62" t="str">
        <f>IF('Raw Enrollments'!B62="","",'Raw Enrollments'!B62)</f>
        <v/>
      </c>
      <c r="C62" t="str">
        <f>IF('Raw Enrollments'!C62="","",'Raw Enrollments'!C62)</f>
        <v/>
      </c>
      <c r="D62" t="str">
        <f>IF('Raw Enrollments'!D62="","",'Raw Enrollments'!D62)</f>
        <v/>
      </c>
      <c r="E62" t="str">
        <f>IF('Raw Enrollments'!E62="","",'Raw Enrollments'!E62)</f>
        <v/>
      </c>
      <c r="F62" t="str">
        <f>IF(B62="","",IF(COUNTIF(#REF!,B62)&gt;0,"Valid","Invalid Student ID"))</f>
        <v/>
      </c>
      <c r="G62" t="str">
        <f>IF(C62="","",IF(COUNTIF('Raw Courses'!$A:$A,C62)&gt;0,"Valid","Invalid Course ID"))</f>
        <v/>
      </c>
      <c r="H62" t="str">
        <f t="shared" si="0"/>
        <v/>
      </c>
      <c r="I62" t="str">
        <f t="shared" si="1"/>
        <v/>
      </c>
    </row>
    <row r="63" spans="1:9" x14ac:dyDescent="0.3">
      <c r="A63" t="str">
        <f>IF('Raw Enrollments'!A63="","",'Raw Enrollments'!A63)</f>
        <v/>
      </c>
      <c r="B63" t="str">
        <f>IF('Raw Enrollments'!B63="","",'Raw Enrollments'!B63)</f>
        <v/>
      </c>
      <c r="C63" t="str">
        <f>IF('Raw Enrollments'!C63="","",'Raw Enrollments'!C63)</f>
        <v/>
      </c>
      <c r="D63" t="str">
        <f>IF('Raw Enrollments'!D63="","",'Raw Enrollments'!D63)</f>
        <v/>
      </c>
      <c r="E63" t="str">
        <f>IF('Raw Enrollments'!E63="","",'Raw Enrollments'!E63)</f>
        <v/>
      </c>
      <c r="F63" t="str">
        <f>IF(B63="","",IF(COUNTIF(#REF!,B63)&gt;0,"Valid","Invalid Student ID"))</f>
        <v/>
      </c>
      <c r="G63" t="str">
        <f>IF(C63="","",IF(COUNTIF('Raw Courses'!$A:$A,C63)&gt;0,"Valid","Invalid Course ID"))</f>
        <v/>
      </c>
      <c r="H63" t="str">
        <f t="shared" si="0"/>
        <v/>
      </c>
      <c r="I63" t="str">
        <f t="shared" si="1"/>
        <v/>
      </c>
    </row>
    <row r="64" spans="1:9" x14ac:dyDescent="0.3">
      <c r="A64" t="str">
        <f>IF('Raw Enrollments'!A64="","",'Raw Enrollments'!A64)</f>
        <v/>
      </c>
      <c r="B64" t="str">
        <f>IF('Raw Enrollments'!B64="","",'Raw Enrollments'!B64)</f>
        <v/>
      </c>
      <c r="C64" t="str">
        <f>IF('Raw Enrollments'!C64="","",'Raw Enrollments'!C64)</f>
        <v/>
      </c>
      <c r="D64" t="str">
        <f>IF('Raw Enrollments'!D64="","",'Raw Enrollments'!D64)</f>
        <v/>
      </c>
      <c r="E64" t="str">
        <f>IF('Raw Enrollments'!E64="","",'Raw Enrollments'!E64)</f>
        <v/>
      </c>
      <c r="F64" t="str">
        <f>IF(B64="","",IF(COUNTIF(#REF!,B64)&gt;0,"Valid","Invalid Student ID"))</f>
        <v/>
      </c>
      <c r="G64" t="str">
        <f>IF(C64="","",IF(COUNTIF('Raw Courses'!$A:$A,C64)&gt;0,"Valid","Invalid Course ID"))</f>
        <v/>
      </c>
      <c r="H64" t="str">
        <f t="shared" si="0"/>
        <v/>
      </c>
      <c r="I64" t="str">
        <f t="shared" si="1"/>
        <v/>
      </c>
    </row>
    <row r="65" spans="1:9" x14ac:dyDescent="0.3">
      <c r="A65" t="str">
        <f>IF('Raw Enrollments'!A65="","",'Raw Enrollments'!A65)</f>
        <v/>
      </c>
      <c r="B65" t="str">
        <f>IF('Raw Enrollments'!B65="","",'Raw Enrollments'!B65)</f>
        <v/>
      </c>
      <c r="C65" t="str">
        <f>IF('Raw Enrollments'!C65="","",'Raw Enrollments'!C65)</f>
        <v/>
      </c>
      <c r="D65" t="str">
        <f>IF('Raw Enrollments'!D65="","",'Raw Enrollments'!D65)</f>
        <v/>
      </c>
      <c r="E65" t="str">
        <f>IF('Raw Enrollments'!E65="","",'Raw Enrollments'!E65)</f>
        <v/>
      </c>
      <c r="F65" t="str">
        <f>IF(B65="","",IF(COUNTIF(#REF!,B65)&gt;0,"Valid","Invalid Student ID"))</f>
        <v/>
      </c>
      <c r="G65" t="str">
        <f>IF(C65="","",IF(COUNTIF('Raw Courses'!$A:$A,C65)&gt;0,"Valid","Invalid Course ID"))</f>
        <v/>
      </c>
      <c r="H65" t="str">
        <f t="shared" si="0"/>
        <v/>
      </c>
      <c r="I65" t="str">
        <f t="shared" si="1"/>
        <v/>
      </c>
    </row>
    <row r="66" spans="1:9" x14ac:dyDescent="0.3">
      <c r="A66" t="str">
        <f>IF('Raw Enrollments'!A66="","",'Raw Enrollments'!A66)</f>
        <v/>
      </c>
      <c r="B66" t="str">
        <f>IF('Raw Enrollments'!B66="","",'Raw Enrollments'!B66)</f>
        <v/>
      </c>
      <c r="C66" t="str">
        <f>IF('Raw Enrollments'!C66="","",'Raw Enrollments'!C66)</f>
        <v/>
      </c>
      <c r="D66" t="str">
        <f>IF('Raw Enrollments'!D66="","",'Raw Enrollments'!D66)</f>
        <v/>
      </c>
      <c r="E66" t="str">
        <f>IF('Raw Enrollments'!E66="","",'Raw Enrollments'!E66)</f>
        <v/>
      </c>
      <c r="F66" t="str">
        <f>IF(B66="","",IF(COUNTIF(#REF!,B66)&gt;0,"Valid","Invalid Student ID"))</f>
        <v/>
      </c>
      <c r="G66" t="str">
        <f>IF(C66="","",IF(COUNTIF('Raw Courses'!$A:$A,C66)&gt;0,"Valid","Invalid Course ID"))</f>
        <v/>
      </c>
      <c r="H66" t="str">
        <f t="shared" si="0"/>
        <v/>
      </c>
      <c r="I66" t="str">
        <f t="shared" si="1"/>
        <v/>
      </c>
    </row>
    <row r="67" spans="1:9" x14ac:dyDescent="0.3">
      <c r="A67" t="str">
        <f>IF('Raw Enrollments'!A67="","",'Raw Enrollments'!A67)</f>
        <v/>
      </c>
      <c r="B67" t="str">
        <f>IF('Raw Enrollments'!B67="","",'Raw Enrollments'!B67)</f>
        <v/>
      </c>
      <c r="C67" t="str">
        <f>IF('Raw Enrollments'!C67="","",'Raw Enrollments'!C67)</f>
        <v/>
      </c>
      <c r="D67" t="str">
        <f>IF('Raw Enrollments'!D67="","",'Raw Enrollments'!D67)</f>
        <v/>
      </c>
      <c r="E67" t="str">
        <f>IF('Raw Enrollments'!E67="","",'Raw Enrollments'!E67)</f>
        <v/>
      </c>
      <c r="F67" t="str">
        <f>IF(B67="","",IF(COUNTIF(#REF!,B67)&gt;0,"Valid","Invalid Student ID"))</f>
        <v/>
      </c>
      <c r="G67" t="str">
        <f>IF(C67="","",IF(COUNTIF('Raw Courses'!$A:$A,C67)&gt;0,"Valid","Invalid Course ID"))</f>
        <v/>
      </c>
      <c r="H67" t="str">
        <f t="shared" si="0"/>
        <v/>
      </c>
      <c r="I67" t="str">
        <f t="shared" si="1"/>
        <v/>
      </c>
    </row>
    <row r="68" spans="1:9" x14ac:dyDescent="0.3">
      <c r="A68" t="str">
        <f>IF('Raw Enrollments'!A68="","",'Raw Enrollments'!A68)</f>
        <v/>
      </c>
      <c r="B68" t="str">
        <f>IF('Raw Enrollments'!B68="","",'Raw Enrollments'!B68)</f>
        <v/>
      </c>
      <c r="C68" t="str">
        <f>IF('Raw Enrollments'!C68="","",'Raw Enrollments'!C68)</f>
        <v/>
      </c>
      <c r="D68" t="str">
        <f>IF('Raw Enrollments'!D68="","",'Raw Enrollments'!D68)</f>
        <v/>
      </c>
      <c r="E68" t="str">
        <f>IF('Raw Enrollments'!E68="","",'Raw Enrollments'!E68)</f>
        <v/>
      </c>
      <c r="F68" t="str">
        <f>IF(B68="","",IF(COUNTIF(#REF!,B68)&gt;0,"Valid","Invalid Student ID"))</f>
        <v/>
      </c>
      <c r="G68" t="str">
        <f>IF(C68="","",IF(COUNTIF('Raw Courses'!$A:$A,C68)&gt;0,"Valid","Invalid Course ID"))</f>
        <v/>
      </c>
      <c r="H68" t="str">
        <f t="shared" si="0"/>
        <v/>
      </c>
      <c r="I68" t="str">
        <f t="shared" si="1"/>
        <v/>
      </c>
    </row>
    <row r="69" spans="1:9" x14ac:dyDescent="0.3">
      <c r="A69" t="str">
        <f>IF('Raw Enrollments'!A69="","",'Raw Enrollments'!A69)</f>
        <v/>
      </c>
      <c r="B69" t="str">
        <f>IF('Raw Enrollments'!B69="","",'Raw Enrollments'!B69)</f>
        <v/>
      </c>
      <c r="C69" t="str">
        <f>IF('Raw Enrollments'!C69="","",'Raw Enrollments'!C69)</f>
        <v/>
      </c>
      <c r="D69" t="str">
        <f>IF('Raw Enrollments'!D69="","",'Raw Enrollments'!D69)</f>
        <v/>
      </c>
      <c r="E69" t="str">
        <f>IF('Raw Enrollments'!E69="","",'Raw Enrollments'!E69)</f>
        <v/>
      </c>
      <c r="F69" t="str">
        <f>IF(B69="","",IF(COUNTIF(#REF!,B69)&gt;0,"Valid","Invalid Student ID"))</f>
        <v/>
      </c>
      <c r="G69" t="str">
        <f>IF(C69="","",IF(COUNTIF('Raw Courses'!$A:$A,C69)&gt;0,"Valid","Invalid Course ID"))</f>
        <v/>
      </c>
      <c r="H69" t="str">
        <f t="shared" ref="H69:H132" si="2">IF(A69="","",IF(COUNTIF($A$5:$A$504,A69)&gt;1,"Duplicate","Unique"))</f>
        <v/>
      </c>
      <c r="I69" t="str">
        <f t="shared" ref="I69:I132" si="3">IF(A69="","",IF(OR(F69="Invalid Student ID",G69="Invalid Course ID",H69="Duplicate",D69="",E69=""),"Review","Pass"))</f>
        <v/>
      </c>
    </row>
    <row r="70" spans="1:9" x14ac:dyDescent="0.3">
      <c r="A70" t="str">
        <f>IF('Raw Enrollments'!A70="","",'Raw Enrollments'!A70)</f>
        <v/>
      </c>
      <c r="B70" t="str">
        <f>IF('Raw Enrollments'!B70="","",'Raw Enrollments'!B70)</f>
        <v/>
      </c>
      <c r="C70" t="str">
        <f>IF('Raw Enrollments'!C70="","",'Raw Enrollments'!C70)</f>
        <v/>
      </c>
      <c r="D70" t="str">
        <f>IF('Raw Enrollments'!D70="","",'Raw Enrollments'!D70)</f>
        <v/>
      </c>
      <c r="E70" t="str">
        <f>IF('Raw Enrollments'!E70="","",'Raw Enrollments'!E70)</f>
        <v/>
      </c>
      <c r="F70" t="str">
        <f>IF(B70="","",IF(COUNTIF(#REF!,B70)&gt;0,"Valid","Invalid Student ID"))</f>
        <v/>
      </c>
      <c r="G70" t="str">
        <f>IF(C70="","",IF(COUNTIF('Raw Courses'!$A:$A,C70)&gt;0,"Valid","Invalid Course ID"))</f>
        <v/>
      </c>
      <c r="H70" t="str">
        <f t="shared" si="2"/>
        <v/>
      </c>
      <c r="I70" t="str">
        <f t="shared" si="3"/>
        <v/>
      </c>
    </row>
    <row r="71" spans="1:9" x14ac:dyDescent="0.3">
      <c r="A71" t="str">
        <f>IF('Raw Enrollments'!A71="","",'Raw Enrollments'!A71)</f>
        <v/>
      </c>
      <c r="B71" t="str">
        <f>IF('Raw Enrollments'!B71="","",'Raw Enrollments'!B71)</f>
        <v/>
      </c>
      <c r="C71" t="str">
        <f>IF('Raw Enrollments'!C71="","",'Raw Enrollments'!C71)</f>
        <v/>
      </c>
      <c r="D71" t="str">
        <f>IF('Raw Enrollments'!D71="","",'Raw Enrollments'!D71)</f>
        <v/>
      </c>
      <c r="E71" t="str">
        <f>IF('Raw Enrollments'!E71="","",'Raw Enrollments'!E71)</f>
        <v/>
      </c>
      <c r="F71" t="str">
        <f>IF(B71="","",IF(COUNTIF(#REF!,B71)&gt;0,"Valid","Invalid Student ID"))</f>
        <v/>
      </c>
      <c r="G71" t="str">
        <f>IF(C71="","",IF(COUNTIF('Raw Courses'!$A:$A,C71)&gt;0,"Valid","Invalid Course ID"))</f>
        <v/>
      </c>
      <c r="H71" t="str">
        <f t="shared" si="2"/>
        <v/>
      </c>
      <c r="I71" t="str">
        <f t="shared" si="3"/>
        <v/>
      </c>
    </row>
    <row r="72" spans="1:9" x14ac:dyDescent="0.3">
      <c r="A72" t="str">
        <f>IF('Raw Enrollments'!A72="","",'Raw Enrollments'!A72)</f>
        <v/>
      </c>
      <c r="B72" t="str">
        <f>IF('Raw Enrollments'!B72="","",'Raw Enrollments'!B72)</f>
        <v/>
      </c>
      <c r="C72" t="str">
        <f>IF('Raw Enrollments'!C72="","",'Raw Enrollments'!C72)</f>
        <v/>
      </c>
      <c r="D72" t="str">
        <f>IF('Raw Enrollments'!D72="","",'Raw Enrollments'!D72)</f>
        <v/>
      </c>
      <c r="E72" t="str">
        <f>IF('Raw Enrollments'!E72="","",'Raw Enrollments'!E72)</f>
        <v/>
      </c>
      <c r="F72" t="str">
        <f>IF(B72="","",IF(COUNTIF(#REF!,B72)&gt;0,"Valid","Invalid Student ID"))</f>
        <v/>
      </c>
      <c r="G72" t="str">
        <f>IF(C72="","",IF(COUNTIF('Raw Courses'!$A:$A,C72)&gt;0,"Valid","Invalid Course ID"))</f>
        <v/>
      </c>
      <c r="H72" t="str">
        <f t="shared" si="2"/>
        <v/>
      </c>
      <c r="I72" t="str">
        <f t="shared" si="3"/>
        <v/>
      </c>
    </row>
    <row r="73" spans="1:9" x14ac:dyDescent="0.3">
      <c r="A73" t="str">
        <f>IF('Raw Enrollments'!A73="","",'Raw Enrollments'!A73)</f>
        <v/>
      </c>
      <c r="B73" t="str">
        <f>IF('Raw Enrollments'!B73="","",'Raw Enrollments'!B73)</f>
        <v/>
      </c>
      <c r="C73" t="str">
        <f>IF('Raw Enrollments'!C73="","",'Raw Enrollments'!C73)</f>
        <v/>
      </c>
      <c r="D73" t="str">
        <f>IF('Raw Enrollments'!D73="","",'Raw Enrollments'!D73)</f>
        <v/>
      </c>
      <c r="E73" t="str">
        <f>IF('Raw Enrollments'!E73="","",'Raw Enrollments'!E73)</f>
        <v/>
      </c>
      <c r="F73" t="str">
        <f>IF(B73="","",IF(COUNTIF(#REF!,B73)&gt;0,"Valid","Invalid Student ID"))</f>
        <v/>
      </c>
      <c r="G73" t="str">
        <f>IF(C73="","",IF(COUNTIF('Raw Courses'!$A:$A,C73)&gt;0,"Valid","Invalid Course ID"))</f>
        <v/>
      </c>
      <c r="H73" t="str">
        <f t="shared" si="2"/>
        <v/>
      </c>
      <c r="I73" t="str">
        <f t="shared" si="3"/>
        <v/>
      </c>
    </row>
    <row r="74" spans="1:9" x14ac:dyDescent="0.3">
      <c r="A74" t="str">
        <f>IF('Raw Enrollments'!A74="","",'Raw Enrollments'!A74)</f>
        <v/>
      </c>
      <c r="B74" t="str">
        <f>IF('Raw Enrollments'!B74="","",'Raw Enrollments'!B74)</f>
        <v/>
      </c>
      <c r="C74" t="str">
        <f>IF('Raw Enrollments'!C74="","",'Raw Enrollments'!C74)</f>
        <v/>
      </c>
      <c r="D74" t="str">
        <f>IF('Raw Enrollments'!D74="","",'Raw Enrollments'!D74)</f>
        <v/>
      </c>
      <c r="E74" t="str">
        <f>IF('Raw Enrollments'!E74="","",'Raw Enrollments'!E74)</f>
        <v/>
      </c>
      <c r="F74" t="str">
        <f>IF(B74="","",IF(COUNTIF(#REF!,B74)&gt;0,"Valid","Invalid Student ID"))</f>
        <v/>
      </c>
      <c r="G74" t="str">
        <f>IF(C74="","",IF(COUNTIF('Raw Courses'!$A:$A,C74)&gt;0,"Valid","Invalid Course ID"))</f>
        <v/>
      </c>
      <c r="H74" t="str">
        <f t="shared" si="2"/>
        <v/>
      </c>
      <c r="I74" t="str">
        <f t="shared" si="3"/>
        <v/>
      </c>
    </row>
    <row r="75" spans="1:9" x14ac:dyDescent="0.3">
      <c r="A75" t="str">
        <f>IF('Raw Enrollments'!A75="","",'Raw Enrollments'!A75)</f>
        <v/>
      </c>
      <c r="B75" t="str">
        <f>IF('Raw Enrollments'!B75="","",'Raw Enrollments'!B75)</f>
        <v/>
      </c>
      <c r="C75" t="str">
        <f>IF('Raw Enrollments'!C75="","",'Raw Enrollments'!C75)</f>
        <v/>
      </c>
      <c r="D75" t="str">
        <f>IF('Raw Enrollments'!D75="","",'Raw Enrollments'!D75)</f>
        <v/>
      </c>
      <c r="E75" t="str">
        <f>IF('Raw Enrollments'!E75="","",'Raw Enrollments'!E75)</f>
        <v/>
      </c>
      <c r="F75" t="str">
        <f>IF(B75="","",IF(COUNTIF(#REF!,B75)&gt;0,"Valid","Invalid Student ID"))</f>
        <v/>
      </c>
      <c r="G75" t="str">
        <f>IF(C75="","",IF(COUNTIF('Raw Courses'!$A:$A,C75)&gt;0,"Valid","Invalid Course ID"))</f>
        <v/>
      </c>
      <c r="H75" t="str">
        <f t="shared" si="2"/>
        <v/>
      </c>
      <c r="I75" t="str">
        <f t="shared" si="3"/>
        <v/>
      </c>
    </row>
    <row r="76" spans="1:9" x14ac:dyDescent="0.3">
      <c r="A76" t="str">
        <f>IF('Raw Enrollments'!A76="","",'Raw Enrollments'!A76)</f>
        <v/>
      </c>
      <c r="B76" t="str">
        <f>IF('Raw Enrollments'!B76="","",'Raw Enrollments'!B76)</f>
        <v/>
      </c>
      <c r="C76" t="str">
        <f>IF('Raw Enrollments'!C76="","",'Raw Enrollments'!C76)</f>
        <v/>
      </c>
      <c r="D76" t="str">
        <f>IF('Raw Enrollments'!D76="","",'Raw Enrollments'!D76)</f>
        <v/>
      </c>
      <c r="E76" t="str">
        <f>IF('Raw Enrollments'!E76="","",'Raw Enrollments'!E76)</f>
        <v/>
      </c>
      <c r="F76" t="str">
        <f>IF(B76="","",IF(COUNTIF(#REF!,B76)&gt;0,"Valid","Invalid Student ID"))</f>
        <v/>
      </c>
      <c r="G76" t="str">
        <f>IF(C76="","",IF(COUNTIF('Raw Courses'!$A:$A,C76)&gt;0,"Valid","Invalid Course ID"))</f>
        <v/>
      </c>
      <c r="H76" t="str">
        <f t="shared" si="2"/>
        <v/>
      </c>
      <c r="I76" t="str">
        <f t="shared" si="3"/>
        <v/>
      </c>
    </row>
    <row r="77" spans="1:9" x14ac:dyDescent="0.3">
      <c r="A77" t="str">
        <f>IF('Raw Enrollments'!A77="","",'Raw Enrollments'!A77)</f>
        <v/>
      </c>
      <c r="B77" t="str">
        <f>IF('Raw Enrollments'!B77="","",'Raw Enrollments'!B77)</f>
        <v/>
      </c>
      <c r="C77" t="str">
        <f>IF('Raw Enrollments'!C77="","",'Raw Enrollments'!C77)</f>
        <v/>
      </c>
      <c r="D77" t="str">
        <f>IF('Raw Enrollments'!D77="","",'Raw Enrollments'!D77)</f>
        <v/>
      </c>
      <c r="E77" t="str">
        <f>IF('Raw Enrollments'!E77="","",'Raw Enrollments'!E77)</f>
        <v/>
      </c>
      <c r="F77" t="str">
        <f>IF(B77="","",IF(COUNTIF(#REF!,B77)&gt;0,"Valid","Invalid Student ID"))</f>
        <v/>
      </c>
      <c r="G77" t="str">
        <f>IF(C77="","",IF(COUNTIF('Raw Courses'!$A:$A,C77)&gt;0,"Valid","Invalid Course ID"))</f>
        <v/>
      </c>
      <c r="H77" t="str">
        <f t="shared" si="2"/>
        <v/>
      </c>
      <c r="I77" t="str">
        <f t="shared" si="3"/>
        <v/>
      </c>
    </row>
    <row r="78" spans="1:9" x14ac:dyDescent="0.3">
      <c r="A78" t="str">
        <f>IF('Raw Enrollments'!A78="","",'Raw Enrollments'!A78)</f>
        <v/>
      </c>
      <c r="B78" t="str">
        <f>IF('Raw Enrollments'!B78="","",'Raw Enrollments'!B78)</f>
        <v/>
      </c>
      <c r="C78" t="str">
        <f>IF('Raw Enrollments'!C78="","",'Raw Enrollments'!C78)</f>
        <v/>
      </c>
      <c r="D78" t="str">
        <f>IF('Raw Enrollments'!D78="","",'Raw Enrollments'!D78)</f>
        <v/>
      </c>
      <c r="E78" t="str">
        <f>IF('Raw Enrollments'!E78="","",'Raw Enrollments'!E78)</f>
        <v/>
      </c>
      <c r="F78" t="str">
        <f>IF(B78="","",IF(COUNTIF(#REF!,B78)&gt;0,"Valid","Invalid Student ID"))</f>
        <v/>
      </c>
      <c r="G78" t="str">
        <f>IF(C78="","",IF(COUNTIF('Raw Courses'!$A:$A,C78)&gt;0,"Valid","Invalid Course ID"))</f>
        <v/>
      </c>
      <c r="H78" t="str">
        <f t="shared" si="2"/>
        <v/>
      </c>
      <c r="I78" t="str">
        <f t="shared" si="3"/>
        <v/>
      </c>
    </row>
    <row r="79" spans="1:9" x14ac:dyDescent="0.3">
      <c r="A79" t="str">
        <f>IF('Raw Enrollments'!A79="","",'Raw Enrollments'!A79)</f>
        <v/>
      </c>
      <c r="B79" t="str">
        <f>IF('Raw Enrollments'!B79="","",'Raw Enrollments'!B79)</f>
        <v/>
      </c>
      <c r="C79" t="str">
        <f>IF('Raw Enrollments'!C79="","",'Raw Enrollments'!C79)</f>
        <v/>
      </c>
      <c r="D79" t="str">
        <f>IF('Raw Enrollments'!D79="","",'Raw Enrollments'!D79)</f>
        <v/>
      </c>
      <c r="E79" t="str">
        <f>IF('Raw Enrollments'!E79="","",'Raw Enrollments'!E79)</f>
        <v/>
      </c>
      <c r="F79" t="str">
        <f>IF(B79="","",IF(COUNTIF(#REF!,B79)&gt;0,"Valid","Invalid Student ID"))</f>
        <v/>
      </c>
      <c r="G79" t="str">
        <f>IF(C79="","",IF(COUNTIF('Raw Courses'!$A:$A,C79)&gt;0,"Valid","Invalid Course ID"))</f>
        <v/>
      </c>
      <c r="H79" t="str">
        <f t="shared" si="2"/>
        <v/>
      </c>
      <c r="I79" t="str">
        <f t="shared" si="3"/>
        <v/>
      </c>
    </row>
    <row r="80" spans="1:9" x14ac:dyDescent="0.3">
      <c r="A80" t="str">
        <f>IF('Raw Enrollments'!A80="","",'Raw Enrollments'!A80)</f>
        <v/>
      </c>
      <c r="B80" t="str">
        <f>IF('Raw Enrollments'!B80="","",'Raw Enrollments'!B80)</f>
        <v/>
      </c>
      <c r="C80" t="str">
        <f>IF('Raw Enrollments'!C80="","",'Raw Enrollments'!C80)</f>
        <v/>
      </c>
      <c r="D80" t="str">
        <f>IF('Raw Enrollments'!D80="","",'Raw Enrollments'!D80)</f>
        <v/>
      </c>
      <c r="E80" t="str">
        <f>IF('Raw Enrollments'!E80="","",'Raw Enrollments'!E80)</f>
        <v/>
      </c>
      <c r="F80" t="str">
        <f>IF(B80="","",IF(COUNTIF(#REF!,B80)&gt;0,"Valid","Invalid Student ID"))</f>
        <v/>
      </c>
      <c r="G80" t="str">
        <f>IF(C80="","",IF(COUNTIF('Raw Courses'!$A:$A,C80)&gt;0,"Valid","Invalid Course ID"))</f>
        <v/>
      </c>
      <c r="H80" t="str">
        <f t="shared" si="2"/>
        <v/>
      </c>
      <c r="I80" t="str">
        <f t="shared" si="3"/>
        <v/>
      </c>
    </row>
    <row r="81" spans="1:9" x14ac:dyDescent="0.3">
      <c r="A81" t="str">
        <f>IF('Raw Enrollments'!A81="","",'Raw Enrollments'!A81)</f>
        <v/>
      </c>
      <c r="B81" t="str">
        <f>IF('Raw Enrollments'!B81="","",'Raw Enrollments'!B81)</f>
        <v/>
      </c>
      <c r="C81" t="str">
        <f>IF('Raw Enrollments'!C81="","",'Raw Enrollments'!C81)</f>
        <v/>
      </c>
      <c r="D81" t="str">
        <f>IF('Raw Enrollments'!D81="","",'Raw Enrollments'!D81)</f>
        <v/>
      </c>
      <c r="E81" t="str">
        <f>IF('Raw Enrollments'!E81="","",'Raw Enrollments'!E81)</f>
        <v/>
      </c>
      <c r="F81" t="str">
        <f>IF(B81="","",IF(COUNTIF(#REF!,B81)&gt;0,"Valid","Invalid Student ID"))</f>
        <v/>
      </c>
      <c r="G81" t="str">
        <f>IF(C81="","",IF(COUNTIF('Raw Courses'!$A:$A,C81)&gt;0,"Valid","Invalid Course ID"))</f>
        <v/>
      </c>
      <c r="H81" t="str">
        <f t="shared" si="2"/>
        <v/>
      </c>
      <c r="I81" t="str">
        <f t="shared" si="3"/>
        <v/>
      </c>
    </row>
    <row r="82" spans="1:9" x14ac:dyDescent="0.3">
      <c r="A82" t="str">
        <f>IF('Raw Enrollments'!A82="","",'Raw Enrollments'!A82)</f>
        <v/>
      </c>
      <c r="B82" t="str">
        <f>IF('Raw Enrollments'!B82="","",'Raw Enrollments'!B82)</f>
        <v/>
      </c>
      <c r="C82" t="str">
        <f>IF('Raw Enrollments'!C82="","",'Raw Enrollments'!C82)</f>
        <v/>
      </c>
      <c r="D82" t="str">
        <f>IF('Raw Enrollments'!D82="","",'Raw Enrollments'!D82)</f>
        <v/>
      </c>
      <c r="E82" t="str">
        <f>IF('Raw Enrollments'!E82="","",'Raw Enrollments'!E82)</f>
        <v/>
      </c>
      <c r="F82" t="str">
        <f>IF(B82="","",IF(COUNTIF(#REF!,B82)&gt;0,"Valid","Invalid Student ID"))</f>
        <v/>
      </c>
      <c r="G82" t="str">
        <f>IF(C82="","",IF(COUNTIF('Raw Courses'!$A:$A,C82)&gt;0,"Valid","Invalid Course ID"))</f>
        <v/>
      </c>
      <c r="H82" t="str">
        <f t="shared" si="2"/>
        <v/>
      </c>
      <c r="I82" t="str">
        <f t="shared" si="3"/>
        <v/>
      </c>
    </row>
    <row r="83" spans="1:9" x14ac:dyDescent="0.3">
      <c r="A83" t="str">
        <f>IF('Raw Enrollments'!A83="","",'Raw Enrollments'!A83)</f>
        <v/>
      </c>
      <c r="B83" t="str">
        <f>IF('Raw Enrollments'!B83="","",'Raw Enrollments'!B83)</f>
        <v/>
      </c>
      <c r="C83" t="str">
        <f>IF('Raw Enrollments'!C83="","",'Raw Enrollments'!C83)</f>
        <v/>
      </c>
      <c r="D83" t="str">
        <f>IF('Raw Enrollments'!D83="","",'Raw Enrollments'!D83)</f>
        <v/>
      </c>
      <c r="E83" t="str">
        <f>IF('Raw Enrollments'!E83="","",'Raw Enrollments'!E83)</f>
        <v/>
      </c>
      <c r="F83" t="str">
        <f>IF(B83="","",IF(COUNTIF(#REF!,B83)&gt;0,"Valid","Invalid Student ID"))</f>
        <v/>
      </c>
      <c r="G83" t="str">
        <f>IF(C83="","",IF(COUNTIF('Raw Courses'!$A:$A,C83)&gt;0,"Valid","Invalid Course ID"))</f>
        <v/>
      </c>
      <c r="H83" t="str">
        <f t="shared" si="2"/>
        <v/>
      </c>
      <c r="I83" t="str">
        <f t="shared" si="3"/>
        <v/>
      </c>
    </row>
    <row r="84" spans="1:9" x14ac:dyDescent="0.3">
      <c r="A84" t="str">
        <f>IF('Raw Enrollments'!A84="","",'Raw Enrollments'!A84)</f>
        <v/>
      </c>
      <c r="B84" t="str">
        <f>IF('Raw Enrollments'!B84="","",'Raw Enrollments'!B84)</f>
        <v/>
      </c>
      <c r="C84" t="str">
        <f>IF('Raw Enrollments'!C84="","",'Raw Enrollments'!C84)</f>
        <v/>
      </c>
      <c r="D84" t="str">
        <f>IF('Raw Enrollments'!D84="","",'Raw Enrollments'!D84)</f>
        <v/>
      </c>
      <c r="E84" t="str">
        <f>IF('Raw Enrollments'!E84="","",'Raw Enrollments'!E84)</f>
        <v/>
      </c>
      <c r="F84" t="str">
        <f>IF(B84="","",IF(COUNTIF(#REF!,B84)&gt;0,"Valid","Invalid Student ID"))</f>
        <v/>
      </c>
      <c r="G84" t="str">
        <f>IF(C84="","",IF(COUNTIF('Raw Courses'!$A:$A,C84)&gt;0,"Valid","Invalid Course ID"))</f>
        <v/>
      </c>
      <c r="H84" t="str">
        <f t="shared" si="2"/>
        <v/>
      </c>
      <c r="I84" t="str">
        <f t="shared" si="3"/>
        <v/>
      </c>
    </row>
    <row r="85" spans="1:9" x14ac:dyDescent="0.3">
      <c r="A85" t="str">
        <f>IF('Raw Enrollments'!A85="","",'Raw Enrollments'!A85)</f>
        <v/>
      </c>
      <c r="B85" t="str">
        <f>IF('Raw Enrollments'!B85="","",'Raw Enrollments'!B85)</f>
        <v/>
      </c>
      <c r="C85" t="str">
        <f>IF('Raw Enrollments'!C85="","",'Raw Enrollments'!C85)</f>
        <v/>
      </c>
      <c r="D85" t="str">
        <f>IF('Raw Enrollments'!D85="","",'Raw Enrollments'!D85)</f>
        <v/>
      </c>
      <c r="E85" t="str">
        <f>IF('Raw Enrollments'!E85="","",'Raw Enrollments'!E85)</f>
        <v/>
      </c>
      <c r="F85" t="str">
        <f>IF(B85="","",IF(COUNTIF(#REF!,B85)&gt;0,"Valid","Invalid Student ID"))</f>
        <v/>
      </c>
      <c r="G85" t="str">
        <f>IF(C85="","",IF(COUNTIF('Raw Courses'!$A:$A,C85)&gt;0,"Valid","Invalid Course ID"))</f>
        <v/>
      </c>
      <c r="H85" t="str">
        <f t="shared" si="2"/>
        <v/>
      </c>
      <c r="I85" t="str">
        <f t="shared" si="3"/>
        <v/>
      </c>
    </row>
    <row r="86" spans="1:9" x14ac:dyDescent="0.3">
      <c r="A86" t="str">
        <f>IF('Raw Enrollments'!A86="","",'Raw Enrollments'!A86)</f>
        <v/>
      </c>
      <c r="B86" t="str">
        <f>IF('Raw Enrollments'!B86="","",'Raw Enrollments'!B86)</f>
        <v/>
      </c>
      <c r="C86" t="str">
        <f>IF('Raw Enrollments'!C86="","",'Raw Enrollments'!C86)</f>
        <v/>
      </c>
      <c r="D86" t="str">
        <f>IF('Raw Enrollments'!D86="","",'Raw Enrollments'!D86)</f>
        <v/>
      </c>
      <c r="E86" t="str">
        <f>IF('Raw Enrollments'!E86="","",'Raw Enrollments'!E86)</f>
        <v/>
      </c>
      <c r="F86" t="str">
        <f>IF(B86="","",IF(COUNTIF(#REF!,B86)&gt;0,"Valid","Invalid Student ID"))</f>
        <v/>
      </c>
      <c r="G86" t="str">
        <f>IF(C86="","",IF(COUNTIF('Raw Courses'!$A:$A,C86)&gt;0,"Valid","Invalid Course ID"))</f>
        <v/>
      </c>
      <c r="H86" t="str">
        <f t="shared" si="2"/>
        <v/>
      </c>
      <c r="I86" t="str">
        <f t="shared" si="3"/>
        <v/>
      </c>
    </row>
    <row r="87" spans="1:9" x14ac:dyDescent="0.3">
      <c r="A87" t="str">
        <f>IF('Raw Enrollments'!A87="","",'Raw Enrollments'!A87)</f>
        <v/>
      </c>
      <c r="B87" t="str">
        <f>IF('Raw Enrollments'!B87="","",'Raw Enrollments'!B87)</f>
        <v/>
      </c>
      <c r="C87" t="str">
        <f>IF('Raw Enrollments'!C87="","",'Raw Enrollments'!C87)</f>
        <v/>
      </c>
      <c r="D87" t="str">
        <f>IF('Raw Enrollments'!D87="","",'Raw Enrollments'!D87)</f>
        <v/>
      </c>
      <c r="E87" t="str">
        <f>IF('Raw Enrollments'!E87="","",'Raw Enrollments'!E87)</f>
        <v/>
      </c>
      <c r="F87" t="str">
        <f>IF(B87="","",IF(COUNTIF(#REF!,B87)&gt;0,"Valid","Invalid Student ID"))</f>
        <v/>
      </c>
      <c r="G87" t="str">
        <f>IF(C87="","",IF(COUNTIF('Raw Courses'!$A:$A,C87)&gt;0,"Valid","Invalid Course ID"))</f>
        <v/>
      </c>
      <c r="H87" t="str">
        <f t="shared" si="2"/>
        <v/>
      </c>
      <c r="I87" t="str">
        <f t="shared" si="3"/>
        <v/>
      </c>
    </row>
    <row r="88" spans="1:9" x14ac:dyDescent="0.3">
      <c r="A88" t="str">
        <f>IF('Raw Enrollments'!A88="","",'Raw Enrollments'!A88)</f>
        <v/>
      </c>
      <c r="B88" t="str">
        <f>IF('Raw Enrollments'!B88="","",'Raw Enrollments'!B88)</f>
        <v/>
      </c>
      <c r="C88" t="str">
        <f>IF('Raw Enrollments'!C88="","",'Raw Enrollments'!C88)</f>
        <v/>
      </c>
      <c r="D88" t="str">
        <f>IF('Raw Enrollments'!D88="","",'Raw Enrollments'!D88)</f>
        <v/>
      </c>
      <c r="E88" t="str">
        <f>IF('Raw Enrollments'!E88="","",'Raw Enrollments'!E88)</f>
        <v/>
      </c>
      <c r="F88" t="str">
        <f>IF(B88="","",IF(COUNTIF(#REF!,B88)&gt;0,"Valid","Invalid Student ID"))</f>
        <v/>
      </c>
      <c r="G88" t="str">
        <f>IF(C88="","",IF(COUNTIF('Raw Courses'!$A:$A,C88)&gt;0,"Valid","Invalid Course ID"))</f>
        <v/>
      </c>
      <c r="H88" t="str">
        <f t="shared" si="2"/>
        <v/>
      </c>
      <c r="I88" t="str">
        <f t="shared" si="3"/>
        <v/>
      </c>
    </row>
    <row r="89" spans="1:9" x14ac:dyDescent="0.3">
      <c r="A89" t="str">
        <f>IF('Raw Enrollments'!A89="","",'Raw Enrollments'!A89)</f>
        <v/>
      </c>
      <c r="B89" t="str">
        <f>IF('Raw Enrollments'!B89="","",'Raw Enrollments'!B89)</f>
        <v/>
      </c>
      <c r="C89" t="str">
        <f>IF('Raw Enrollments'!C89="","",'Raw Enrollments'!C89)</f>
        <v/>
      </c>
      <c r="D89" t="str">
        <f>IF('Raw Enrollments'!D89="","",'Raw Enrollments'!D89)</f>
        <v/>
      </c>
      <c r="E89" t="str">
        <f>IF('Raw Enrollments'!E89="","",'Raw Enrollments'!E89)</f>
        <v/>
      </c>
      <c r="F89" t="str">
        <f>IF(B89="","",IF(COUNTIF(#REF!,B89)&gt;0,"Valid","Invalid Student ID"))</f>
        <v/>
      </c>
      <c r="G89" t="str">
        <f>IF(C89="","",IF(COUNTIF('Raw Courses'!$A:$A,C89)&gt;0,"Valid","Invalid Course ID"))</f>
        <v/>
      </c>
      <c r="H89" t="str">
        <f t="shared" si="2"/>
        <v/>
      </c>
      <c r="I89" t="str">
        <f t="shared" si="3"/>
        <v/>
      </c>
    </row>
    <row r="90" spans="1:9" x14ac:dyDescent="0.3">
      <c r="A90" t="str">
        <f>IF('Raw Enrollments'!A90="","",'Raw Enrollments'!A90)</f>
        <v/>
      </c>
      <c r="B90" t="str">
        <f>IF('Raw Enrollments'!B90="","",'Raw Enrollments'!B90)</f>
        <v/>
      </c>
      <c r="C90" t="str">
        <f>IF('Raw Enrollments'!C90="","",'Raw Enrollments'!C90)</f>
        <v/>
      </c>
      <c r="D90" t="str">
        <f>IF('Raw Enrollments'!D90="","",'Raw Enrollments'!D90)</f>
        <v/>
      </c>
      <c r="E90" t="str">
        <f>IF('Raw Enrollments'!E90="","",'Raw Enrollments'!E90)</f>
        <v/>
      </c>
      <c r="F90" t="str">
        <f>IF(B90="","",IF(COUNTIF(#REF!,B90)&gt;0,"Valid","Invalid Student ID"))</f>
        <v/>
      </c>
      <c r="G90" t="str">
        <f>IF(C90="","",IF(COUNTIF('Raw Courses'!$A:$A,C90)&gt;0,"Valid","Invalid Course ID"))</f>
        <v/>
      </c>
      <c r="H90" t="str">
        <f t="shared" si="2"/>
        <v/>
      </c>
      <c r="I90" t="str">
        <f t="shared" si="3"/>
        <v/>
      </c>
    </row>
    <row r="91" spans="1:9" x14ac:dyDescent="0.3">
      <c r="A91" t="str">
        <f>IF('Raw Enrollments'!A91="","",'Raw Enrollments'!A91)</f>
        <v/>
      </c>
      <c r="B91" t="str">
        <f>IF('Raw Enrollments'!B91="","",'Raw Enrollments'!B91)</f>
        <v/>
      </c>
      <c r="C91" t="str">
        <f>IF('Raw Enrollments'!C91="","",'Raw Enrollments'!C91)</f>
        <v/>
      </c>
      <c r="D91" t="str">
        <f>IF('Raw Enrollments'!D91="","",'Raw Enrollments'!D91)</f>
        <v/>
      </c>
      <c r="E91" t="str">
        <f>IF('Raw Enrollments'!E91="","",'Raw Enrollments'!E91)</f>
        <v/>
      </c>
      <c r="F91" t="str">
        <f>IF(B91="","",IF(COUNTIF(#REF!,B91)&gt;0,"Valid","Invalid Student ID"))</f>
        <v/>
      </c>
      <c r="G91" t="str">
        <f>IF(C91="","",IF(COUNTIF('Raw Courses'!$A:$A,C91)&gt;0,"Valid","Invalid Course ID"))</f>
        <v/>
      </c>
      <c r="H91" t="str">
        <f t="shared" si="2"/>
        <v/>
      </c>
      <c r="I91" t="str">
        <f t="shared" si="3"/>
        <v/>
      </c>
    </row>
    <row r="92" spans="1:9" x14ac:dyDescent="0.3">
      <c r="A92" t="str">
        <f>IF('Raw Enrollments'!A92="","",'Raw Enrollments'!A92)</f>
        <v/>
      </c>
      <c r="B92" t="str">
        <f>IF('Raw Enrollments'!B92="","",'Raw Enrollments'!B92)</f>
        <v/>
      </c>
      <c r="C92" t="str">
        <f>IF('Raw Enrollments'!C92="","",'Raw Enrollments'!C92)</f>
        <v/>
      </c>
      <c r="D92" t="str">
        <f>IF('Raw Enrollments'!D92="","",'Raw Enrollments'!D92)</f>
        <v/>
      </c>
      <c r="E92" t="str">
        <f>IF('Raw Enrollments'!E92="","",'Raw Enrollments'!E92)</f>
        <v/>
      </c>
      <c r="F92" t="str">
        <f>IF(B92="","",IF(COUNTIF(#REF!,B92)&gt;0,"Valid","Invalid Student ID"))</f>
        <v/>
      </c>
      <c r="G92" t="str">
        <f>IF(C92="","",IF(COUNTIF('Raw Courses'!$A:$A,C92)&gt;0,"Valid","Invalid Course ID"))</f>
        <v/>
      </c>
      <c r="H92" t="str">
        <f t="shared" si="2"/>
        <v/>
      </c>
      <c r="I92" t="str">
        <f t="shared" si="3"/>
        <v/>
      </c>
    </row>
    <row r="93" spans="1:9" x14ac:dyDescent="0.3">
      <c r="A93" t="str">
        <f>IF('Raw Enrollments'!A93="","",'Raw Enrollments'!A93)</f>
        <v/>
      </c>
      <c r="B93" t="str">
        <f>IF('Raw Enrollments'!B93="","",'Raw Enrollments'!B93)</f>
        <v/>
      </c>
      <c r="C93" t="str">
        <f>IF('Raw Enrollments'!C93="","",'Raw Enrollments'!C93)</f>
        <v/>
      </c>
      <c r="D93" t="str">
        <f>IF('Raw Enrollments'!D93="","",'Raw Enrollments'!D93)</f>
        <v/>
      </c>
      <c r="E93" t="str">
        <f>IF('Raw Enrollments'!E93="","",'Raw Enrollments'!E93)</f>
        <v/>
      </c>
      <c r="F93" t="str">
        <f>IF(B93="","",IF(COUNTIF(#REF!,B93)&gt;0,"Valid","Invalid Student ID"))</f>
        <v/>
      </c>
      <c r="G93" t="str">
        <f>IF(C93="","",IF(COUNTIF('Raw Courses'!$A:$A,C93)&gt;0,"Valid","Invalid Course ID"))</f>
        <v/>
      </c>
      <c r="H93" t="str">
        <f t="shared" si="2"/>
        <v/>
      </c>
      <c r="I93" t="str">
        <f t="shared" si="3"/>
        <v/>
      </c>
    </row>
    <row r="94" spans="1:9" x14ac:dyDescent="0.3">
      <c r="A94" t="str">
        <f>IF('Raw Enrollments'!A94="","",'Raw Enrollments'!A94)</f>
        <v/>
      </c>
      <c r="B94" t="str">
        <f>IF('Raw Enrollments'!B94="","",'Raw Enrollments'!B94)</f>
        <v/>
      </c>
      <c r="C94" t="str">
        <f>IF('Raw Enrollments'!C94="","",'Raw Enrollments'!C94)</f>
        <v/>
      </c>
      <c r="D94" t="str">
        <f>IF('Raw Enrollments'!D94="","",'Raw Enrollments'!D94)</f>
        <v/>
      </c>
      <c r="E94" t="str">
        <f>IF('Raw Enrollments'!E94="","",'Raw Enrollments'!E94)</f>
        <v/>
      </c>
      <c r="F94" t="str">
        <f>IF(B94="","",IF(COUNTIF(#REF!,B94)&gt;0,"Valid","Invalid Student ID"))</f>
        <v/>
      </c>
      <c r="G94" t="str">
        <f>IF(C94="","",IF(COUNTIF('Raw Courses'!$A:$A,C94)&gt;0,"Valid","Invalid Course ID"))</f>
        <v/>
      </c>
      <c r="H94" t="str">
        <f t="shared" si="2"/>
        <v/>
      </c>
      <c r="I94" t="str">
        <f t="shared" si="3"/>
        <v/>
      </c>
    </row>
    <row r="95" spans="1:9" x14ac:dyDescent="0.3">
      <c r="A95" t="str">
        <f>IF('Raw Enrollments'!A95="","",'Raw Enrollments'!A95)</f>
        <v/>
      </c>
      <c r="B95" t="str">
        <f>IF('Raw Enrollments'!B95="","",'Raw Enrollments'!B95)</f>
        <v/>
      </c>
      <c r="C95" t="str">
        <f>IF('Raw Enrollments'!C95="","",'Raw Enrollments'!C95)</f>
        <v/>
      </c>
      <c r="D95" t="str">
        <f>IF('Raw Enrollments'!D95="","",'Raw Enrollments'!D95)</f>
        <v/>
      </c>
      <c r="E95" t="str">
        <f>IF('Raw Enrollments'!E95="","",'Raw Enrollments'!E95)</f>
        <v/>
      </c>
      <c r="F95" t="str">
        <f>IF(B95="","",IF(COUNTIF(#REF!,B95)&gt;0,"Valid","Invalid Student ID"))</f>
        <v/>
      </c>
      <c r="G95" t="str">
        <f>IF(C95="","",IF(COUNTIF('Raw Courses'!$A:$A,C95)&gt;0,"Valid","Invalid Course ID"))</f>
        <v/>
      </c>
      <c r="H95" t="str">
        <f t="shared" si="2"/>
        <v/>
      </c>
      <c r="I95" t="str">
        <f t="shared" si="3"/>
        <v/>
      </c>
    </row>
    <row r="96" spans="1:9" x14ac:dyDescent="0.3">
      <c r="A96" t="str">
        <f>IF('Raw Enrollments'!A96="","",'Raw Enrollments'!A96)</f>
        <v/>
      </c>
      <c r="B96" t="str">
        <f>IF('Raw Enrollments'!B96="","",'Raw Enrollments'!B96)</f>
        <v/>
      </c>
      <c r="C96" t="str">
        <f>IF('Raw Enrollments'!C96="","",'Raw Enrollments'!C96)</f>
        <v/>
      </c>
      <c r="D96" t="str">
        <f>IF('Raw Enrollments'!D96="","",'Raw Enrollments'!D96)</f>
        <v/>
      </c>
      <c r="E96" t="str">
        <f>IF('Raw Enrollments'!E96="","",'Raw Enrollments'!E96)</f>
        <v/>
      </c>
      <c r="F96" t="str">
        <f>IF(B96="","",IF(COUNTIF(#REF!,B96)&gt;0,"Valid","Invalid Student ID"))</f>
        <v/>
      </c>
      <c r="G96" t="str">
        <f>IF(C96="","",IF(COUNTIF('Raw Courses'!$A:$A,C96)&gt;0,"Valid","Invalid Course ID"))</f>
        <v/>
      </c>
      <c r="H96" t="str">
        <f t="shared" si="2"/>
        <v/>
      </c>
      <c r="I96" t="str">
        <f t="shared" si="3"/>
        <v/>
      </c>
    </row>
    <row r="97" spans="1:9" x14ac:dyDescent="0.3">
      <c r="A97" t="str">
        <f>IF('Raw Enrollments'!A97="","",'Raw Enrollments'!A97)</f>
        <v/>
      </c>
      <c r="B97" t="str">
        <f>IF('Raw Enrollments'!B97="","",'Raw Enrollments'!B97)</f>
        <v/>
      </c>
      <c r="C97" t="str">
        <f>IF('Raw Enrollments'!C97="","",'Raw Enrollments'!C97)</f>
        <v/>
      </c>
      <c r="D97" t="str">
        <f>IF('Raw Enrollments'!D97="","",'Raw Enrollments'!D97)</f>
        <v/>
      </c>
      <c r="E97" t="str">
        <f>IF('Raw Enrollments'!E97="","",'Raw Enrollments'!E97)</f>
        <v/>
      </c>
      <c r="F97" t="str">
        <f>IF(B97="","",IF(COUNTIF(#REF!,B97)&gt;0,"Valid","Invalid Student ID"))</f>
        <v/>
      </c>
      <c r="G97" t="str">
        <f>IF(C97="","",IF(COUNTIF('Raw Courses'!$A:$A,C97)&gt;0,"Valid","Invalid Course ID"))</f>
        <v/>
      </c>
      <c r="H97" t="str">
        <f t="shared" si="2"/>
        <v/>
      </c>
      <c r="I97" t="str">
        <f t="shared" si="3"/>
        <v/>
      </c>
    </row>
    <row r="98" spans="1:9" x14ac:dyDescent="0.3">
      <c r="A98" t="str">
        <f>IF('Raw Enrollments'!A98="","",'Raw Enrollments'!A98)</f>
        <v/>
      </c>
      <c r="B98" t="str">
        <f>IF('Raw Enrollments'!B98="","",'Raw Enrollments'!B98)</f>
        <v/>
      </c>
      <c r="C98" t="str">
        <f>IF('Raw Enrollments'!C98="","",'Raw Enrollments'!C98)</f>
        <v/>
      </c>
      <c r="D98" t="str">
        <f>IF('Raw Enrollments'!D98="","",'Raw Enrollments'!D98)</f>
        <v/>
      </c>
      <c r="E98" t="str">
        <f>IF('Raw Enrollments'!E98="","",'Raw Enrollments'!E98)</f>
        <v/>
      </c>
      <c r="F98" t="str">
        <f>IF(B98="","",IF(COUNTIF(#REF!,B98)&gt;0,"Valid","Invalid Student ID"))</f>
        <v/>
      </c>
      <c r="G98" t="str">
        <f>IF(C98="","",IF(COUNTIF('Raw Courses'!$A:$A,C98)&gt;0,"Valid","Invalid Course ID"))</f>
        <v/>
      </c>
      <c r="H98" t="str">
        <f t="shared" si="2"/>
        <v/>
      </c>
      <c r="I98" t="str">
        <f t="shared" si="3"/>
        <v/>
      </c>
    </row>
    <row r="99" spans="1:9" x14ac:dyDescent="0.3">
      <c r="A99" t="str">
        <f>IF('Raw Enrollments'!A99="","",'Raw Enrollments'!A99)</f>
        <v/>
      </c>
      <c r="B99" t="str">
        <f>IF('Raw Enrollments'!B99="","",'Raw Enrollments'!B99)</f>
        <v/>
      </c>
      <c r="C99" t="str">
        <f>IF('Raw Enrollments'!C99="","",'Raw Enrollments'!C99)</f>
        <v/>
      </c>
      <c r="D99" t="str">
        <f>IF('Raw Enrollments'!D99="","",'Raw Enrollments'!D99)</f>
        <v/>
      </c>
      <c r="E99" t="str">
        <f>IF('Raw Enrollments'!E99="","",'Raw Enrollments'!E99)</f>
        <v/>
      </c>
      <c r="F99" t="str">
        <f>IF(B99="","",IF(COUNTIF(#REF!,B99)&gt;0,"Valid","Invalid Student ID"))</f>
        <v/>
      </c>
      <c r="G99" t="str">
        <f>IF(C99="","",IF(COUNTIF('Raw Courses'!$A:$A,C99)&gt;0,"Valid","Invalid Course ID"))</f>
        <v/>
      </c>
      <c r="H99" t="str">
        <f t="shared" si="2"/>
        <v/>
      </c>
      <c r="I99" t="str">
        <f t="shared" si="3"/>
        <v/>
      </c>
    </row>
    <row r="100" spans="1:9" x14ac:dyDescent="0.3">
      <c r="A100" t="str">
        <f>IF('Raw Enrollments'!A100="","",'Raw Enrollments'!A100)</f>
        <v/>
      </c>
      <c r="B100" t="str">
        <f>IF('Raw Enrollments'!B100="","",'Raw Enrollments'!B100)</f>
        <v/>
      </c>
      <c r="C100" t="str">
        <f>IF('Raw Enrollments'!C100="","",'Raw Enrollments'!C100)</f>
        <v/>
      </c>
      <c r="D100" t="str">
        <f>IF('Raw Enrollments'!D100="","",'Raw Enrollments'!D100)</f>
        <v/>
      </c>
      <c r="E100" t="str">
        <f>IF('Raw Enrollments'!E100="","",'Raw Enrollments'!E100)</f>
        <v/>
      </c>
      <c r="F100" t="str">
        <f>IF(B100="","",IF(COUNTIF(#REF!,B100)&gt;0,"Valid","Invalid Student ID"))</f>
        <v/>
      </c>
      <c r="G100" t="str">
        <f>IF(C100="","",IF(COUNTIF('Raw Courses'!$A:$A,C100)&gt;0,"Valid","Invalid Course ID"))</f>
        <v/>
      </c>
      <c r="H100" t="str">
        <f t="shared" si="2"/>
        <v/>
      </c>
      <c r="I100" t="str">
        <f t="shared" si="3"/>
        <v/>
      </c>
    </row>
    <row r="101" spans="1:9" x14ac:dyDescent="0.3">
      <c r="A101" t="str">
        <f>IF('Raw Enrollments'!A101="","",'Raw Enrollments'!A101)</f>
        <v/>
      </c>
      <c r="B101" t="str">
        <f>IF('Raw Enrollments'!B101="","",'Raw Enrollments'!B101)</f>
        <v/>
      </c>
      <c r="C101" t="str">
        <f>IF('Raw Enrollments'!C101="","",'Raw Enrollments'!C101)</f>
        <v/>
      </c>
      <c r="D101" t="str">
        <f>IF('Raw Enrollments'!D101="","",'Raw Enrollments'!D101)</f>
        <v/>
      </c>
      <c r="E101" t="str">
        <f>IF('Raw Enrollments'!E101="","",'Raw Enrollments'!E101)</f>
        <v/>
      </c>
      <c r="F101" t="str">
        <f>IF(B101="","",IF(COUNTIF(#REF!,B101)&gt;0,"Valid","Invalid Student ID"))</f>
        <v/>
      </c>
      <c r="G101" t="str">
        <f>IF(C101="","",IF(COUNTIF('Raw Courses'!$A:$A,C101)&gt;0,"Valid","Invalid Course ID"))</f>
        <v/>
      </c>
      <c r="H101" t="str">
        <f t="shared" si="2"/>
        <v/>
      </c>
      <c r="I101" t="str">
        <f t="shared" si="3"/>
        <v/>
      </c>
    </row>
    <row r="102" spans="1:9" x14ac:dyDescent="0.3">
      <c r="A102" t="str">
        <f>IF('Raw Enrollments'!A102="","",'Raw Enrollments'!A102)</f>
        <v/>
      </c>
      <c r="B102" t="str">
        <f>IF('Raw Enrollments'!B102="","",'Raw Enrollments'!B102)</f>
        <v/>
      </c>
      <c r="C102" t="str">
        <f>IF('Raw Enrollments'!C102="","",'Raw Enrollments'!C102)</f>
        <v/>
      </c>
      <c r="D102" t="str">
        <f>IF('Raw Enrollments'!D102="","",'Raw Enrollments'!D102)</f>
        <v/>
      </c>
      <c r="E102" t="str">
        <f>IF('Raw Enrollments'!E102="","",'Raw Enrollments'!E102)</f>
        <v/>
      </c>
      <c r="F102" t="str">
        <f>IF(B102="","",IF(COUNTIF(#REF!,B102)&gt;0,"Valid","Invalid Student ID"))</f>
        <v/>
      </c>
      <c r="G102" t="str">
        <f>IF(C102="","",IF(COUNTIF('Raw Courses'!$A:$A,C102)&gt;0,"Valid","Invalid Course ID"))</f>
        <v/>
      </c>
      <c r="H102" t="str">
        <f t="shared" si="2"/>
        <v/>
      </c>
      <c r="I102" t="str">
        <f t="shared" si="3"/>
        <v/>
      </c>
    </row>
    <row r="103" spans="1:9" x14ac:dyDescent="0.3">
      <c r="A103" t="str">
        <f>IF('Raw Enrollments'!A103="","",'Raw Enrollments'!A103)</f>
        <v/>
      </c>
      <c r="B103" t="str">
        <f>IF('Raw Enrollments'!B103="","",'Raw Enrollments'!B103)</f>
        <v/>
      </c>
      <c r="C103" t="str">
        <f>IF('Raw Enrollments'!C103="","",'Raw Enrollments'!C103)</f>
        <v/>
      </c>
      <c r="D103" t="str">
        <f>IF('Raw Enrollments'!D103="","",'Raw Enrollments'!D103)</f>
        <v/>
      </c>
      <c r="E103" t="str">
        <f>IF('Raw Enrollments'!E103="","",'Raw Enrollments'!E103)</f>
        <v/>
      </c>
      <c r="F103" t="str">
        <f>IF(B103="","",IF(COUNTIF(#REF!,B103)&gt;0,"Valid","Invalid Student ID"))</f>
        <v/>
      </c>
      <c r="G103" t="str">
        <f>IF(C103="","",IF(COUNTIF('Raw Courses'!$A:$A,C103)&gt;0,"Valid","Invalid Course ID"))</f>
        <v/>
      </c>
      <c r="H103" t="str">
        <f t="shared" si="2"/>
        <v/>
      </c>
      <c r="I103" t="str">
        <f t="shared" si="3"/>
        <v/>
      </c>
    </row>
    <row r="104" spans="1:9" x14ac:dyDescent="0.3">
      <c r="A104" t="str">
        <f>IF('Raw Enrollments'!A104="","",'Raw Enrollments'!A104)</f>
        <v/>
      </c>
      <c r="B104" t="str">
        <f>IF('Raw Enrollments'!B104="","",'Raw Enrollments'!B104)</f>
        <v/>
      </c>
      <c r="C104" t="str">
        <f>IF('Raw Enrollments'!C104="","",'Raw Enrollments'!C104)</f>
        <v/>
      </c>
      <c r="D104" t="str">
        <f>IF('Raw Enrollments'!D104="","",'Raw Enrollments'!D104)</f>
        <v/>
      </c>
      <c r="E104" t="str">
        <f>IF('Raw Enrollments'!E104="","",'Raw Enrollments'!E104)</f>
        <v/>
      </c>
      <c r="F104" t="str">
        <f>IF(B104="","",IF(COUNTIF(#REF!,B104)&gt;0,"Valid","Invalid Student ID"))</f>
        <v/>
      </c>
      <c r="G104" t="str">
        <f>IF(C104="","",IF(COUNTIF('Raw Courses'!$A:$A,C104)&gt;0,"Valid","Invalid Course ID"))</f>
        <v/>
      </c>
      <c r="H104" t="str">
        <f t="shared" si="2"/>
        <v/>
      </c>
      <c r="I104" t="str">
        <f t="shared" si="3"/>
        <v/>
      </c>
    </row>
    <row r="105" spans="1:9" x14ac:dyDescent="0.3">
      <c r="A105" t="str">
        <f>IF('Raw Enrollments'!A105="","",'Raw Enrollments'!A105)</f>
        <v/>
      </c>
      <c r="B105" t="str">
        <f>IF('Raw Enrollments'!B105="","",'Raw Enrollments'!B105)</f>
        <v/>
      </c>
      <c r="C105" t="str">
        <f>IF('Raw Enrollments'!C105="","",'Raw Enrollments'!C105)</f>
        <v/>
      </c>
      <c r="D105" t="str">
        <f>IF('Raw Enrollments'!D105="","",'Raw Enrollments'!D105)</f>
        <v/>
      </c>
      <c r="E105" t="str">
        <f>IF('Raw Enrollments'!E105="","",'Raw Enrollments'!E105)</f>
        <v/>
      </c>
      <c r="F105" t="str">
        <f>IF(B105="","",IF(COUNTIF(#REF!,B105)&gt;0,"Valid","Invalid Student ID"))</f>
        <v/>
      </c>
      <c r="G105" t="str">
        <f>IF(C105="","",IF(COUNTIF('Raw Courses'!$A:$A,C105)&gt;0,"Valid","Invalid Course ID"))</f>
        <v/>
      </c>
      <c r="H105" t="str">
        <f t="shared" si="2"/>
        <v/>
      </c>
      <c r="I105" t="str">
        <f t="shared" si="3"/>
        <v/>
      </c>
    </row>
    <row r="106" spans="1:9" x14ac:dyDescent="0.3">
      <c r="A106" t="str">
        <f>IF('Raw Enrollments'!A106="","",'Raw Enrollments'!A106)</f>
        <v/>
      </c>
      <c r="B106" t="str">
        <f>IF('Raw Enrollments'!B106="","",'Raw Enrollments'!B106)</f>
        <v/>
      </c>
      <c r="C106" t="str">
        <f>IF('Raw Enrollments'!C106="","",'Raw Enrollments'!C106)</f>
        <v/>
      </c>
      <c r="D106" t="str">
        <f>IF('Raw Enrollments'!D106="","",'Raw Enrollments'!D106)</f>
        <v/>
      </c>
      <c r="E106" t="str">
        <f>IF('Raw Enrollments'!E106="","",'Raw Enrollments'!E106)</f>
        <v/>
      </c>
      <c r="F106" t="str">
        <f>IF(B106="","",IF(COUNTIF(#REF!,B106)&gt;0,"Valid","Invalid Student ID"))</f>
        <v/>
      </c>
      <c r="G106" t="str">
        <f>IF(C106="","",IF(COUNTIF('Raw Courses'!$A:$A,C106)&gt;0,"Valid","Invalid Course ID"))</f>
        <v/>
      </c>
      <c r="H106" t="str">
        <f t="shared" si="2"/>
        <v/>
      </c>
      <c r="I106" t="str">
        <f t="shared" si="3"/>
        <v/>
      </c>
    </row>
    <row r="107" spans="1:9" x14ac:dyDescent="0.3">
      <c r="A107" t="str">
        <f>IF('Raw Enrollments'!A107="","",'Raw Enrollments'!A107)</f>
        <v/>
      </c>
      <c r="B107" t="str">
        <f>IF('Raw Enrollments'!B107="","",'Raw Enrollments'!B107)</f>
        <v/>
      </c>
      <c r="C107" t="str">
        <f>IF('Raw Enrollments'!C107="","",'Raw Enrollments'!C107)</f>
        <v/>
      </c>
      <c r="D107" t="str">
        <f>IF('Raw Enrollments'!D107="","",'Raw Enrollments'!D107)</f>
        <v/>
      </c>
      <c r="E107" t="str">
        <f>IF('Raw Enrollments'!E107="","",'Raw Enrollments'!E107)</f>
        <v/>
      </c>
      <c r="F107" t="str">
        <f>IF(B107="","",IF(COUNTIF(#REF!,B107)&gt;0,"Valid","Invalid Student ID"))</f>
        <v/>
      </c>
      <c r="G107" t="str">
        <f>IF(C107="","",IF(COUNTIF('Raw Courses'!$A:$A,C107)&gt;0,"Valid","Invalid Course ID"))</f>
        <v/>
      </c>
      <c r="H107" t="str">
        <f t="shared" si="2"/>
        <v/>
      </c>
      <c r="I107" t="str">
        <f t="shared" si="3"/>
        <v/>
      </c>
    </row>
    <row r="108" spans="1:9" x14ac:dyDescent="0.3">
      <c r="A108" t="str">
        <f>IF('Raw Enrollments'!A108="","",'Raw Enrollments'!A108)</f>
        <v/>
      </c>
      <c r="B108" t="str">
        <f>IF('Raw Enrollments'!B108="","",'Raw Enrollments'!B108)</f>
        <v/>
      </c>
      <c r="C108" t="str">
        <f>IF('Raw Enrollments'!C108="","",'Raw Enrollments'!C108)</f>
        <v/>
      </c>
      <c r="D108" t="str">
        <f>IF('Raw Enrollments'!D108="","",'Raw Enrollments'!D108)</f>
        <v/>
      </c>
      <c r="E108" t="str">
        <f>IF('Raw Enrollments'!E108="","",'Raw Enrollments'!E108)</f>
        <v/>
      </c>
      <c r="F108" t="str">
        <f>IF(B108="","",IF(COUNTIF(#REF!,B108)&gt;0,"Valid","Invalid Student ID"))</f>
        <v/>
      </c>
      <c r="G108" t="str">
        <f>IF(C108="","",IF(COUNTIF('Raw Courses'!$A:$A,C108)&gt;0,"Valid","Invalid Course ID"))</f>
        <v/>
      </c>
      <c r="H108" t="str">
        <f t="shared" si="2"/>
        <v/>
      </c>
      <c r="I108" t="str">
        <f t="shared" si="3"/>
        <v/>
      </c>
    </row>
    <row r="109" spans="1:9" x14ac:dyDescent="0.3">
      <c r="A109" t="str">
        <f>IF('Raw Enrollments'!A109="","",'Raw Enrollments'!A109)</f>
        <v/>
      </c>
      <c r="B109" t="str">
        <f>IF('Raw Enrollments'!B109="","",'Raw Enrollments'!B109)</f>
        <v/>
      </c>
      <c r="C109" t="str">
        <f>IF('Raw Enrollments'!C109="","",'Raw Enrollments'!C109)</f>
        <v/>
      </c>
      <c r="D109" t="str">
        <f>IF('Raw Enrollments'!D109="","",'Raw Enrollments'!D109)</f>
        <v/>
      </c>
      <c r="E109" t="str">
        <f>IF('Raw Enrollments'!E109="","",'Raw Enrollments'!E109)</f>
        <v/>
      </c>
      <c r="F109" t="str">
        <f>IF(B109="","",IF(COUNTIF(#REF!,B109)&gt;0,"Valid","Invalid Student ID"))</f>
        <v/>
      </c>
      <c r="G109" t="str">
        <f>IF(C109="","",IF(COUNTIF('Raw Courses'!$A:$A,C109)&gt;0,"Valid","Invalid Course ID"))</f>
        <v/>
      </c>
      <c r="H109" t="str">
        <f t="shared" si="2"/>
        <v/>
      </c>
      <c r="I109" t="str">
        <f t="shared" si="3"/>
        <v/>
      </c>
    </row>
    <row r="110" spans="1:9" x14ac:dyDescent="0.3">
      <c r="A110" t="str">
        <f>IF('Raw Enrollments'!A110="","",'Raw Enrollments'!A110)</f>
        <v/>
      </c>
      <c r="B110" t="str">
        <f>IF('Raw Enrollments'!B110="","",'Raw Enrollments'!B110)</f>
        <v/>
      </c>
      <c r="C110" t="str">
        <f>IF('Raw Enrollments'!C110="","",'Raw Enrollments'!C110)</f>
        <v/>
      </c>
      <c r="D110" t="str">
        <f>IF('Raw Enrollments'!D110="","",'Raw Enrollments'!D110)</f>
        <v/>
      </c>
      <c r="E110" t="str">
        <f>IF('Raw Enrollments'!E110="","",'Raw Enrollments'!E110)</f>
        <v/>
      </c>
      <c r="F110" t="str">
        <f>IF(B110="","",IF(COUNTIF(#REF!,B110)&gt;0,"Valid","Invalid Student ID"))</f>
        <v/>
      </c>
      <c r="G110" t="str">
        <f>IF(C110="","",IF(COUNTIF('Raw Courses'!$A:$A,C110)&gt;0,"Valid","Invalid Course ID"))</f>
        <v/>
      </c>
      <c r="H110" t="str">
        <f t="shared" si="2"/>
        <v/>
      </c>
      <c r="I110" t="str">
        <f t="shared" si="3"/>
        <v/>
      </c>
    </row>
    <row r="111" spans="1:9" x14ac:dyDescent="0.3">
      <c r="A111" t="str">
        <f>IF('Raw Enrollments'!A111="","",'Raw Enrollments'!A111)</f>
        <v/>
      </c>
      <c r="B111" t="str">
        <f>IF('Raw Enrollments'!B111="","",'Raw Enrollments'!B111)</f>
        <v/>
      </c>
      <c r="C111" t="str">
        <f>IF('Raw Enrollments'!C111="","",'Raw Enrollments'!C111)</f>
        <v/>
      </c>
      <c r="D111" t="str">
        <f>IF('Raw Enrollments'!D111="","",'Raw Enrollments'!D111)</f>
        <v/>
      </c>
      <c r="E111" t="str">
        <f>IF('Raw Enrollments'!E111="","",'Raw Enrollments'!E111)</f>
        <v/>
      </c>
      <c r="F111" t="str">
        <f>IF(B111="","",IF(COUNTIF(#REF!,B111)&gt;0,"Valid","Invalid Student ID"))</f>
        <v/>
      </c>
      <c r="G111" t="str">
        <f>IF(C111="","",IF(COUNTIF('Raw Courses'!$A:$A,C111)&gt;0,"Valid","Invalid Course ID"))</f>
        <v/>
      </c>
      <c r="H111" t="str">
        <f t="shared" si="2"/>
        <v/>
      </c>
      <c r="I111" t="str">
        <f t="shared" si="3"/>
        <v/>
      </c>
    </row>
    <row r="112" spans="1:9" x14ac:dyDescent="0.3">
      <c r="A112" t="str">
        <f>IF('Raw Enrollments'!A112="","",'Raw Enrollments'!A112)</f>
        <v/>
      </c>
      <c r="B112" t="str">
        <f>IF('Raw Enrollments'!B112="","",'Raw Enrollments'!B112)</f>
        <v/>
      </c>
      <c r="C112" t="str">
        <f>IF('Raw Enrollments'!C112="","",'Raw Enrollments'!C112)</f>
        <v/>
      </c>
      <c r="D112" t="str">
        <f>IF('Raw Enrollments'!D112="","",'Raw Enrollments'!D112)</f>
        <v/>
      </c>
      <c r="E112" t="str">
        <f>IF('Raw Enrollments'!E112="","",'Raw Enrollments'!E112)</f>
        <v/>
      </c>
      <c r="F112" t="str">
        <f>IF(B112="","",IF(COUNTIF(#REF!,B112)&gt;0,"Valid","Invalid Student ID"))</f>
        <v/>
      </c>
      <c r="G112" t="str">
        <f>IF(C112="","",IF(COUNTIF('Raw Courses'!$A:$A,C112)&gt;0,"Valid","Invalid Course ID"))</f>
        <v/>
      </c>
      <c r="H112" t="str">
        <f t="shared" si="2"/>
        <v/>
      </c>
      <c r="I112" t="str">
        <f t="shared" si="3"/>
        <v/>
      </c>
    </row>
    <row r="113" spans="1:9" x14ac:dyDescent="0.3">
      <c r="A113" t="str">
        <f>IF('Raw Enrollments'!A113="","",'Raw Enrollments'!A113)</f>
        <v/>
      </c>
      <c r="B113" t="str">
        <f>IF('Raw Enrollments'!B113="","",'Raw Enrollments'!B113)</f>
        <v/>
      </c>
      <c r="C113" t="str">
        <f>IF('Raw Enrollments'!C113="","",'Raw Enrollments'!C113)</f>
        <v/>
      </c>
      <c r="D113" t="str">
        <f>IF('Raw Enrollments'!D113="","",'Raw Enrollments'!D113)</f>
        <v/>
      </c>
      <c r="E113" t="str">
        <f>IF('Raw Enrollments'!E113="","",'Raw Enrollments'!E113)</f>
        <v/>
      </c>
      <c r="F113" t="str">
        <f>IF(B113="","",IF(COUNTIF(#REF!,B113)&gt;0,"Valid","Invalid Student ID"))</f>
        <v/>
      </c>
      <c r="G113" t="str">
        <f>IF(C113="","",IF(COUNTIF('Raw Courses'!$A:$A,C113)&gt;0,"Valid","Invalid Course ID"))</f>
        <v/>
      </c>
      <c r="H113" t="str">
        <f t="shared" si="2"/>
        <v/>
      </c>
      <c r="I113" t="str">
        <f t="shared" si="3"/>
        <v/>
      </c>
    </row>
    <row r="114" spans="1:9" x14ac:dyDescent="0.3">
      <c r="A114" t="str">
        <f>IF('Raw Enrollments'!A114="","",'Raw Enrollments'!A114)</f>
        <v/>
      </c>
      <c r="B114" t="str">
        <f>IF('Raw Enrollments'!B114="","",'Raw Enrollments'!B114)</f>
        <v/>
      </c>
      <c r="C114" t="str">
        <f>IF('Raw Enrollments'!C114="","",'Raw Enrollments'!C114)</f>
        <v/>
      </c>
      <c r="D114" t="str">
        <f>IF('Raw Enrollments'!D114="","",'Raw Enrollments'!D114)</f>
        <v/>
      </c>
      <c r="E114" t="str">
        <f>IF('Raw Enrollments'!E114="","",'Raw Enrollments'!E114)</f>
        <v/>
      </c>
      <c r="F114" t="str">
        <f>IF(B114="","",IF(COUNTIF(#REF!,B114)&gt;0,"Valid","Invalid Student ID"))</f>
        <v/>
      </c>
      <c r="G114" t="str">
        <f>IF(C114="","",IF(COUNTIF('Raw Courses'!$A:$A,C114)&gt;0,"Valid","Invalid Course ID"))</f>
        <v/>
      </c>
      <c r="H114" t="str">
        <f t="shared" si="2"/>
        <v/>
      </c>
      <c r="I114" t="str">
        <f t="shared" si="3"/>
        <v/>
      </c>
    </row>
    <row r="115" spans="1:9" x14ac:dyDescent="0.3">
      <c r="A115" t="str">
        <f>IF('Raw Enrollments'!A115="","",'Raw Enrollments'!A115)</f>
        <v/>
      </c>
      <c r="B115" t="str">
        <f>IF('Raw Enrollments'!B115="","",'Raw Enrollments'!B115)</f>
        <v/>
      </c>
      <c r="C115" t="str">
        <f>IF('Raw Enrollments'!C115="","",'Raw Enrollments'!C115)</f>
        <v/>
      </c>
      <c r="D115" t="str">
        <f>IF('Raw Enrollments'!D115="","",'Raw Enrollments'!D115)</f>
        <v/>
      </c>
      <c r="E115" t="str">
        <f>IF('Raw Enrollments'!E115="","",'Raw Enrollments'!E115)</f>
        <v/>
      </c>
      <c r="F115" t="str">
        <f>IF(B115="","",IF(COUNTIF(#REF!,B115)&gt;0,"Valid","Invalid Student ID"))</f>
        <v/>
      </c>
      <c r="G115" t="str">
        <f>IF(C115="","",IF(COUNTIF('Raw Courses'!$A:$A,C115)&gt;0,"Valid","Invalid Course ID"))</f>
        <v/>
      </c>
      <c r="H115" t="str">
        <f t="shared" si="2"/>
        <v/>
      </c>
      <c r="I115" t="str">
        <f t="shared" si="3"/>
        <v/>
      </c>
    </row>
    <row r="116" spans="1:9" x14ac:dyDescent="0.3">
      <c r="A116" t="str">
        <f>IF('Raw Enrollments'!A116="","",'Raw Enrollments'!A116)</f>
        <v/>
      </c>
      <c r="B116" t="str">
        <f>IF('Raw Enrollments'!B116="","",'Raw Enrollments'!B116)</f>
        <v/>
      </c>
      <c r="C116" t="str">
        <f>IF('Raw Enrollments'!C116="","",'Raw Enrollments'!C116)</f>
        <v/>
      </c>
      <c r="D116" t="str">
        <f>IF('Raw Enrollments'!D116="","",'Raw Enrollments'!D116)</f>
        <v/>
      </c>
      <c r="E116" t="str">
        <f>IF('Raw Enrollments'!E116="","",'Raw Enrollments'!E116)</f>
        <v/>
      </c>
      <c r="F116" t="str">
        <f>IF(B116="","",IF(COUNTIF(#REF!,B116)&gt;0,"Valid","Invalid Student ID"))</f>
        <v/>
      </c>
      <c r="G116" t="str">
        <f>IF(C116="","",IF(COUNTIF('Raw Courses'!$A:$A,C116)&gt;0,"Valid","Invalid Course ID"))</f>
        <v/>
      </c>
      <c r="H116" t="str">
        <f t="shared" si="2"/>
        <v/>
      </c>
      <c r="I116" t="str">
        <f t="shared" si="3"/>
        <v/>
      </c>
    </row>
    <row r="117" spans="1:9" x14ac:dyDescent="0.3">
      <c r="A117" t="str">
        <f>IF('Raw Enrollments'!A117="","",'Raw Enrollments'!A117)</f>
        <v/>
      </c>
      <c r="B117" t="str">
        <f>IF('Raw Enrollments'!B117="","",'Raw Enrollments'!B117)</f>
        <v/>
      </c>
      <c r="C117" t="str">
        <f>IF('Raw Enrollments'!C117="","",'Raw Enrollments'!C117)</f>
        <v/>
      </c>
      <c r="D117" t="str">
        <f>IF('Raw Enrollments'!D117="","",'Raw Enrollments'!D117)</f>
        <v/>
      </c>
      <c r="E117" t="str">
        <f>IF('Raw Enrollments'!E117="","",'Raw Enrollments'!E117)</f>
        <v/>
      </c>
      <c r="F117" t="str">
        <f>IF(B117="","",IF(COUNTIF(#REF!,B117)&gt;0,"Valid","Invalid Student ID"))</f>
        <v/>
      </c>
      <c r="G117" t="str">
        <f>IF(C117="","",IF(COUNTIF('Raw Courses'!$A:$A,C117)&gt;0,"Valid","Invalid Course ID"))</f>
        <v/>
      </c>
      <c r="H117" t="str">
        <f t="shared" si="2"/>
        <v/>
      </c>
      <c r="I117" t="str">
        <f t="shared" si="3"/>
        <v/>
      </c>
    </row>
    <row r="118" spans="1:9" x14ac:dyDescent="0.3">
      <c r="A118" t="str">
        <f>IF('Raw Enrollments'!A118="","",'Raw Enrollments'!A118)</f>
        <v/>
      </c>
      <c r="B118" t="str">
        <f>IF('Raw Enrollments'!B118="","",'Raw Enrollments'!B118)</f>
        <v/>
      </c>
      <c r="C118" t="str">
        <f>IF('Raw Enrollments'!C118="","",'Raw Enrollments'!C118)</f>
        <v/>
      </c>
      <c r="D118" t="str">
        <f>IF('Raw Enrollments'!D118="","",'Raw Enrollments'!D118)</f>
        <v/>
      </c>
      <c r="E118" t="str">
        <f>IF('Raw Enrollments'!E118="","",'Raw Enrollments'!E118)</f>
        <v/>
      </c>
      <c r="F118" t="str">
        <f>IF(B118="","",IF(COUNTIF(#REF!,B118)&gt;0,"Valid","Invalid Student ID"))</f>
        <v/>
      </c>
      <c r="G118" t="str">
        <f>IF(C118="","",IF(COUNTIF('Raw Courses'!$A:$A,C118)&gt;0,"Valid","Invalid Course ID"))</f>
        <v/>
      </c>
      <c r="H118" t="str">
        <f t="shared" si="2"/>
        <v/>
      </c>
      <c r="I118" t="str">
        <f t="shared" si="3"/>
        <v/>
      </c>
    </row>
    <row r="119" spans="1:9" x14ac:dyDescent="0.3">
      <c r="A119" t="str">
        <f>IF('Raw Enrollments'!A119="","",'Raw Enrollments'!A119)</f>
        <v/>
      </c>
      <c r="B119" t="str">
        <f>IF('Raw Enrollments'!B119="","",'Raw Enrollments'!B119)</f>
        <v/>
      </c>
      <c r="C119" t="str">
        <f>IF('Raw Enrollments'!C119="","",'Raw Enrollments'!C119)</f>
        <v/>
      </c>
      <c r="D119" t="str">
        <f>IF('Raw Enrollments'!D119="","",'Raw Enrollments'!D119)</f>
        <v/>
      </c>
      <c r="E119" t="str">
        <f>IF('Raw Enrollments'!E119="","",'Raw Enrollments'!E119)</f>
        <v/>
      </c>
      <c r="F119" t="str">
        <f>IF(B119="","",IF(COUNTIF(#REF!,B119)&gt;0,"Valid","Invalid Student ID"))</f>
        <v/>
      </c>
      <c r="G119" t="str">
        <f>IF(C119="","",IF(COUNTIF('Raw Courses'!$A:$A,C119)&gt;0,"Valid","Invalid Course ID"))</f>
        <v/>
      </c>
      <c r="H119" t="str">
        <f t="shared" si="2"/>
        <v/>
      </c>
      <c r="I119" t="str">
        <f t="shared" si="3"/>
        <v/>
      </c>
    </row>
    <row r="120" spans="1:9" x14ac:dyDescent="0.3">
      <c r="A120" t="str">
        <f>IF('Raw Enrollments'!A120="","",'Raw Enrollments'!A120)</f>
        <v/>
      </c>
      <c r="B120" t="str">
        <f>IF('Raw Enrollments'!B120="","",'Raw Enrollments'!B120)</f>
        <v/>
      </c>
      <c r="C120" t="str">
        <f>IF('Raw Enrollments'!C120="","",'Raw Enrollments'!C120)</f>
        <v/>
      </c>
      <c r="D120" t="str">
        <f>IF('Raw Enrollments'!D120="","",'Raw Enrollments'!D120)</f>
        <v/>
      </c>
      <c r="E120" t="str">
        <f>IF('Raw Enrollments'!E120="","",'Raw Enrollments'!E120)</f>
        <v/>
      </c>
      <c r="F120" t="str">
        <f>IF(B120="","",IF(COUNTIF(#REF!,B120)&gt;0,"Valid","Invalid Student ID"))</f>
        <v/>
      </c>
      <c r="G120" t="str">
        <f>IF(C120="","",IF(COUNTIF('Raw Courses'!$A:$A,C120)&gt;0,"Valid","Invalid Course ID"))</f>
        <v/>
      </c>
      <c r="H120" t="str">
        <f t="shared" si="2"/>
        <v/>
      </c>
      <c r="I120" t="str">
        <f t="shared" si="3"/>
        <v/>
      </c>
    </row>
    <row r="121" spans="1:9" x14ac:dyDescent="0.3">
      <c r="A121" t="str">
        <f>IF('Raw Enrollments'!A121="","",'Raw Enrollments'!A121)</f>
        <v/>
      </c>
      <c r="B121" t="str">
        <f>IF('Raw Enrollments'!B121="","",'Raw Enrollments'!B121)</f>
        <v/>
      </c>
      <c r="C121" t="str">
        <f>IF('Raw Enrollments'!C121="","",'Raw Enrollments'!C121)</f>
        <v/>
      </c>
      <c r="D121" t="str">
        <f>IF('Raw Enrollments'!D121="","",'Raw Enrollments'!D121)</f>
        <v/>
      </c>
      <c r="E121" t="str">
        <f>IF('Raw Enrollments'!E121="","",'Raw Enrollments'!E121)</f>
        <v/>
      </c>
      <c r="F121" t="str">
        <f>IF(B121="","",IF(COUNTIF(#REF!,B121)&gt;0,"Valid","Invalid Student ID"))</f>
        <v/>
      </c>
      <c r="G121" t="str">
        <f>IF(C121="","",IF(COUNTIF('Raw Courses'!$A:$A,C121)&gt;0,"Valid","Invalid Course ID"))</f>
        <v/>
      </c>
      <c r="H121" t="str">
        <f t="shared" si="2"/>
        <v/>
      </c>
      <c r="I121" t="str">
        <f t="shared" si="3"/>
        <v/>
      </c>
    </row>
    <row r="122" spans="1:9" x14ac:dyDescent="0.3">
      <c r="A122" t="str">
        <f>IF('Raw Enrollments'!A122="","",'Raw Enrollments'!A122)</f>
        <v/>
      </c>
      <c r="B122" t="str">
        <f>IF('Raw Enrollments'!B122="","",'Raw Enrollments'!B122)</f>
        <v/>
      </c>
      <c r="C122" t="str">
        <f>IF('Raw Enrollments'!C122="","",'Raw Enrollments'!C122)</f>
        <v/>
      </c>
      <c r="D122" t="str">
        <f>IF('Raw Enrollments'!D122="","",'Raw Enrollments'!D122)</f>
        <v/>
      </c>
      <c r="E122" t="str">
        <f>IF('Raw Enrollments'!E122="","",'Raw Enrollments'!E122)</f>
        <v/>
      </c>
      <c r="F122" t="str">
        <f>IF(B122="","",IF(COUNTIF(#REF!,B122)&gt;0,"Valid","Invalid Student ID"))</f>
        <v/>
      </c>
      <c r="G122" t="str">
        <f>IF(C122="","",IF(COUNTIF('Raw Courses'!$A:$A,C122)&gt;0,"Valid","Invalid Course ID"))</f>
        <v/>
      </c>
      <c r="H122" t="str">
        <f t="shared" si="2"/>
        <v/>
      </c>
      <c r="I122" t="str">
        <f t="shared" si="3"/>
        <v/>
      </c>
    </row>
    <row r="123" spans="1:9" x14ac:dyDescent="0.3">
      <c r="A123" t="str">
        <f>IF('Raw Enrollments'!A123="","",'Raw Enrollments'!A123)</f>
        <v/>
      </c>
      <c r="B123" t="str">
        <f>IF('Raw Enrollments'!B123="","",'Raw Enrollments'!B123)</f>
        <v/>
      </c>
      <c r="C123" t="str">
        <f>IF('Raw Enrollments'!C123="","",'Raw Enrollments'!C123)</f>
        <v/>
      </c>
      <c r="D123" t="str">
        <f>IF('Raw Enrollments'!D123="","",'Raw Enrollments'!D123)</f>
        <v/>
      </c>
      <c r="E123" t="str">
        <f>IF('Raw Enrollments'!E123="","",'Raw Enrollments'!E123)</f>
        <v/>
      </c>
      <c r="F123" t="str">
        <f>IF(B123="","",IF(COUNTIF(#REF!,B123)&gt;0,"Valid","Invalid Student ID"))</f>
        <v/>
      </c>
      <c r="G123" t="str">
        <f>IF(C123="","",IF(COUNTIF('Raw Courses'!$A:$A,C123)&gt;0,"Valid","Invalid Course ID"))</f>
        <v/>
      </c>
      <c r="H123" t="str">
        <f t="shared" si="2"/>
        <v/>
      </c>
      <c r="I123" t="str">
        <f t="shared" si="3"/>
        <v/>
      </c>
    </row>
    <row r="124" spans="1:9" x14ac:dyDescent="0.3">
      <c r="A124" t="str">
        <f>IF('Raw Enrollments'!A124="","",'Raw Enrollments'!A124)</f>
        <v/>
      </c>
      <c r="B124" t="str">
        <f>IF('Raw Enrollments'!B124="","",'Raw Enrollments'!B124)</f>
        <v/>
      </c>
      <c r="C124" t="str">
        <f>IF('Raw Enrollments'!C124="","",'Raw Enrollments'!C124)</f>
        <v/>
      </c>
      <c r="D124" t="str">
        <f>IF('Raw Enrollments'!D124="","",'Raw Enrollments'!D124)</f>
        <v/>
      </c>
      <c r="E124" t="str">
        <f>IF('Raw Enrollments'!E124="","",'Raw Enrollments'!E124)</f>
        <v/>
      </c>
      <c r="F124" t="str">
        <f>IF(B124="","",IF(COUNTIF(#REF!,B124)&gt;0,"Valid","Invalid Student ID"))</f>
        <v/>
      </c>
      <c r="G124" t="str">
        <f>IF(C124="","",IF(COUNTIF('Raw Courses'!$A:$A,C124)&gt;0,"Valid","Invalid Course ID"))</f>
        <v/>
      </c>
      <c r="H124" t="str">
        <f t="shared" si="2"/>
        <v/>
      </c>
      <c r="I124" t="str">
        <f t="shared" si="3"/>
        <v/>
      </c>
    </row>
    <row r="125" spans="1:9" x14ac:dyDescent="0.3">
      <c r="A125" t="str">
        <f>IF('Raw Enrollments'!A125="","",'Raw Enrollments'!A125)</f>
        <v/>
      </c>
      <c r="B125" t="str">
        <f>IF('Raw Enrollments'!B125="","",'Raw Enrollments'!B125)</f>
        <v/>
      </c>
      <c r="C125" t="str">
        <f>IF('Raw Enrollments'!C125="","",'Raw Enrollments'!C125)</f>
        <v/>
      </c>
      <c r="D125" t="str">
        <f>IF('Raw Enrollments'!D125="","",'Raw Enrollments'!D125)</f>
        <v/>
      </c>
      <c r="E125" t="str">
        <f>IF('Raw Enrollments'!E125="","",'Raw Enrollments'!E125)</f>
        <v/>
      </c>
      <c r="F125" t="str">
        <f>IF(B125="","",IF(COUNTIF(#REF!,B125)&gt;0,"Valid","Invalid Student ID"))</f>
        <v/>
      </c>
      <c r="G125" t="str">
        <f>IF(C125="","",IF(COUNTIF('Raw Courses'!$A:$A,C125)&gt;0,"Valid","Invalid Course ID"))</f>
        <v/>
      </c>
      <c r="H125" t="str">
        <f t="shared" si="2"/>
        <v/>
      </c>
      <c r="I125" t="str">
        <f t="shared" si="3"/>
        <v/>
      </c>
    </row>
    <row r="126" spans="1:9" x14ac:dyDescent="0.3">
      <c r="A126" t="str">
        <f>IF('Raw Enrollments'!A126="","",'Raw Enrollments'!A126)</f>
        <v/>
      </c>
      <c r="B126" t="str">
        <f>IF('Raw Enrollments'!B126="","",'Raw Enrollments'!B126)</f>
        <v/>
      </c>
      <c r="C126" t="str">
        <f>IF('Raw Enrollments'!C126="","",'Raw Enrollments'!C126)</f>
        <v/>
      </c>
      <c r="D126" t="str">
        <f>IF('Raw Enrollments'!D126="","",'Raw Enrollments'!D126)</f>
        <v/>
      </c>
      <c r="E126" t="str">
        <f>IF('Raw Enrollments'!E126="","",'Raw Enrollments'!E126)</f>
        <v/>
      </c>
      <c r="F126" t="str">
        <f>IF(B126="","",IF(COUNTIF(#REF!,B126)&gt;0,"Valid","Invalid Student ID"))</f>
        <v/>
      </c>
      <c r="G126" t="str">
        <f>IF(C126="","",IF(COUNTIF('Raw Courses'!$A:$A,C126)&gt;0,"Valid","Invalid Course ID"))</f>
        <v/>
      </c>
      <c r="H126" t="str">
        <f t="shared" si="2"/>
        <v/>
      </c>
      <c r="I126" t="str">
        <f t="shared" si="3"/>
        <v/>
      </c>
    </row>
    <row r="127" spans="1:9" x14ac:dyDescent="0.3">
      <c r="A127" t="str">
        <f>IF('Raw Enrollments'!A127="","",'Raw Enrollments'!A127)</f>
        <v/>
      </c>
      <c r="B127" t="str">
        <f>IF('Raw Enrollments'!B127="","",'Raw Enrollments'!B127)</f>
        <v/>
      </c>
      <c r="C127" t="str">
        <f>IF('Raw Enrollments'!C127="","",'Raw Enrollments'!C127)</f>
        <v/>
      </c>
      <c r="D127" t="str">
        <f>IF('Raw Enrollments'!D127="","",'Raw Enrollments'!D127)</f>
        <v/>
      </c>
      <c r="E127" t="str">
        <f>IF('Raw Enrollments'!E127="","",'Raw Enrollments'!E127)</f>
        <v/>
      </c>
      <c r="F127" t="str">
        <f>IF(B127="","",IF(COUNTIF(#REF!,B127)&gt;0,"Valid","Invalid Student ID"))</f>
        <v/>
      </c>
      <c r="G127" t="str">
        <f>IF(C127="","",IF(COUNTIF('Raw Courses'!$A:$A,C127)&gt;0,"Valid","Invalid Course ID"))</f>
        <v/>
      </c>
      <c r="H127" t="str">
        <f t="shared" si="2"/>
        <v/>
      </c>
      <c r="I127" t="str">
        <f t="shared" si="3"/>
        <v/>
      </c>
    </row>
    <row r="128" spans="1:9" x14ac:dyDescent="0.3">
      <c r="A128" t="str">
        <f>IF('Raw Enrollments'!A128="","",'Raw Enrollments'!A128)</f>
        <v/>
      </c>
      <c r="B128" t="str">
        <f>IF('Raw Enrollments'!B128="","",'Raw Enrollments'!B128)</f>
        <v/>
      </c>
      <c r="C128" t="str">
        <f>IF('Raw Enrollments'!C128="","",'Raw Enrollments'!C128)</f>
        <v/>
      </c>
      <c r="D128" t="str">
        <f>IF('Raw Enrollments'!D128="","",'Raw Enrollments'!D128)</f>
        <v/>
      </c>
      <c r="E128" t="str">
        <f>IF('Raw Enrollments'!E128="","",'Raw Enrollments'!E128)</f>
        <v/>
      </c>
      <c r="F128" t="str">
        <f>IF(B128="","",IF(COUNTIF(#REF!,B128)&gt;0,"Valid","Invalid Student ID"))</f>
        <v/>
      </c>
      <c r="G128" t="str">
        <f>IF(C128="","",IF(COUNTIF('Raw Courses'!$A:$A,C128)&gt;0,"Valid","Invalid Course ID"))</f>
        <v/>
      </c>
      <c r="H128" t="str">
        <f t="shared" si="2"/>
        <v/>
      </c>
      <c r="I128" t="str">
        <f t="shared" si="3"/>
        <v/>
      </c>
    </row>
    <row r="129" spans="1:9" x14ac:dyDescent="0.3">
      <c r="A129" t="str">
        <f>IF('Raw Enrollments'!A129="","",'Raw Enrollments'!A129)</f>
        <v/>
      </c>
      <c r="B129" t="str">
        <f>IF('Raw Enrollments'!B129="","",'Raw Enrollments'!B129)</f>
        <v/>
      </c>
      <c r="C129" t="str">
        <f>IF('Raw Enrollments'!C129="","",'Raw Enrollments'!C129)</f>
        <v/>
      </c>
      <c r="D129" t="str">
        <f>IF('Raw Enrollments'!D129="","",'Raw Enrollments'!D129)</f>
        <v/>
      </c>
      <c r="E129" t="str">
        <f>IF('Raw Enrollments'!E129="","",'Raw Enrollments'!E129)</f>
        <v/>
      </c>
      <c r="F129" t="str">
        <f>IF(B129="","",IF(COUNTIF(#REF!,B129)&gt;0,"Valid","Invalid Student ID"))</f>
        <v/>
      </c>
      <c r="G129" t="str">
        <f>IF(C129="","",IF(COUNTIF('Raw Courses'!$A:$A,C129)&gt;0,"Valid","Invalid Course ID"))</f>
        <v/>
      </c>
      <c r="H129" t="str">
        <f t="shared" si="2"/>
        <v/>
      </c>
      <c r="I129" t="str">
        <f t="shared" si="3"/>
        <v/>
      </c>
    </row>
    <row r="130" spans="1:9" x14ac:dyDescent="0.3">
      <c r="A130" t="str">
        <f>IF('Raw Enrollments'!A130="","",'Raw Enrollments'!A130)</f>
        <v/>
      </c>
      <c r="B130" t="str">
        <f>IF('Raw Enrollments'!B130="","",'Raw Enrollments'!B130)</f>
        <v/>
      </c>
      <c r="C130" t="str">
        <f>IF('Raw Enrollments'!C130="","",'Raw Enrollments'!C130)</f>
        <v/>
      </c>
      <c r="D130" t="str">
        <f>IF('Raw Enrollments'!D130="","",'Raw Enrollments'!D130)</f>
        <v/>
      </c>
      <c r="E130" t="str">
        <f>IF('Raw Enrollments'!E130="","",'Raw Enrollments'!E130)</f>
        <v/>
      </c>
      <c r="F130" t="str">
        <f>IF(B130="","",IF(COUNTIF(#REF!,B130)&gt;0,"Valid","Invalid Student ID"))</f>
        <v/>
      </c>
      <c r="G130" t="str">
        <f>IF(C130="","",IF(COUNTIF('Raw Courses'!$A:$A,C130)&gt;0,"Valid","Invalid Course ID"))</f>
        <v/>
      </c>
      <c r="H130" t="str">
        <f t="shared" si="2"/>
        <v/>
      </c>
      <c r="I130" t="str">
        <f t="shared" si="3"/>
        <v/>
      </c>
    </row>
    <row r="131" spans="1:9" x14ac:dyDescent="0.3">
      <c r="A131" t="str">
        <f>IF('Raw Enrollments'!A131="","",'Raw Enrollments'!A131)</f>
        <v/>
      </c>
      <c r="B131" t="str">
        <f>IF('Raw Enrollments'!B131="","",'Raw Enrollments'!B131)</f>
        <v/>
      </c>
      <c r="C131" t="str">
        <f>IF('Raw Enrollments'!C131="","",'Raw Enrollments'!C131)</f>
        <v/>
      </c>
      <c r="D131" t="str">
        <f>IF('Raw Enrollments'!D131="","",'Raw Enrollments'!D131)</f>
        <v/>
      </c>
      <c r="E131" t="str">
        <f>IF('Raw Enrollments'!E131="","",'Raw Enrollments'!E131)</f>
        <v/>
      </c>
      <c r="F131" t="str">
        <f>IF(B131="","",IF(COUNTIF(#REF!,B131)&gt;0,"Valid","Invalid Student ID"))</f>
        <v/>
      </c>
      <c r="G131" t="str">
        <f>IF(C131="","",IF(COUNTIF('Raw Courses'!$A:$A,C131)&gt;0,"Valid","Invalid Course ID"))</f>
        <v/>
      </c>
      <c r="H131" t="str">
        <f t="shared" si="2"/>
        <v/>
      </c>
      <c r="I131" t="str">
        <f t="shared" si="3"/>
        <v/>
      </c>
    </row>
    <row r="132" spans="1:9" x14ac:dyDescent="0.3">
      <c r="A132" t="str">
        <f>IF('Raw Enrollments'!A132="","",'Raw Enrollments'!A132)</f>
        <v/>
      </c>
      <c r="B132" t="str">
        <f>IF('Raw Enrollments'!B132="","",'Raw Enrollments'!B132)</f>
        <v/>
      </c>
      <c r="C132" t="str">
        <f>IF('Raw Enrollments'!C132="","",'Raw Enrollments'!C132)</f>
        <v/>
      </c>
      <c r="D132" t="str">
        <f>IF('Raw Enrollments'!D132="","",'Raw Enrollments'!D132)</f>
        <v/>
      </c>
      <c r="E132" t="str">
        <f>IF('Raw Enrollments'!E132="","",'Raw Enrollments'!E132)</f>
        <v/>
      </c>
      <c r="F132" t="str">
        <f>IF(B132="","",IF(COUNTIF(#REF!,B132)&gt;0,"Valid","Invalid Student ID"))</f>
        <v/>
      </c>
      <c r="G132" t="str">
        <f>IF(C132="","",IF(COUNTIF('Raw Courses'!$A:$A,C132)&gt;0,"Valid","Invalid Course ID"))</f>
        <v/>
      </c>
      <c r="H132" t="str">
        <f t="shared" si="2"/>
        <v/>
      </c>
      <c r="I132" t="str">
        <f t="shared" si="3"/>
        <v/>
      </c>
    </row>
    <row r="133" spans="1:9" x14ac:dyDescent="0.3">
      <c r="A133" t="str">
        <f>IF('Raw Enrollments'!A133="","",'Raw Enrollments'!A133)</f>
        <v/>
      </c>
      <c r="B133" t="str">
        <f>IF('Raw Enrollments'!B133="","",'Raw Enrollments'!B133)</f>
        <v/>
      </c>
      <c r="C133" t="str">
        <f>IF('Raw Enrollments'!C133="","",'Raw Enrollments'!C133)</f>
        <v/>
      </c>
      <c r="D133" t="str">
        <f>IF('Raw Enrollments'!D133="","",'Raw Enrollments'!D133)</f>
        <v/>
      </c>
      <c r="E133" t="str">
        <f>IF('Raw Enrollments'!E133="","",'Raw Enrollments'!E133)</f>
        <v/>
      </c>
      <c r="F133" t="str">
        <f>IF(B133="","",IF(COUNTIF(#REF!,B133)&gt;0,"Valid","Invalid Student ID"))</f>
        <v/>
      </c>
      <c r="G133" t="str">
        <f>IF(C133="","",IF(COUNTIF('Raw Courses'!$A:$A,C133)&gt;0,"Valid","Invalid Course ID"))</f>
        <v/>
      </c>
      <c r="H133" t="str">
        <f t="shared" ref="H133:H196" si="4">IF(A133="","",IF(COUNTIF($A$5:$A$504,A133)&gt;1,"Duplicate","Unique"))</f>
        <v/>
      </c>
      <c r="I133" t="str">
        <f t="shared" ref="I133:I196" si="5">IF(A133="","",IF(OR(F133="Invalid Student ID",G133="Invalid Course ID",H133="Duplicate",D133="",E133=""),"Review","Pass"))</f>
        <v/>
      </c>
    </row>
    <row r="134" spans="1:9" x14ac:dyDescent="0.3">
      <c r="A134" t="str">
        <f>IF('Raw Enrollments'!A134="","",'Raw Enrollments'!A134)</f>
        <v/>
      </c>
      <c r="B134" t="str">
        <f>IF('Raw Enrollments'!B134="","",'Raw Enrollments'!B134)</f>
        <v/>
      </c>
      <c r="C134" t="str">
        <f>IF('Raw Enrollments'!C134="","",'Raw Enrollments'!C134)</f>
        <v/>
      </c>
      <c r="D134" t="str">
        <f>IF('Raw Enrollments'!D134="","",'Raw Enrollments'!D134)</f>
        <v/>
      </c>
      <c r="E134" t="str">
        <f>IF('Raw Enrollments'!E134="","",'Raw Enrollments'!E134)</f>
        <v/>
      </c>
      <c r="F134" t="str">
        <f>IF(B134="","",IF(COUNTIF(#REF!,B134)&gt;0,"Valid","Invalid Student ID"))</f>
        <v/>
      </c>
      <c r="G134" t="str">
        <f>IF(C134="","",IF(COUNTIF('Raw Courses'!$A:$A,C134)&gt;0,"Valid","Invalid Course ID"))</f>
        <v/>
      </c>
      <c r="H134" t="str">
        <f t="shared" si="4"/>
        <v/>
      </c>
      <c r="I134" t="str">
        <f t="shared" si="5"/>
        <v/>
      </c>
    </row>
    <row r="135" spans="1:9" x14ac:dyDescent="0.3">
      <c r="A135" t="str">
        <f>IF('Raw Enrollments'!A135="","",'Raw Enrollments'!A135)</f>
        <v/>
      </c>
      <c r="B135" t="str">
        <f>IF('Raw Enrollments'!B135="","",'Raw Enrollments'!B135)</f>
        <v/>
      </c>
      <c r="C135" t="str">
        <f>IF('Raw Enrollments'!C135="","",'Raw Enrollments'!C135)</f>
        <v/>
      </c>
      <c r="D135" t="str">
        <f>IF('Raw Enrollments'!D135="","",'Raw Enrollments'!D135)</f>
        <v/>
      </c>
      <c r="E135" t="str">
        <f>IF('Raw Enrollments'!E135="","",'Raw Enrollments'!E135)</f>
        <v/>
      </c>
      <c r="F135" t="str">
        <f>IF(B135="","",IF(COUNTIF(#REF!,B135)&gt;0,"Valid","Invalid Student ID"))</f>
        <v/>
      </c>
      <c r="G135" t="str">
        <f>IF(C135="","",IF(COUNTIF('Raw Courses'!$A:$A,C135)&gt;0,"Valid","Invalid Course ID"))</f>
        <v/>
      </c>
      <c r="H135" t="str">
        <f t="shared" si="4"/>
        <v/>
      </c>
      <c r="I135" t="str">
        <f t="shared" si="5"/>
        <v/>
      </c>
    </row>
    <row r="136" spans="1:9" x14ac:dyDescent="0.3">
      <c r="A136" t="str">
        <f>IF('Raw Enrollments'!A136="","",'Raw Enrollments'!A136)</f>
        <v/>
      </c>
      <c r="B136" t="str">
        <f>IF('Raw Enrollments'!B136="","",'Raw Enrollments'!B136)</f>
        <v/>
      </c>
      <c r="C136" t="str">
        <f>IF('Raw Enrollments'!C136="","",'Raw Enrollments'!C136)</f>
        <v/>
      </c>
      <c r="D136" t="str">
        <f>IF('Raw Enrollments'!D136="","",'Raw Enrollments'!D136)</f>
        <v/>
      </c>
      <c r="E136" t="str">
        <f>IF('Raw Enrollments'!E136="","",'Raw Enrollments'!E136)</f>
        <v/>
      </c>
      <c r="F136" t="str">
        <f>IF(B136="","",IF(COUNTIF(#REF!,B136)&gt;0,"Valid","Invalid Student ID"))</f>
        <v/>
      </c>
      <c r="G136" t="str">
        <f>IF(C136="","",IF(COUNTIF('Raw Courses'!$A:$A,C136)&gt;0,"Valid","Invalid Course ID"))</f>
        <v/>
      </c>
      <c r="H136" t="str">
        <f t="shared" si="4"/>
        <v/>
      </c>
      <c r="I136" t="str">
        <f t="shared" si="5"/>
        <v/>
      </c>
    </row>
    <row r="137" spans="1:9" x14ac:dyDescent="0.3">
      <c r="A137" t="str">
        <f>IF('Raw Enrollments'!A137="","",'Raw Enrollments'!A137)</f>
        <v/>
      </c>
      <c r="B137" t="str">
        <f>IF('Raw Enrollments'!B137="","",'Raw Enrollments'!B137)</f>
        <v/>
      </c>
      <c r="C137" t="str">
        <f>IF('Raw Enrollments'!C137="","",'Raw Enrollments'!C137)</f>
        <v/>
      </c>
      <c r="D137" t="str">
        <f>IF('Raw Enrollments'!D137="","",'Raw Enrollments'!D137)</f>
        <v/>
      </c>
      <c r="E137" t="str">
        <f>IF('Raw Enrollments'!E137="","",'Raw Enrollments'!E137)</f>
        <v/>
      </c>
      <c r="F137" t="str">
        <f>IF(B137="","",IF(COUNTIF(#REF!,B137)&gt;0,"Valid","Invalid Student ID"))</f>
        <v/>
      </c>
      <c r="G137" t="str">
        <f>IF(C137="","",IF(COUNTIF('Raw Courses'!$A:$A,C137)&gt;0,"Valid","Invalid Course ID"))</f>
        <v/>
      </c>
      <c r="H137" t="str">
        <f t="shared" si="4"/>
        <v/>
      </c>
      <c r="I137" t="str">
        <f t="shared" si="5"/>
        <v/>
      </c>
    </row>
    <row r="138" spans="1:9" x14ac:dyDescent="0.3">
      <c r="A138" t="str">
        <f>IF('Raw Enrollments'!A138="","",'Raw Enrollments'!A138)</f>
        <v/>
      </c>
      <c r="B138" t="str">
        <f>IF('Raw Enrollments'!B138="","",'Raw Enrollments'!B138)</f>
        <v/>
      </c>
      <c r="C138" t="str">
        <f>IF('Raw Enrollments'!C138="","",'Raw Enrollments'!C138)</f>
        <v/>
      </c>
      <c r="D138" t="str">
        <f>IF('Raw Enrollments'!D138="","",'Raw Enrollments'!D138)</f>
        <v/>
      </c>
      <c r="E138" t="str">
        <f>IF('Raw Enrollments'!E138="","",'Raw Enrollments'!E138)</f>
        <v/>
      </c>
      <c r="F138" t="str">
        <f>IF(B138="","",IF(COUNTIF(#REF!,B138)&gt;0,"Valid","Invalid Student ID"))</f>
        <v/>
      </c>
      <c r="G138" t="str">
        <f>IF(C138="","",IF(COUNTIF('Raw Courses'!$A:$A,C138)&gt;0,"Valid","Invalid Course ID"))</f>
        <v/>
      </c>
      <c r="H138" t="str">
        <f t="shared" si="4"/>
        <v/>
      </c>
      <c r="I138" t="str">
        <f t="shared" si="5"/>
        <v/>
      </c>
    </row>
    <row r="139" spans="1:9" x14ac:dyDescent="0.3">
      <c r="A139" t="str">
        <f>IF('Raw Enrollments'!A139="","",'Raw Enrollments'!A139)</f>
        <v/>
      </c>
      <c r="B139" t="str">
        <f>IF('Raw Enrollments'!B139="","",'Raw Enrollments'!B139)</f>
        <v/>
      </c>
      <c r="C139" t="str">
        <f>IF('Raw Enrollments'!C139="","",'Raw Enrollments'!C139)</f>
        <v/>
      </c>
      <c r="D139" t="str">
        <f>IF('Raw Enrollments'!D139="","",'Raw Enrollments'!D139)</f>
        <v/>
      </c>
      <c r="E139" t="str">
        <f>IF('Raw Enrollments'!E139="","",'Raw Enrollments'!E139)</f>
        <v/>
      </c>
      <c r="F139" t="str">
        <f>IF(B139="","",IF(COUNTIF(#REF!,B139)&gt;0,"Valid","Invalid Student ID"))</f>
        <v/>
      </c>
      <c r="G139" t="str">
        <f>IF(C139="","",IF(COUNTIF('Raw Courses'!$A:$A,C139)&gt;0,"Valid","Invalid Course ID"))</f>
        <v/>
      </c>
      <c r="H139" t="str">
        <f t="shared" si="4"/>
        <v/>
      </c>
      <c r="I139" t="str">
        <f t="shared" si="5"/>
        <v/>
      </c>
    </row>
    <row r="140" spans="1:9" x14ac:dyDescent="0.3">
      <c r="A140" t="str">
        <f>IF('Raw Enrollments'!A140="","",'Raw Enrollments'!A140)</f>
        <v/>
      </c>
      <c r="B140" t="str">
        <f>IF('Raw Enrollments'!B140="","",'Raw Enrollments'!B140)</f>
        <v/>
      </c>
      <c r="C140" t="str">
        <f>IF('Raw Enrollments'!C140="","",'Raw Enrollments'!C140)</f>
        <v/>
      </c>
      <c r="D140" t="str">
        <f>IF('Raw Enrollments'!D140="","",'Raw Enrollments'!D140)</f>
        <v/>
      </c>
      <c r="E140" t="str">
        <f>IF('Raw Enrollments'!E140="","",'Raw Enrollments'!E140)</f>
        <v/>
      </c>
      <c r="F140" t="str">
        <f>IF(B140="","",IF(COUNTIF(#REF!,B140)&gt;0,"Valid","Invalid Student ID"))</f>
        <v/>
      </c>
      <c r="G140" t="str">
        <f>IF(C140="","",IF(COUNTIF('Raw Courses'!$A:$A,C140)&gt;0,"Valid","Invalid Course ID"))</f>
        <v/>
      </c>
      <c r="H140" t="str">
        <f t="shared" si="4"/>
        <v/>
      </c>
      <c r="I140" t="str">
        <f t="shared" si="5"/>
        <v/>
      </c>
    </row>
    <row r="141" spans="1:9" x14ac:dyDescent="0.3">
      <c r="A141" t="str">
        <f>IF('Raw Enrollments'!A141="","",'Raw Enrollments'!A141)</f>
        <v/>
      </c>
      <c r="B141" t="str">
        <f>IF('Raw Enrollments'!B141="","",'Raw Enrollments'!B141)</f>
        <v/>
      </c>
      <c r="C141" t="str">
        <f>IF('Raw Enrollments'!C141="","",'Raw Enrollments'!C141)</f>
        <v/>
      </c>
      <c r="D141" t="str">
        <f>IF('Raw Enrollments'!D141="","",'Raw Enrollments'!D141)</f>
        <v/>
      </c>
      <c r="E141" t="str">
        <f>IF('Raw Enrollments'!E141="","",'Raw Enrollments'!E141)</f>
        <v/>
      </c>
      <c r="F141" t="str">
        <f>IF(B141="","",IF(COUNTIF(#REF!,B141)&gt;0,"Valid","Invalid Student ID"))</f>
        <v/>
      </c>
      <c r="G141" t="str">
        <f>IF(C141="","",IF(COUNTIF('Raw Courses'!$A:$A,C141)&gt;0,"Valid","Invalid Course ID"))</f>
        <v/>
      </c>
      <c r="H141" t="str">
        <f t="shared" si="4"/>
        <v/>
      </c>
      <c r="I141" t="str">
        <f t="shared" si="5"/>
        <v/>
      </c>
    </row>
    <row r="142" spans="1:9" x14ac:dyDescent="0.3">
      <c r="A142" t="str">
        <f>IF('Raw Enrollments'!A142="","",'Raw Enrollments'!A142)</f>
        <v/>
      </c>
      <c r="B142" t="str">
        <f>IF('Raw Enrollments'!B142="","",'Raw Enrollments'!B142)</f>
        <v/>
      </c>
      <c r="C142" t="str">
        <f>IF('Raw Enrollments'!C142="","",'Raw Enrollments'!C142)</f>
        <v/>
      </c>
      <c r="D142" t="str">
        <f>IF('Raw Enrollments'!D142="","",'Raw Enrollments'!D142)</f>
        <v/>
      </c>
      <c r="E142" t="str">
        <f>IF('Raw Enrollments'!E142="","",'Raw Enrollments'!E142)</f>
        <v/>
      </c>
      <c r="F142" t="str">
        <f>IF(B142="","",IF(COUNTIF(#REF!,B142)&gt;0,"Valid","Invalid Student ID"))</f>
        <v/>
      </c>
      <c r="G142" t="str">
        <f>IF(C142="","",IF(COUNTIF('Raw Courses'!$A:$A,C142)&gt;0,"Valid","Invalid Course ID"))</f>
        <v/>
      </c>
      <c r="H142" t="str">
        <f t="shared" si="4"/>
        <v/>
      </c>
      <c r="I142" t="str">
        <f t="shared" si="5"/>
        <v/>
      </c>
    </row>
    <row r="143" spans="1:9" x14ac:dyDescent="0.3">
      <c r="A143" t="str">
        <f>IF('Raw Enrollments'!A143="","",'Raw Enrollments'!A143)</f>
        <v/>
      </c>
      <c r="B143" t="str">
        <f>IF('Raw Enrollments'!B143="","",'Raw Enrollments'!B143)</f>
        <v/>
      </c>
      <c r="C143" t="str">
        <f>IF('Raw Enrollments'!C143="","",'Raw Enrollments'!C143)</f>
        <v/>
      </c>
      <c r="D143" t="str">
        <f>IF('Raw Enrollments'!D143="","",'Raw Enrollments'!D143)</f>
        <v/>
      </c>
      <c r="E143" t="str">
        <f>IF('Raw Enrollments'!E143="","",'Raw Enrollments'!E143)</f>
        <v/>
      </c>
      <c r="F143" t="str">
        <f>IF(B143="","",IF(COUNTIF(#REF!,B143)&gt;0,"Valid","Invalid Student ID"))</f>
        <v/>
      </c>
      <c r="G143" t="str">
        <f>IF(C143="","",IF(COUNTIF('Raw Courses'!$A:$A,C143)&gt;0,"Valid","Invalid Course ID"))</f>
        <v/>
      </c>
      <c r="H143" t="str">
        <f t="shared" si="4"/>
        <v/>
      </c>
      <c r="I143" t="str">
        <f t="shared" si="5"/>
        <v/>
      </c>
    </row>
    <row r="144" spans="1:9" x14ac:dyDescent="0.3">
      <c r="A144" t="str">
        <f>IF('Raw Enrollments'!A144="","",'Raw Enrollments'!A144)</f>
        <v/>
      </c>
      <c r="B144" t="str">
        <f>IF('Raw Enrollments'!B144="","",'Raw Enrollments'!B144)</f>
        <v/>
      </c>
      <c r="C144" t="str">
        <f>IF('Raw Enrollments'!C144="","",'Raw Enrollments'!C144)</f>
        <v/>
      </c>
      <c r="D144" t="str">
        <f>IF('Raw Enrollments'!D144="","",'Raw Enrollments'!D144)</f>
        <v/>
      </c>
      <c r="E144" t="str">
        <f>IF('Raw Enrollments'!E144="","",'Raw Enrollments'!E144)</f>
        <v/>
      </c>
      <c r="F144" t="str">
        <f>IF(B144="","",IF(COUNTIF(#REF!,B144)&gt;0,"Valid","Invalid Student ID"))</f>
        <v/>
      </c>
      <c r="G144" t="str">
        <f>IF(C144="","",IF(COUNTIF('Raw Courses'!$A:$A,C144)&gt;0,"Valid","Invalid Course ID"))</f>
        <v/>
      </c>
      <c r="H144" t="str">
        <f t="shared" si="4"/>
        <v/>
      </c>
      <c r="I144" t="str">
        <f t="shared" si="5"/>
        <v/>
      </c>
    </row>
    <row r="145" spans="1:9" x14ac:dyDescent="0.3">
      <c r="A145" t="str">
        <f>IF('Raw Enrollments'!A145="","",'Raw Enrollments'!A145)</f>
        <v/>
      </c>
      <c r="B145" t="str">
        <f>IF('Raw Enrollments'!B145="","",'Raw Enrollments'!B145)</f>
        <v/>
      </c>
      <c r="C145" t="str">
        <f>IF('Raw Enrollments'!C145="","",'Raw Enrollments'!C145)</f>
        <v/>
      </c>
      <c r="D145" t="str">
        <f>IF('Raw Enrollments'!D145="","",'Raw Enrollments'!D145)</f>
        <v/>
      </c>
      <c r="E145" t="str">
        <f>IF('Raw Enrollments'!E145="","",'Raw Enrollments'!E145)</f>
        <v/>
      </c>
      <c r="F145" t="str">
        <f>IF(B145="","",IF(COUNTIF(#REF!,B145)&gt;0,"Valid","Invalid Student ID"))</f>
        <v/>
      </c>
      <c r="G145" t="str">
        <f>IF(C145="","",IF(COUNTIF('Raw Courses'!$A:$A,C145)&gt;0,"Valid","Invalid Course ID"))</f>
        <v/>
      </c>
      <c r="H145" t="str">
        <f t="shared" si="4"/>
        <v/>
      </c>
      <c r="I145" t="str">
        <f t="shared" si="5"/>
        <v/>
      </c>
    </row>
    <row r="146" spans="1:9" x14ac:dyDescent="0.3">
      <c r="A146" t="str">
        <f>IF('Raw Enrollments'!A146="","",'Raw Enrollments'!A146)</f>
        <v/>
      </c>
      <c r="B146" t="str">
        <f>IF('Raw Enrollments'!B146="","",'Raw Enrollments'!B146)</f>
        <v/>
      </c>
      <c r="C146" t="str">
        <f>IF('Raw Enrollments'!C146="","",'Raw Enrollments'!C146)</f>
        <v/>
      </c>
      <c r="D146" t="str">
        <f>IF('Raw Enrollments'!D146="","",'Raw Enrollments'!D146)</f>
        <v/>
      </c>
      <c r="E146" t="str">
        <f>IF('Raw Enrollments'!E146="","",'Raw Enrollments'!E146)</f>
        <v/>
      </c>
      <c r="F146" t="str">
        <f>IF(B146="","",IF(COUNTIF(#REF!,B146)&gt;0,"Valid","Invalid Student ID"))</f>
        <v/>
      </c>
      <c r="G146" t="str">
        <f>IF(C146="","",IF(COUNTIF('Raw Courses'!$A:$A,C146)&gt;0,"Valid","Invalid Course ID"))</f>
        <v/>
      </c>
      <c r="H146" t="str">
        <f t="shared" si="4"/>
        <v/>
      </c>
      <c r="I146" t="str">
        <f t="shared" si="5"/>
        <v/>
      </c>
    </row>
    <row r="147" spans="1:9" x14ac:dyDescent="0.3">
      <c r="A147" t="str">
        <f>IF('Raw Enrollments'!A147="","",'Raw Enrollments'!A147)</f>
        <v/>
      </c>
      <c r="B147" t="str">
        <f>IF('Raw Enrollments'!B147="","",'Raw Enrollments'!B147)</f>
        <v/>
      </c>
      <c r="C147" t="str">
        <f>IF('Raw Enrollments'!C147="","",'Raw Enrollments'!C147)</f>
        <v/>
      </c>
      <c r="D147" t="str">
        <f>IF('Raw Enrollments'!D147="","",'Raw Enrollments'!D147)</f>
        <v/>
      </c>
      <c r="E147" t="str">
        <f>IF('Raw Enrollments'!E147="","",'Raw Enrollments'!E147)</f>
        <v/>
      </c>
      <c r="F147" t="str">
        <f>IF(B147="","",IF(COUNTIF(#REF!,B147)&gt;0,"Valid","Invalid Student ID"))</f>
        <v/>
      </c>
      <c r="G147" t="str">
        <f>IF(C147="","",IF(COUNTIF('Raw Courses'!$A:$A,C147)&gt;0,"Valid","Invalid Course ID"))</f>
        <v/>
      </c>
      <c r="H147" t="str">
        <f t="shared" si="4"/>
        <v/>
      </c>
      <c r="I147" t="str">
        <f t="shared" si="5"/>
        <v/>
      </c>
    </row>
    <row r="148" spans="1:9" x14ac:dyDescent="0.3">
      <c r="A148" t="str">
        <f>IF('Raw Enrollments'!A148="","",'Raw Enrollments'!A148)</f>
        <v/>
      </c>
      <c r="B148" t="str">
        <f>IF('Raw Enrollments'!B148="","",'Raw Enrollments'!B148)</f>
        <v/>
      </c>
      <c r="C148" t="str">
        <f>IF('Raw Enrollments'!C148="","",'Raw Enrollments'!C148)</f>
        <v/>
      </c>
      <c r="D148" t="str">
        <f>IF('Raw Enrollments'!D148="","",'Raw Enrollments'!D148)</f>
        <v/>
      </c>
      <c r="E148" t="str">
        <f>IF('Raw Enrollments'!E148="","",'Raw Enrollments'!E148)</f>
        <v/>
      </c>
      <c r="F148" t="str">
        <f>IF(B148="","",IF(COUNTIF(#REF!,B148)&gt;0,"Valid","Invalid Student ID"))</f>
        <v/>
      </c>
      <c r="G148" t="str">
        <f>IF(C148="","",IF(COUNTIF('Raw Courses'!$A:$A,C148)&gt;0,"Valid","Invalid Course ID"))</f>
        <v/>
      </c>
      <c r="H148" t="str">
        <f t="shared" si="4"/>
        <v/>
      </c>
      <c r="I148" t="str">
        <f t="shared" si="5"/>
        <v/>
      </c>
    </row>
    <row r="149" spans="1:9" x14ac:dyDescent="0.3">
      <c r="A149" t="str">
        <f>IF('Raw Enrollments'!A149="","",'Raw Enrollments'!A149)</f>
        <v/>
      </c>
      <c r="B149" t="str">
        <f>IF('Raw Enrollments'!B149="","",'Raw Enrollments'!B149)</f>
        <v/>
      </c>
      <c r="C149" t="str">
        <f>IF('Raw Enrollments'!C149="","",'Raw Enrollments'!C149)</f>
        <v/>
      </c>
      <c r="D149" t="str">
        <f>IF('Raw Enrollments'!D149="","",'Raw Enrollments'!D149)</f>
        <v/>
      </c>
      <c r="E149" t="str">
        <f>IF('Raw Enrollments'!E149="","",'Raw Enrollments'!E149)</f>
        <v/>
      </c>
      <c r="F149" t="str">
        <f>IF(B149="","",IF(COUNTIF(#REF!,B149)&gt;0,"Valid","Invalid Student ID"))</f>
        <v/>
      </c>
      <c r="G149" t="str">
        <f>IF(C149="","",IF(COUNTIF('Raw Courses'!$A:$A,C149)&gt;0,"Valid","Invalid Course ID"))</f>
        <v/>
      </c>
      <c r="H149" t="str">
        <f t="shared" si="4"/>
        <v/>
      </c>
      <c r="I149" t="str">
        <f t="shared" si="5"/>
        <v/>
      </c>
    </row>
    <row r="150" spans="1:9" x14ac:dyDescent="0.3">
      <c r="A150" t="str">
        <f>IF('Raw Enrollments'!A150="","",'Raw Enrollments'!A150)</f>
        <v/>
      </c>
      <c r="B150" t="str">
        <f>IF('Raw Enrollments'!B150="","",'Raw Enrollments'!B150)</f>
        <v/>
      </c>
      <c r="C150" t="str">
        <f>IF('Raw Enrollments'!C150="","",'Raw Enrollments'!C150)</f>
        <v/>
      </c>
      <c r="D150" t="str">
        <f>IF('Raw Enrollments'!D150="","",'Raw Enrollments'!D150)</f>
        <v/>
      </c>
      <c r="E150" t="str">
        <f>IF('Raw Enrollments'!E150="","",'Raw Enrollments'!E150)</f>
        <v/>
      </c>
      <c r="F150" t="str">
        <f>IF(B150="","",IF(COUNTIF(#REF!,B150)&gt;0,"Valid","Invalid Student ID"))</f>
        <v/>
      </c>
      <c r="G150" t="str">
        <f>IF(C150="","",IF(COUNTIF('Raw Courses'!$A:$A,C150)&gt;0,"Valid","Invalid Course ID"))</f>
        <v/>
      </c>
      <c r="H150" t="str">
        <f t="shared" si="4"/>
        <v/>
      </c>
      <c r="I150" t="str">
        <f t="shared" si="5"/>
        <v/>
      </c>
    </row>
    <row r="151" spans="1:9" x14ac:dyDescent="0.3">
      <c r="A151" t="str">
        <f>IF('Raw Enrollments'!A151="","",'Raw Enrollments'!A151)</f>
        <v/>
      </c>
      <c r="B151" t="str">
        <f>IF('Raw Enrollments'!B151="","",'Raw Enrollments'!B151)</f>
        <v/>
      </c>
      <c r="C151" t="str">
        <f>IF('Raw Enrollments'!C151="","",'Raw Enrollments'!C151)</f>
        <v/>
      </c>
      <c r="D151" t="str">
        <f>IF('Raw Enrollments'!D151="","",'Raw Enrollments'!D151)</f>
        <v/>
      </c>
      <c r="E151" t="str">
        <f>IF('Raw Enrollments'!E151="","",'Raw Enrollments'!E151)</f>
        <v/>
      </c>
      <c r="F151" t="str">
        <f>IF(B151="","",IF(COUNTIF(#REF!,B151)&gt;0,"Valid","Invalid Student ID"))</f>
        <v/>
      </c>
      <c r="G151" t="str">
        <f>IF(C151="","",IF(COUNTIF('Raw Courses'!$A:$A,C151)&gt;0,"Valid","Invalid Course ID"))</f>
        <v/>
      </c>
      <c r="H151" t="str">
        <f t="shared" si="4"/>
        <v/>
      </c>
      <c r="I151" t="str">
        <f t="shared" si="5"/>
        <v/>
      </c>
    </row>
    <row r="152" spans="1:9" x14ac:dyDescent="0.3">
      <c r="A152" t="str">
        <f>IF('Raw Enrollments'!A152="","",'Raw Enrollments'!A152)</f>
        <v/>
      </c>
      <c r="B152" t="str">
        <f>IF('Raw Enrollments'!B152="","",'Raw Enrollments'!B152)</f>
        <v/>
      </c>
      <c r="C152" t="str">
        <f>IF('Raw Enrollments'!C152="","",'Raw Enrollments'!C152)</f>
        <v/>
      </c>
      <c r="D152" t="str">
        <f>IF('Raw Enrollments'!D152="","",'Raw Enrollments'!D152)</f>
        <v/>
      </c>
      <c r="E152" t="str">
        <f>IF('Raw Enrollments'!E152="","",'Raw Enrollments'!E152)</f>
        <v/>
      </c>
      <c r="F152" t="str">
        <f>IF(B152="","",IF(COUNTIF(#REF!,B152)&gt;0,"Valid","Invalid Student ID"))</f>
        <v/>
      </c>
      <c r="G152" t="str">
        <f>IF(C152="","",IF(COUNTIF('Raw Courses'!$A:$A,C152)&gt;0,"Valid","Invalid Course ID"))</f>
        <v/>
      </c>
      <c r="H152" t="str">
        <f t="shared" si="4"/>
        <v/>
      </c>
      <c r="I152" t="str">
        <f t="shared" si="5"/>
        <v/>
      </c>
    </row>
    <row r="153" spans="1:9" x14ac:dyDescent="0.3">
      <c r="A153" t="str">
        <f>IF('Raw Enrollments'!A153="","",'Raw Enrollments'!A153)</f>
        <v/>
      </c>
      <c r="B153" t="str">
        <f>IF('Raw Enrollments'!B153="","",'Raw Enrollments'!B153)</f>
        <v/>
      </c>
      <c r="C153" t="str">
        <f>IF('Raw Enrollments'!C153="","",'Raw Enrollments'!C153)</f>
        <v/>
      </c>
      <c r="D153" t="str">
        <f>IF('Raw Enrollments'!D153="","",'Raw Enrollments'!D153)</f>
        <v/>
      </c>
      <c r="E153" t="str">
        <f>IF('Raw Enrollments'!E153="","",'Raw Enrollments'!E153)</f>
        <v/>
      </c>
      <c r="F153" t="str">
        <f>IF(B153="","",IF(COUNTIF(#REF!,B153)&gt;0,"Valid","Invalid Student ID"))</f>
        <v/>
      </c>
      <c r="G153" t="str">
        <f>IF(C153="","",IF(COUNTIF('Raw Courses'!$A:$A,C153)&gt;0,"Valid","Invalid Course ID"))</f>
        <v/>
      </c>
      <c r="H153" t="str">
        <f t="shared" si="4"/>
        <v/>
      </c>
      <c r="I153" t="str">
        <f t="shared" si="5"/>
        <v/>
      </c>
    </row>
    <row r="154" spans="1:9" x14ac:dyDescent="0.3">
      <c r="A154" t="str">
        <f>IF('Raw Enrollments'!A154="","",'Raw Enrollments'!A154)</f>
        <v/>
      </c>
      <c r="B154" t="str">
        <f>IF('Raw Enrollments'!B154="","",'Raw Enrollments'!B154)</f>
        <v/>
      </c>
      <c r="C154" t="str">
        <f>IF('Raw Enrollments'!C154="","",'Raw Enrollments'!C154)</f>
        <v/>
      </c>
      <c r="D154" t="str">
        <f>IF('Raw Enrollments'!D154="","",'Raw Enrollments'!D154)</f>
        <v/>
      </c>
      <c r="E154" t="str">
        <f>IF('Raw Enrollments'!E154="","",'Raw Enrollments'!E154)</f>
        <v/>
      </c>
      <c r="F154" t="str">
        <f>IF(B154="","",IF(COUNTIF(#REF!,B154)&gt;0,"Valid","Invalid Student ID"))</f>
        <v/>
      </c>
      <c r="G154" t="str">
        <f>IF(C154="","",IF(COUNTIF('Raw Courses'!$A:$A,C154)&gt;0,"Valid","Invalid Course ID"))</f>
        <v/>
      </c>
      <c r="H154" t="str">
        <f t="shared" si="4"/>
        <v/>
      </c>
      <c r="I154" t="str">
        <f t="shared" si="5"/>
        <v/>
      </c>
    </row>
    <row r="155" spans="1:9" x14ac:dyDescent="0.3">
      <c r="A155" t="str">
        <f>IF('Raw Enrollments'!A155="","",'Raw Enrollments'!A155)</f>
        <v/>
      </c>
      <c r="B155" t="str">
        <f>IF('Raw Enrollments'!B155="","",'Raw Enrollments'!B155)</f>
        <v/>
      </c>
      <c r="C155" t="str">
        <f>IF('Raw Enrollments'!C155="","",'Raw Enrollments'!C155)</f>
        <v/>
      </c>
      <c r="D155" t="str">
        <f>IF('Raw Enrollments'!D155="","",'Raw Enrollments'!D155)</f>
        <v/>
      </c>
      <c r="E155" t="str">
        <f>IF('Raw Enrollments'!E155="","",'Raw Enrollments'!E155)</f>
        <v/>
      </c>
      <c r="F155" t="str">
        <f>IF(B155="","",IF(COUNTIF(#REF!,B155)&gt;0,"Valid","Invalid Student ID"))</f>
        <v/>
      </c>
      <c r="G155" t="str">
        <f>IF(C155="","",IF(COUNTIF('Raw Courses'!$A:$A,C155)&gt;0,"Valid","Invalid Course ID"))</f>
        <v/>
      </c>
      <c r="H155" t="str">
        <f t="shared" si="4"/>
        <v/>
      </c>
      <c r="I155" t="str">
        <f t="shared" si="5"/>
        <v/>
      </c>
    </row>
    <row r="156" spans="1:9" x14ac:dyDescent="0.3">
      <c r="A156" t="str">
        <f>IF('Raw Enrollments'!A156="","",'Raw Enrollments'!A156)</f>
        <v/>
      </c>
      <c r="B156" t="str">
        <f>IF('Raw Enrollments'!B156="","",'Raw Enrollments'!B156)</f>
        <v/>
      </c>
      <c r="C156" t="str">
        <f>IF('Raw Enrollments'!C156="","",'Raw Enrollments'!C156)</f>
        <v/>
      </c>
      <c r="D156" t="str">
        <f>IF('Raw Enrollments'!D156="","",'Raw Enrollments'!D156)</f>
        <v/>
      </c>
      <c r="E156" t="str">
        <f>IF('Raw Enrollments'!E156="","",'Raw Enrollments'!E156)</f>
        <v/>
      </c>
      <c r="F156" t="str">
        <f>IF(B156="","",IF(COUNTIF(#REF!,B156)&gt;0,"Valid","Invalid Student ID"))</f>
        <v/>
      </c>
      <c r="G156" t="str">
        <f>IF(C156="","",IF(COUNTIF('Raw Courses'!$A:$A,C156)&gt;0,"Valid","Invalid Course ID"))</f>
        <v/>
      </c>
      <c r="H156" t="str">
        <f t="shared" si="4"/>
        <v/>
      </c>
      <c r="I156" t="str">
        <f t="shared" si="5"/>
        <v/>
      </c>
    </row>
    <row r="157" spans="1:9" x14ac:dyDescent="0.3">
      <c r="A157" t="str">
        <f>IF('Raw Enrollments'!A157="","",'Raw Enrollments'!A157)</f>
        <v/>
      </c>
      <c r="B157" t="str">
        <f>IF('Raw Enrollments'!B157="","",'Raw Enrollments'!B157)</f>
        <v/>
      </c>
      <c r="C157" t="str">
        <f>IF('Raw Enrollments'!C157="","",'Raw Enrollments'!C157)</f>
        <v/>
      </c>
      <c r="D157" t="str">
        <f>IF('Raw Enrollments'!D157="","",'Raw Enrollments'!D157)</f>
        <v/>
      </c>
      <c r="E157" t="str">
        <f>IF('Raw Enrollments'!E157="","",'Raw Enrollments'!E157)</f>
        <v/>
      </c>
      <c r="F157" t="str">
        <f>IF(B157="","",IF(COUNTIF(#REF!,B157)&gt;0,"Valid","Invalid Student ID"))</f>
        <v/>
      </c>
      <c r="G157" t="str">
        <f>IF(C157="","",IF(COUNTIF('Raw Courses'!$A:$A,C157)&gt;0,"Valid","Invalid Course ID"))</f>
        <v/>
      </c>
      <c r="H157" t="str">
        <f t="shared" si="4"/>
        <v/>
      </c>
      <c r="I157" t="str">
        <f t="shared" si="5"/>
        <v/>
      </c>
    </row>
    <row r="158" spans="1:9" x14ac:dyDescent="0.3">
      <c r="A158" t="str">
        <f>IF('Raw Enrollments'!A158="","",'Raw Enrollments'!A158)</f>
        <v/>
      </c>
      <c r="B158" t="str">
        <f>IF('Raw Enrollments'!B158="","",'Raw Enrollments'!B158)</f>
        <v/>
      </c>
      <c r="C158" t="str">
        <f>IF('Raw Enrollments'!C158="","",'Raw Enrollments'!C158)</f>
        <v/>
      </c>
      <c r="D158" t="str">
        <f>IF('Raw Enrollments'!D158="","",'Raw Enrollments'!D158)</f>
        <v/>
      </c>
      <c r="E158" t="str">
        <f>IF('Raw Enrollments'!E158="","",'Raw Enrollments'!E158)</f>
        <v/>
      </c>
      <c r="F158" t="str">
        <f>IF(B158="","",IF(COUNTIF(#REF!,B158)&gt;0,"Valid","Invalid Student ID"))</f>
        <v/>
      </c>
      <c r="G158" t="str">
        <f>IF(C158="","",IF(COUNTIF('Raw Courses'!$A:$A,C158)&gt;0,"Valid","Invalid Course ID"))</f>
        <v/>
      </c>
      <c r="H158" t="str">
        <f t="shared" si="4"/>
        <v/>
      </c>
      <c r="I158" t="str">
        <f t="shared" si="5"/>
        <v/>
      </c>
    </row>
    <row r="159" spans="1:9" x14ac:dyDescent="0.3">
      <c r="A159" t="str">
        <f>IF('Raw Enrollments'!A159="","",'Raw Enrollments'!A159)</f>
        <v/>
      </c>
      <c r="B159" t="str">
        <f>IF('Raw Enrollments'!B159="","",'Raw Enrollments'!B159)</f>
        <v/>
      </c>
      <c r="C159" t="str">
        <f>IF('Raw Enrollments'!C159="","",'Raw Enrollments'!C159)</f>
        <v/>
      </c>
      <c r="D159" t="str">
        <f>IF('Raw Enrollments'!D159="","",'Raw Enrollments'!D159)</f>
        <v/>
      </c>
      <c r="E159" t="str">
        <f>IF('Raw Enrollments'!E159="","",'Raw Enrollments'!E159)</f>
        <v/>
      </c>
      <c r="F159" t="str">
        <f>IF(B159="","",IF(COUNTIF(#REF!,B159)&gt;0,"Valid","Invalid Student ID"))</f>
        <v/>
      </c>
      <c r="G159" t="str">
        <f>IF(C159="","",IF(COUNTIF('Raw Courses'!$A:$A,C159)&gt;0,"Valid","Invalid Course ID"))</f>
        <v/>
      </c>
      <c r="H159" t="str">
        <f t="shared" si="4"/>
        <v/>
      </c>
      <c r="I159" t="str">
        <f t="shared" si="5"/>
        <v/>
      </c>
    </row>
    <row r="160" spans="1:9" x14ac:dyDescent="0.3">
      <c r="A160" t="str">
        <f>IF('Raw Enrollments'!A160="","",'Raw Enrollments'!A160)</f>
        <v/>
      </c>
      <c r="B160" t="str">
        <f>IF('Raw Enrollments'!B160="","",'Raw Enrollments'!B160)</f>
        <v/>
      </c>
      <c r="C160" t="str">
        <f>IF('Raw Enrollments'!C160="","",'Raw Enrollments'!C160)</f>
        <v/>
      </c>
      <c r="D160" t="str">
        <f>IF('Raw Enrollments'!D160="","",'Raw Enrollments'!D160)</f>
        <v/>
      </c>
      <c r="E160" t="str">
        <f>IF('Raw Enrollments'!E160="","",'Raw Enrollments'!E160)</f>
        <v/>
      </c>
      <c r="F160" t="str">
        <f>IF(B160="","",IF(COUNTIF(#REF!,B160)&gt;0,"Valid","Invalid Student ID"))</f>
        <v/>
      </c>
      <c r="G160" t="str">
        <f>IF(C160="","",IF(COUNTIF('Raw Courses'!$A:$A,C160)&gt;0,"Valid","Invalid Course ID"))</f>
        <v/>
      </c>
      <c r="H160" t="str">
        <f t="shared" si="4"/>
        <v/>
      </c>
      <c r="I160" t="str">
        <f t="shared" si="5"/>
        <v/>
      </c>
    </row>
    <row r="161" spans="1:9" x14ac:dyDescent="0.3">
      <c r="A161" t="str">
        <f>IF('Raw Enrollments'!A161="","",'Raw Enrollments'!A161)</f>
        <v/>
      </c>
      <c r="B161" t="str">
        <f>IF('Raw Enrollments'!B161="","",'Raw Enrollments'!B161)</f>
        <v/>
      </c>
      <c r="C161" t="str">
        <f>IF('Raw Enrollments'!C161="","",'Raw Enrollments'!C161)</f>
        <v/>
      </c>
      <c r="D161" t="str">
        <f>IF('Raw Enrollments'!D161="","",'Raw Enrollments'!D161)</f>
        <v/>
      </c>
      <c r="E161" t="str">
        <f>IF('Raw Enrollments'!E161="","",'Raw Enrollments'!E161)</f>
        <v/>
      </c>
      <c r="F161" t="str">
        <f>IF(B161="","",IF(COUNTIF(#REF!,B161)&gt;0,"Valid","Invalid Student ID"))</f>
        <v/>
      </c>
      <c r="G161" t="str">
        <f>IF(C161="","",IF(COUNTIF('Raw Courses'!$A:$A,C161)&gt;0,"Valid","Invalid Course ID"))</f>
        <v/>
      </c>
      <c r="H161" t="str">
        <f t="shared" si="4"/>
        <v/>
      </c>
      <c r="I161" t="str">
        <f t="shared" si="5"/>
        <v/>
      </c>
    </row>
    <row r="162" spans="1:9" x14ac:dyDescent="0.3">
      <c r="A162" t="str">
        <f>IF('Raw Enrollments'!A162="","",'Raw Enrollments'!A162)</f>
        <v/>
      </c>
      <c r="B162" t="str">
        <f>IF('Raw Enrollments'!B162="","",'Raw Enrollments'!B162)</f>
        <v/>
      </c>
      <c r="C162" t="str">
        <f>IF('Raw Enrollments'!C162="","",'Raw Enrollments'!C162)</f>
        <v/>
      </c>
      <c r="D162" t="str">
        <f>IF('Raw Enrollments'!D162="","",'Raw Enrollments'!D162)</f>
        <v/>
      </c>
      <c r="E162" t="str">
        <f>IF('Raw Enrollments'!E162="","",'Raw Enrollments'!E162)</f>
        <v/>
      </c>
      <c r="F162" t="str">
        <f>IF(B162="","",IF(COUNTIF(#REF!,B162)&gt;0,"Valid","Invalid Student ID"))</f>
        <v/>
      </c>
      <c r="G162" t="str">
        <f>IF(C162="","",IF(COUNTIF('Raw Courses'!$A:$A,C162)&gt;0,"Valid","Invalid Course ID"))</f>
        <v/>
      </c>
      <c r="H162" t="str">
        <f t="shared" si="4"/>
        <v/>
      </c>
      <c r="I162" t="str">
        <f t="shared" si="5"/>
        <v/>
      </c>
    </row>
    <row r="163" spans="1:9" x14ac:dyDescent="0.3">
      <c r="A163" t="str">
        <f>IF('Raw Enrollments'!A163="","",'Raw Enrollments'!A163)</f>
        <v/>
      </c>
      <c r="B163" t="str">
        <f>IF('Raw Enrollments'!B163="","",'Raw Enrollments'!B163)</f>
        <v/>
      </c>
      <c r="C163" t="str">
        <f>IF('Raw Enrollments'!C163="","",'Raw Enrollments'!C163)</f>
        <v/>
      </c>
      <c r="D163" t="str">
        <f>IF('Raw Enrollments'!D163="","",'Raw Enrollments'!D163)</f>
        <v/>
      </c>
      <c r="E163" t="str">
        <f>IF('Raw Enrollments'!E163="","",'Raw Enrollments'!E163)</f>
        <v/>
      </c>
      <c r="F163" t="str">
        <f>IF(B163="","",IF(COUNTIF(#REF!,B163)&gt;0,"Valid","Invalid Student ID"))</f>
        <v/>
      </c>
      <c r="G163" t="str">
        <f>IF(C163="","",IF(COUNTIF('Raw Courses'!$A:$A,C163)&gt;0,"Valid","Invalid Course ID"))</f>
        <v/>
      </c>
      <c r="H163" t="str">
        <f t="shared" si="4"/>
        <v/>
      </c>
      <c r="I163" t="str">
        <f t="shared" si="5"/>
        <v/>
      </c>
    </row>
    <row r="164" spans="1:9" x14ac:dyDescent="0.3">
      <c r="A164" t="str">
        <f>IF('Raw Enrollments'!A164="","",'Raw Enrollments'!A164)</f>
        <v/>
      </c>
      <c r="B164" t="str">
        <f>IF('Raw Enrollments'!B164="","",'Raw Enrollments'!B164)</f>
        <v/>
      </c>
      <c r="C164" t="str">
        <f>IF('Raw Enrollments'!C164="","",'Raw Enrollments'!C164)</f>
        <v/>
      </c>
      <c r="D164" t="str">
        <f>IF('Raw Enrollments'!D164="","",'Raw Enrollments'!D164)</f>
        <v/>
      </c>
      <c r="E164" t="str">
        <f>IF('Raw Enrollments'!E164="","",'Raw Enrollments'!E164)</f>
        <v/>
      </c>
      <c r="F164" t="str">
        <f>IF(B164="","",IF(COUNTIF(#REF!,B164)&gt;0,"Valid","Invalid Student ID"))</f>
        <v/>
      </c>
      <c r="G164" t="str">
        <f>IF(C164="","",IF(COUNTIF('Raw Courses'!$A:$A,C164)&gt;0,"Valid","Invalid Course ID"))</f>
        <v/>
      </c>
      <c r="H164" t="str">
        <f t="shared" si="4"/>
        <v/>
      </c>
      <c r="I164" t="str">
        <f t="shared" si="5"/>
        <v/>
      </c>
    </row>
    <row r="165" spans="1:9" x14ac:dyDescent="0.3">
      <c r="A165" t="str">
        <f>IF('Raw Enrollments'!A165="","",'Raw Enrollments'!A165)</f>
        <v/>
      </c>
      <c r="B165" t="str">
        <f>IF('Raw Enrollments'!B165="","",'Raw Enrollments'!B165)</f>
        <v/>
      </c>
      <c r="C165" t="str">
        <f>IF('Raw Enrollments'!C165="","",'Raw Enrollments'!C165)</f>
        <v/>
      </c>
      <c r="D165" t="str">
        <f>IF('Raw Enrollments'!D165="","",'Raw Enrollments'!D165)</f>
        <v/>
      </c>
      <c r="E165" t="str">
        <f>IF('Raw Enrollments'!E165="","",'Raw Enrollments'!E165)</f>
        <v/>
      </c>
      <c r="F165" t="str">
        <f>IF(B165="","",IF(COUNTIF(#REF!,B165)&gt;0,"Valid","Invalid Student ID"))</f>
        <v/>
      </c>
      <c r="G165" t="str">
        <f>IF(C165="","",IF(COUNTIF('Raw Courses'!$A:$A,C165)&gt;0,"Valid","Invalid Course ID"))</f>
        <v/>
      </c>
      <c r="H165" t="str">
        <f t="shared" si="4"/>
        <v/>
      </c>
      <c r="I165" t="str">
        <f t="shared" si="5"/>
        <v/>
      </c>
    </row>
    <row r="166" spans="1:9" x14ac:dyDescent="0.3">
      <c r="A166" t="str">
        <f>IF('Raw Enrollments'!A166="","",'Raw Enrollments'!A166)</f>
        <v/>
      </c>
      <c r="B166" t="str">
        <f>IF('Raw Enrollments'!B166="","",'Raw Enrollments'!B166)</f>
        <v/>
      </c>
      <c r="C166" t="str">
        <f>IF('Raw Enrollments'!C166="","",'Raw Enrollments'!C166)</f>
        <v/>
      </c>
      <c r="D166" t="str">
        <f>IF('Raw Enrollments'!D166="","",'Raw Enrollments'!D166)</f>
        <v/>
      </c>
      <c r="E166" t="str">
        <f>IF('Raw Enrollments'!E166="","",'Raw Enrollments'!E166)</f>
        <v/>
      </c>
      <c r="F166" t="str">
        <f>IF(B166="","",IF(COUNTIF(#REF!,B166)&gt;0,"Valid","Invalid Student ID"))</f>
        <v/>
      </c>
      <c r="G166" t="str">
        <f>IF(C166="","",IF(COUNTIF('Raw Courses'!$A:$A,C166)&gt;0,"Valid","Invalid Course ID"))</f>
        <v/>
      </c>
      <c r="H166" t="str">
        <f t="shared" si="4"/>
        <v/>
      </c>
      <c r="I166" t="str">
        <f t="shared" si="5"/>
        <v/>
      </c>
    </row>
    <row r="167" spans="1:9" x14ac:dyDescent="0.3">
      <c r="A167" t="str">
        <f>IF('Raw Enrollments'!A167="","",'Raw Enrollments'!A167)</f>
        <v/>
      </c>
      <c r="B167" t="str">
        <f>IF('Raw Enrollments'!B167="","",'Raw Enrollments'!B167)</f>
        <v/>
      </c>
      <c r="C167" t="str">
        <f>IF('Raw Enrollments'!C167="","",'Raw Enrollments'!C167)</f>
        <v/>
      </c>
      <c r="D167" t="str">
        <f>IF('Raw Enrollments'!D167="","",'Raw Enrollments'!D167)</f>
        <v/>
      </c>
      <c r="E167" t="str">
        <f>IF('Raw Enrollments'!E167="","",'Raw Enrollments'!E167)</f>
        <v/>
      </c>
      <c r="F167" t="str">
        <f>IF(B167="","",IF(COUNTIF(#REF!,B167)&gt;0,"Valid","Invalid Student ID"))</f>
        <v/>
      </c>
      <c r="G167" t="str">
        <f>IF(C167="","",IF(COUNTIF('Raw Courses'!$A:$A,C167)&gt;0,"Valid","Invalid Course ID"))</f>
        <v/>
      </c>
      <c r="H167" t="str">
        <f t="shared" si="4"/>
        <v/>
      </c>
      <c r="I167" t="str">
        <f t="shared" si="5"/>
        <v/>
      </c>
    </row>
    <row r="168" spans="1:9" x14ac:dyDescent="0.3">
      <c r="A168" t="str">
        <f>IF('Raw Enrollments'!A168="","",'Raw Enrollments'!A168)</f>
        <v/>
      </c>
      <c r="B168" t="str">
        <f>IF('Raw Enrollments'!B168="","",'Raw Enrollments'!B168)</f>
        <v/>
      </c>
      <c r="C168" t="str">
        <f>IF('Raw Enrollments'!C168="","",'Raw Enrollments'!C168)</f>
        <v/>
      </c>
      <c r="D168" t="str">
        <f>IF('Raw Enrollments'!D168="","",'Raw Enrollments'!D168)</f>
        <v/>
      </c>
      <c r="E168" t="str">
        <f>IF('Raw Enrollments'!E168="","",'Raw Enrollments'!E168)</f>
        <v/>
      </c>
      <c r="F168" t="str">
        <f>IF(B168="","",IF(COUNTIF(#REF!,B168)&gt;0,"Valid","Invalid Student ID"))</f>
        <v/>
      </c>
      <c r="G168" t="str">
        <f>IF(C168="","",IF(COUNTIF('Raw Courses'!$A:$A,C168)&gt;0,"Valid","Invalid Course ID"))</f>
        <v/>
      </c>
      <c r="H168" t="str">
        <f t="shared" si="4"/>
        <v/>
      </c>
      <c r="I168" t="str">
        <f t="shared" si="5"/>
        <v/>
      </c>
    </row>
    <row r="169" spans="1:9" x14ac:dyDescent="0.3">
      <c r="A169" t="str">
        <f>IF('Raw Enrollments'!A169="","",'Raw Enrollments'!A169)</f>
        <v/>
      </c>
      <c r="B169" t="str">
        <f>IF('Raw Enrollments'!B169="","",'Raw Enrollments'!B169)</f>
        <v/>
      </c>
      <c r="C169" t="str">
        <f>IF('Raw Enrollments'!C169="","",'Raw Enrollments'!C169)</f>
        <v/>
      </c>
      <c r="D169" t="str">
        <f>IF('Raw Enrollments'!D169="","",'Raw Enrollments'!D169)</f>
        <v/>
      </c>
      <c r="E169" t="str">
        <f>IF('Raw Enrollments'!E169="","",'Raw Enrollments'!E169)</f>
        <v/>
      </c>
      <c r="F169" t="str">
        <f>IF(B169="","",IF(COUNTIF(#REF!,B169)&gt;0,"Valid","Invalid Student ID"))</f>
        <v/>
      </c>
      <c r="G169" t="str">
        <f>IF(C169="","",IF(COUNTIF('Raw Courses'!$A:$A,C169)&gt;0,"Valid","Invalid Course ID"))</f>
        <v/>
      </c>
      <c r="H169" t="str">
        <f t="shared" si="4"/>
        <v/>
      </c>
      <c r="I169" t="str">
        <f t="shared" si="5"/>
        <v/>
      </c>
    </row>
    <row r="170" spans="1:9" x14ac:dyDescent="0.3">
      <c r="A170" t="str">
        <f>IF('Raw Enrollments'!A170="","",'Raw Enrollments'!A170)</f>
        <v/>
      </c>
      <c r="B170" t="str">
        <f>IF('Raw Enrollments'!B170="","",'Raw Enrollments'!B170)</f>
        <v/>
      </c>
      <c r="C170" t="str">
        <f>IF('Raw Enrollments'!C170="","",'Raw Enrollments'!C170)</f>
        <v/>
      </c>
      <c r="D170" t="str">
        <f>IF('Raw Enrollments'!D170="","",'Raw Enrollments'!D170)</f>
        <v/>
      </c>
      <c r="E170" t="str">
        <f>IF('Raw Enrollments'!E170="","",'Raw Enrollments'!E170)</f>
        <v/>
      </c>
      <c r="F170" t="str">
        <f>IF(B170="","",IF(COUNTIF(#REF!,B170)&gt;0,"Valid","Invalid Student ID"))</f>
        <v/>
      </c>
      <c r="G170" t="str">
        <f>IF(C170="","",IF(COUNTIF('Raw Courses'!$A:$A,C170)&gt;0,"Valid","Invalid Course ID"))</f>
        <v/>
      </c>
      <c r="H170" t="str">
        <f t="shared" si="4"/>
        <v/>
      </c>
      <c r="I170" t="str">
        <f t="shared" si="5"/>
        <v/>
      </c>
    </row>
    <row r="171" spans="1:9" x14ac:dyDescent="0.3">
      <c r="A171" t="str">
        <f>IF('Raw Enrollments'!A171="","",'Raw Enrollments'!A171)</f>
        <v/>
      </c>
      <c r="B171" t="str">
        <f>IF('Raw Enrollments'!B171="","",'Raw Enrollments'!B171)</f>
        <v/>
      </c>
      <c r="C171" t="str">
        <f>IF('Raw Enrollments'!C171="","",'Raw Enrollments'!C171)</f>
        <v/>
      </c>
      <c r="D171" t="str">
        <f>IF('Raw Enrollments'!D171="","",'Raw Enrollments'!D171)</f>
        <v/>
      </c>
      <c r="E171" t="str">
        <f>IF('Raw Enrollments'!E171="","",'Raw Enrollments'!E171)</f>
        <v/>
      </c>
      <c r="F171" t="str">
        <f>IF(B171="","",IF(COUNTIF(#REF!,B171)&gt;0,"Valid","Invalid Student ID"))</f>
        <v/>
      </c>
      <c r="G171" t="str">
        <f>IF(C171="","",IF(COUNTIF('Raw Courses'!$A:$A,C171)&gt;0,"Valid","Invalid Course ID"))</f>
        <v/>
      </c>
      <c r="H171" t="str">
        <f t="shared" si="4"/>
        <v/>
      </c>
      <c r="I171" t="str">
        <f t="shared" si="5"/>
        <v/>
      </c>
    </row>
    <row r="172" spans="1:9" x14ac:dyDescent="0.3">
      <c r="A172" t="str">
        <f>IF('Raw Enrollments'!A172="","",'Raw Enrollments'!A172)</f>
        <v/>
      </c>
      <c r="B172" t="str">
        <f>IF('Raw Enrollments'!B172="","",'Raw Enrollments'!B172)</f>
        <v/>
      </c>
      <c r="C172" t="str">
        <f>IF('Raw Enrollments'!C172="","",'Raw Enrollments'!C172)</f>
        <v/>
      </c>
      <c r="D172" t="str">
        <f>IF('Raw Enrollments'!D172="","",'Raw Enrollments'!D172)</f>
        <v/>
      </c>
      <c r="E172" t="str">
        <f>IF('Raw Enrollments'!E172="","",'Raw Enrollments'!E172)</f>
        <v/>
      </c>
      <c r="F172" t="str">
        <f>IF(B172="","",IF(COUNTIF(#REF!,B172)&gt;0,"Valid","Invalid Student ID"))</f>
        <v/>
      </c>
      <c r="G172" t="str">
        <f>IF(C172="","",IF(COUNTIF('Raw Courses'!$A:$A,C172)&gt;0,"Valid","Invalid Course ID"))</f>
        <v/>
      </c>
      <c r="H172" t="str">
        <f t="shared" si="4"/>
        <v/>
      </c>
      <c r="I172" t="str">
        <f t="shared" si="5"/>
        <v/>
      </c>
    </row>
    <row r="173" spans="1:9" x14ac:dyDescent="0.3">
      <c r="A173" t="str">
        <f>IF('Raw Enrollments'!A173="","",'Raw Enrollments'!A173)</f>
        <v/>
      </c>
      <c r="B173" t="str">
        <f>IF('Raw Enrollments'!B173="","",'Raw Enrollments'!B173)</f>
        <v/>
      </c>
      <c r="C173" t="str">
        <f>IF('Raw Enrollments'!C173="","",'Raw Enrollments'!C173)</f>
        <v/>
      </c>
      <c r="D173" t="str">
        <f>IF('Raw Enrollments'!D173="","",'Raw Enrollments'!D173)</f>
        <v/>
      </c>
      <c r="E173" t="str">
        <f>IF('Raw Enrollments'!E173="","",'Raw Enrollments'!E173)</f>
        <v/>
      </c>
      <c r="F173" t="str">
        <f>IF(B173="","",IF(COUNTIF(#REF!,B173)&gt;0,"Valid","Invalid Student ID"))</f>
        <v/>
      </c>
      <c r="G173" t="str">
        <f>IF(C173="","",IF(COUNTIF('Raw Courses'!$A:$A,C173)&gt;0,"Valid","Invalid Course ID"))</f>
        <v/>
      </c>
      <c r="H173" t="str">
        <f t="shared" si="4"/>
        <v/>
      </c>
      <c r="I173" t="str">
        <f t="shared" si="5"/>
        <v/>
      </c>
    </row>
    <row r="174" spans="1:9" x14ac:dyDescent="0.3">
      <c r="A174" t="str">
        <f>IF('Raw Enrollments'!A174="","",'Raw Enrollments'!A174)</f>
        <v/>
      </c>
      <c r="B174" t="str">
        <f>IF('Raw Enrollments'!B174="","",'Raw Enrollments'!B174)</f>
        <v/>
      </c>
      <c r="C174" t="str">
        <f>IF('Raw Enrollments'!C174="","",'Raw Enrollments'!C174)</f>
        <v/>
      </c>
      <c r="D174" t="str">
        <f>IF('Raw Enrollments'!D174="","",'Raw Enrollments'!D174)</f>
        <v/>
      </c>
      <c r="E174" t="str">
        <f>IF('Raw Enrollments'!E174="","",'Raw Enrollments'!E174)</f>
        <v/>
      </c>
      <c r="F174" t="str">
        <f>IF(B174="","",IF(COUNTIF(#REF!,B174)&gt;0,"Valid","Invalid Student ID"))</f>
        <v/>
      </c>
      <c r="G174" t="str">
        <f>IF(C174="","",IF(COUNTIF('Raw Courses'!$A:$A,C174)&gt;0,"Valid","Invalid Course ID"))</f>
        <v/>
      </c>
      <c r="H174" t="str">
        <f t="shared" si="4"/>
        <v/>
      </c>
      <c r="I174" t="str">
        <f t="shared" si="5"/>
        <v/>
      </c>
    </row>
    <row r="175" spans="1:9" x14ac:dyDescent="0.3">
      <c r="A175" t="str">
        <f>IF('Raw Enrollments'!A175="","",'Raw Enrollments'!A175)</f>
        <v/>
      </c>
      <c r="B175" t="str">
        <f>IF('Raw Enrollments'!B175="","",'Raw Enrollments'!B175)</f>
        <v/>
      </c>
      <c r="C175" t="str">
        <f>IF('Raw Enrollments'!C175="","",'Raw Enrollments'!C175)</f>
        <v/>
      </c>
      <c r="D175" t="str">
        <f>IF('Raw Enrollments'!D175="","",'Raw Enrollments'!D175)</f>
        <v/>
      </c>
      <c r="E175" t="str">
        <f>IF('Raw Enrollments'!E175="","",'Raw Enrollments'!E175)</f>
        <v/>
      </c>
      <c r="F175" t="str">
        <f>IF(B175="","",IF(COUNTIF(#REF!,B175)&gt;0,"Valid","Invalid Student ID"))</f>
        <v/>
      </c>
      <c r="G175" t="str">
        <f>IF(C175="","",IF(COUNTIF('Raw Courses'!$A:$A,C175)&gt;0,"Valid","Invalid Course ID"))</f>
        <v/>
      </c>
      <c r="H175" t="str">
        <f t="shared" si="4"/>
        <v/>
      </c>
      <c r="I175" t="str">
        <f t="shared" si="5"/>
        <v/>
      </c>
    </row>
    <row r="176" spans="1:9" x14ac:dyDescent="0.3">
      <c r="A176" t="str">
        <f>IF('Raw Enrollments'!A176="","",'Raw Enrollments'!A176)</f>
        <v/>
      </c>
      <c r="B176" t="str">
        <f>IF('Raw Enrollments'!B176="","",'Raw Enrollments'!B176)</f>
        <v/>
      </c>
      <c r="C176" t="str">
        <f>IF('Raw Enrollments'!C176="","",'Raw Enrollments'!C176)</f>
        <v/>
      </c>
      <c r="D176" t="str">
        <f>IF('Raw Enrollments'!D176="","",'Raw Enrollments'!D176)</f>
        <v/>
      </c>
      <c r="E176" t="str">
        <f>IF('Raw Enrollments'!E176="","",'Raw Enrollments'!E176)</f>
        <v/>
      </c>
      <c r="F176" t="str">
        <f>IF(B176="","",IF(COUNTIF(#REF!,B176)&gt;0,"Valid","Invalid Student ID"))</f>
        <v/>
      </c>
      <c r="G176" t="str">
        <f>IF(C176="","",IF(COUNTIF('Raw Courses'!$A:$A,C176)&gt;0,"Valid","Invalid Course ID"))</f>
        <v/>
      </c>
      <c r="H176" t="str">
        <f t="shared" si="4"/>
        <v/>
      </c>
      <c r="I176" t="str">
        <f t="shared" si="5"/>
        <v/>
      </c>
    </row>
    <row r="177" spans="1:9" x14ac:dyDescent="0.3">
      <c r="A177" t="str">
        <f>IF('Raw Enrollments'!A177="","",'Raw Enrollments'!A177)</f>
        <v/>
      </c>
      <c r="B177" t="str">
        <f>IF('Raw Enrollments'!B177="","",'Raw Enrollments'!B177)</f>
        <v/>
      </c>
      <c r="C177" t="str">
        <f>IF('Raw Enrollments'!C177="","",'Raw Enrollments'!C177)</f>
        <v/>
      </c>
      <c r="D177" t="str">
        <f>IF('Raw Enrollments'!D177="","",'Raw Enrollments'!D177)</f>
        <v/>
      </c>
      <c r="E177" t="str">
        <f>IF('Raw Enrollments'!E177="","",'Raw Enrollments'!E177)</f>
        <v/>
      </c>
      <c r="F177" t="str">
        <f>IF(B177="","",IF(COUNTIF(#REF!,B177)&gt;0,"Valid","Invalid Student ID"))</f>
        <v/>
      </c>
      <c r="G177" t="str">
        <f>IF(C177="","",IF(COUNTIF('Raw Courses'!$A:$A,C177)&gt;0,"Valid","Invalid Course ID"))</f>
        <v/>
      </c>
      <c r="H177" t="str">
        <f t="shared" si="4"/>
        <v/>
      </c>
      <c r="I177" t="str">
        <f t="shared" si="5"/>
        <v/>
      </c>
    </row>
    <row r="178" spans="1:9" x14ac:dyDescent="0.3">
      <c r="A178" t="str">
        <f>IF('Raw Enrollments'!A178="","",'Raw Enrollments'!A178)</f>
        <v/>
      </c>
      <c r="B178" t="str">
        <f>IF('Raw Enrollments'!B178="","",'Raw Enrollments'!B178)</f>
        <v/>
      </c>
      <c r="C178" t="str">
        <f>IF('Raw Enrollments'!C178="","",'Raw Enrollments'!C178)</f>
        <v/>
      </c>
      <c r="D178" t="str">
        <f>IF('Raw Enrollments'!D178="","",'Raw Enrollments'!D178)</f>
        <v/>
      </c>
      <c r="E178" t="str">
        <f>IF('Raw Enrollments'!E178="","",'Raw Enrollments'!E178)</f>
        <v/>
      </c>
      <c r="F178" t="str">
        <f>IF(B178="","",IF(COUNTIF(#REF!,B178)&gt;0,"Valid","Invalid Student ID"))</f>
        <v/>
      </c>
      <c r="G178" t="str">
        <f>IF(C178="","",IF(COUNTIF('Raw Courses'!$A:$A,C178)&gt;0,"Valid","Invalid Course ID"))</f>
        <v/>
      </c>
      <c r="H178" t="str">
        <f t="shared" si="4"/>
        <v/>
      </c>
      <c r="I178" t="str">
        <f t="shared" si="5"/>
        <v/>
      </c>
    </row>
    <row r="179" spans="1:9" x14ac:dyDescent="0.3">
      <c r="A179" t="str">
        <f>IF('Raw Enrollments'!A179="","",'Raw Enrollments'!A179)</f>
        <v/>
      </c>
      <c r="B179" t="str">
        <f>IF('Raw Enrollments'!B179="","",'Raw Enrollments'!B179)</f>
        <v/>
      </c>
      <c r="C179" t="str">
        <f>IF('Raw Enrollments'!C179="","",'Raw Enrollments'!C179)</f>
        <v/>
      </c>
      <c r="D179" t="str">
        <f>IF('Raw Enrollments'!D179="","",'Raw Enrollments'!D179)</f>
        <v/>
      </c>
      <c r="E179" t="str">
        <f>IF('Raw Enrollments'!E179="","",'Raw Enrollments'!E179)</f>
        <v/>
      </c>
      <c r="F179" t="str">
        <f>IF(B179="","",IF(COUNTIF(#REF!,B179)&gt;0,"Valid","Invalid Student ID"))</f>
        <v/>
      </c>
      <c r="G179" t="str">
        <f>IF(C179="","",IF(COUNTIF('Raw Courses'!$A:$A,C179)&gt;0,"Valid","Invalid Course ID"))</f>
        <v/>
      </c>
      <c r="H179" t="str">
        <f t="shared" si="4"/>
        <v/>
      </c>
      <c r="I179" t="str">
        <f t="shared" si="5"/>
        <v/>
      </c>
    </row>
    <row r="180" spans="1:9" x14ac:dyDescent="0.3">
      <c r="A180" t="str">
        <f>IF('Raw Enrollments'!A180="","",'Raw Enrollments'!A180)</f>
        <v/>
      </c>
      <c r="B180" t="str">
        <f>IF('Raw Enrollments'!B180="","",'Raw Enrollments'!B180)</f>
        <v/>
      </c>
      <c r="C180" t="str">
        <f>IF('Raw Enrollments'!C180="","",'Raw Enrollments'!C180)</f>
        <v/>
      </c>
      <c r="D180" t="str">
        <f>IF('Raw Enrollments'!D180="","",'Raw Enrollments'!D180)</f>
        <v/>
      </c>
      <c r="E180" t="str">
        <f>IF('Raw Enrollments'!E180="","",'Raw Enrollments'!E180)</f>
        <v/>
      </c>
      <c r="F180" t="str">
        <f>IF(B180="","",IF(COUNTIF(#REF!,B180)&gt;0,"Valid","Invalid Student ID"))</f>
        <v/>
      </c>
      <c r="G180" t="str">
        <f>IF(C180="","",IF(COUNTIF('Raw Courses'!$A:$A,C180)&gt;0,"Valid","Invalid Course ID"))</f>
        <v/>
      </c>
      <c r="H180" t="str">
        <f t="shared" si="4"/>
        <v/>
      </c>
      <c r="I180" t="str">
        <f t="shared" si="5"/>
        <v/>
      </c>
    </row>
    <row r="181" spans="1:9" x14ac:dyDescent="0.3">
      <c r="A181" t="str">
        <f>IF('Raw Enrollments'!A181="","",'Raw Enrollments'!A181)</f>
        <v/>
      </c>
      <c r="B181" t="str">
        <f>IF('Raw Enrollments'!B181="","",'Raw Enrollments'!B181)</f>
        <v/>
      </c>
      <c r="C181" t="str">
        <f>IF('Raw Enrollments'!C181="","",'Raw Enrollments'!C181)</f>
        <v/>
      </c>
      <c r="D181" t="str">
        <f>IF('Raw Enrollments'!D181="","",'Raw Enrollments'!D181)</f>
        <v/>
      </c>
      <c r="E181" t="str">
        <f>IF('Raw Enrollments'!E181="","",'Raw Enrollments'!E181)</f>
        <v/>
      </c>
      <c r="F181" t="str">
        <f>IF(B181="","",IF(COUNTIF(#REF!,B181)&gt;0,"Valid","Invalid Student ID"))</f>
        <v/>
      </c>
      <c r="G181" t="str">
        <f>IF(C181="","",IF(COUNTIF('Raw Courses'!$A:$A,C181)&gt;0,"Valid","Invalid Course ID"))</f>
        <v/>
      </c>
      <c r="H181" t="str">
        <f t="shared" si="4"/>
        <v/>
      </c>
      <c r="I181" t="str">
        <f t="shared" si="5"/>
        <v/>
      </c>
    </row>
    <row r="182" spans="1:9" x14ac:dyDescent="0.3">
      <c r="A182" t="str">
        <f>IF('Raw Enrollments'!A182="","",'Raw Enrollments'!A182)</f>
        <v/>
      </c>
      <c r="B182" t="str">
        <f>IF('Raw Enrollments'!B182="","",'Raw Enrollments'!B182)</f>
        <v/>
      </c>
      <c r="C182" t="str">
        <f>IF('Raw Enrollments'!C182="","",'Raw Enrollments'!C182)</f>
        <v/>
      </c>
      <c r="D182" t="str">
        <f>IF('Raw Enrollments'!D182="","",'Raw Enrollments'!D182)</f>
        <v/>
      </c>
      <c r="E182" t="str">
        <f>IF('Raw Enrollments'!E182="","",'Raw Enrollments'!E182)</f>
        <v/>
      </c>
      <c r="F182" t="str">
        <f>IF(B182="","",IF(COUNTIF(#REF!,B182)&gt;0,"Valid","Invalid Student ID"))</f>
        <v/>
      </c>
      <c r="G182" t="str">
        <f>IF(C182="","",IF(COUNTIF('Raw Courses'!$A:$A,C182)&gt;0,"Valid","Invalid Course ID"))</f>
        <v/>
      </c>
      <c r="H182" t="str">
        <f t="shared" si="4"/>
        <v/>
      </c>
      <c r="I182" t="str">
        <f t="shared" si="5"/>
        <v/>
      </c>
    </row>
    <row r="183" spans="1:9" x14ac:dyDescent="0.3">
      <c r="A183" t="str">
        <f>IF('Raw Enrollments'!A183="","",'Raw Enrollments'!A183)</f>
        <v/>
      </c>
      <c r="B183" t="str">
        <f>IF('Raw Enrollments'!B183="","",'Raw Enrollments'!B183)</f>
        <v/>
      </c>
      <c r="C183" t="str">
        <f>IF('Raw Enrollments'!C183="","",'Raw Enrollments'!C183)</f>
        <v/>
      </c>
      <c r="D183" t="str">
        <f>IF('Raw Enrollments'!D183="","",'Raw Enrollments'!D183)</f>
        <v/>
      </c>
      <c r="E183" t="str">
        <f>IF('Raw Enrollments'!E183="","",'Raw Enrollments'!E183)</f>
        <v/>
      </c>
      <c r="F183" t="str">
        <f>IF(B183="","",IF(COUNTIF(#REF!,B183)&gt;0,"Valid","Invalid Student ID"))</f>
        <v/>
      </c>
      <c r="G183" t="str">
        <f>IF(C183="","",IF(COUNTIF('Raw Courses'!$A:$A,C183)&gt;0,"Valid","Invalid Course ID"))</f>
        <v/>
      </c>
      <c r="H183" t="str">
        <f t="shared" si="4"/>
        <v/>
      </c>
      <c r="I183" t="str">
        <f t="shared" si="5"/>
        <v/>
      </c>
    </row>
    <row r="184" spans="1:9" x14ac:dyDescent="0.3">
      <c r="A184" t="str">
        <f>IF('Raw Enrollments'!A184="","",'Raw Enrollments'!A184)</f>
        <v/>
      </c>
      <c r="B184" t="str">
        <f>IF('Raw Enrollments'!B184="","",'Raw Enrollments'!B184)</f>
        <v/>
      </c>
      <c r="C184" t="str">
        <f>IF('Raw Enrollments'!C184="","",'Raw Enrollments'!C184)</f>
        <v/>
      </c>
      <c r="D184" t="str">
        <f>IF('Raw Enrollments'!D184="","",'Raw Enrollments'!D184)</f>
        <v/>
      </c>
      <c r="E184" t="str">
        <f>IF('Raw Enrollments'!E184="","",'Raw Enrollments'!E184)</f>
        <v/>
      </c>
      <c r="F184" t="str">
        <f>IF(B184="","",IF(COUNTIF(#REF!,B184)&gt;0,"Valid","Invalid Student ID"))</f>
        <v/>
      </c>
      <c r="G184" t="str">
        <f>IF(C184="","",IF(COUNTIF('Raw Courses'!$A:$A,C184)&gt;0,"Valid","Invalid Course ID"))</f>
        <v/>
      </c>
      <c r="H184" t="str">
        <f t="shared" si="4"/>
        <v/>
      </c>
      <c r="I184" t="str">
        <f t="shared" si="5"/>
        <v/>
      </c>
    </row>
    <row r="185" spans="1:9" x14ac:dyDescent="0.3">
      <c r="A185" t="str">
        <f>IF('Raw Enrollments'!A185="","",'Raw Enrollments'!A185)</f>
        <v/>
      </c>
      <c r="B185" t="str">
        <f>IF('Raw Enrollments'!B185="","",'Raw Enrollments'!B185)</f>
        <v/>
      </c>
      <c r="C185" t="str">
        <f>IF('Raw Enrollments'!C185="","",'Raw Enrollments'!C185)</f>
        <v/>
      </c>
      <c r="D185" t="str">
        <f>IF('Raw Enrollments'!D185="","",'Raw Enrollments'!D185)</f>
        <v/>
      </c>
      <c r="E185" t="str">
        <f>IF('Raw Enrollments'!E185="","",'Raw Enrollments'!E185)</f>
        <v/>
      </c>
      <c r="F185" t="str">
        <f>IF(B185="","",IF(COUNTIF(#REF!,B185)&gt;0,"Valid","Invalid Student ID"))</f>
        <v/>
      </c>
      <c r="G185" t="str">
        <f>IF(C185="","",IF(COUNTIF('Raw Courses'!$A:$A,C185)&gt;0,"Valid","Invalid Course ID"))</f>
        <v/>
      </c>
      <c r="H185" t="str">
        <f t="shared" si="4"/>
        <v/>
      </c>
      <c r="I185" t="str">
        <f t="shared" si="5"/>
        <v/>
      </c>
    </row>
    <row r="186" spans="1:9" x14ac:dyDescent="0.3">
      <c r="A186" t="str">
        <f>IF('Raw Enrollments'!A186="","",'Raw Enrollments'!A186)</f>
        <v/>
      </c>
      <c r="B186" t="str">
        <f>IF('Raw Enrollments'!B186="","",'Raw Enrollments'!B186)</f>
        <v/>
      </c>
      <c r="C186" t="str">
        <f>IF('Raw Enrollments'!C186="","",'Raw Enrollments'!C186)</f>
        <v/>
      </c>
      <c r="D186" t="str">
        <f>IF('Raw Enrollments'!D186="","",'Raw Enrollments'!D186)</f>
        <v/>
      </c>
      <c r="E186" t="str">
        <f>IF('Raw Enrollments'!E186="","",'Raw Enrollments'!E186)</f>
        <v/>
      </c>
      <c r="F186" t="str">
        <f>IF(B186="","",IF(COUNTIF(#REF!,B186)&gt;0,"Valid","Invalid Student ID"))</f>
        <v/>
      </c>
      <c r="G186" t="str">
        <f>IF(C186="","",IF(COUNTIF('Raw Courses'!$A:$A,C186)&gt;0,"Valid","Invalid Course ID"))</f>
        <v/>
      </c>
      <c r="H186" t="str">
        <f t="shared" si="4"/>
        <v/>
      </c>
      <c r="I186" t="str">
        <f t="shared" si="5"/>
        <v/>
      </c>
    </row>
    <row r="187" spans="1:9" x14ac:dyDescent="0.3">
      <c r="A187" t="str">
        <f>IF('Raw Enrollments'!A187="","",'Raw Enrollments'!A187)</f>
        <v/>
      </c>
      <c r="B187" t="str">
        <f>IF('Raw Enrollments'!B187="","",'Raw Enrollments'!B187)</f>
        <v/>
      </c>
      <c r="C187" t="str">
        <f>IF('Raw Enrollments'!C187="","",'Raw Enrollments'!C187)</f>
        <v/>
      </c>
      <c r="D187" t="str">
        <f>IF('Raw Enrollments'!D187="","",'Raw Enrollments'!D187)</f>
        <v/>
      </c>
      <c r="E187" t="str">
        <f>IF('Raw Enrollments'!E187="","",'Raw Enrollments'!E187)</f>
        <v/>
      </c>
      <c r="F187" t="str">
        <f>IF(B187="","",IF(COUNTIF(#REF!,B187)&gt;0,"Valid","Invalid Student ID"))</f>
        <v/>
      </c>
      <c r="G187" t="str">
        <f>IF(C187="","",IF(COUNTIF('Raw Courses'!$A:$A,C187)&gt;0,"Valid","Invalid Course ID"))</f>
        <v/>
      </c>
      <c r="H187" t="str">
        <f t="shared" si="4"/>
        <v/>
      </c>
      <c r="I187" t="str">
        <f t="shared" si="5"/>
        <v/>
      </c>
    </row>
    <row r="188" spans="1:9" x14ac:dyDescent="0.3">
      <c r="A188" t="str">
        <f>IF('Raw Enrollments'!A188="","",'Raw Enrollments'!A188)</f>
        <v/>
      </c>
      <c r="B188" t="str">
        <f>IF('Raw Enrollments'!B188="","",'Raw Enrollments'!B188)</f>
        <v/>
      </c>
      <c r="C188" t="str">
        <f>IF('Raw Enrollments'!C188="","",'Raw Enrollments'!C188)</f>
        <v/>
      </c>
      <c r="D188" t="str">
        <f>IF('Raw Enrollments'!D188="","",'Raw Enrollments'!D188)</f>
        <v/>
      </c>
      <c r="E188" t="str">
        <f>IF('Raw Enrollments'!E188="","",'Raw Enrollments'!E188)</f>
        <v/>
      </c>
      <c r="F188" t="str">
        <f>IF(B188="","",IF(COUNTIF(#REF!,B188)&gt;0,"Valid","Invalid Student ID"))</f>
        <v/>
      </c>
      <c r="G188" t="str">
        <f>IF(C188="","",IF(COUNTIF('Raw Courses'!$A:$A,C188)&gt;0,"Valid","Invalid Course ID"))</f>
        <v/>
      </c>
      <c r="H188" t="str">
        <f t="shared" si="4"/>
        <v/>
      </c>
      <c r="I188" t="str">
        <f t="shared" si="5"/>
        <v/>
      </c>
    </row>
    <row r="189" spans="1:9" x14ac:dyDescent="0.3">
      <c r="A189" t="str">
        <f>IF('Raw Enrollments'!A189="","",'Raw Enrollments'!A189)</f>
        <v/>
      </c>
      <c r="B189" t="str">
        <f>IF('Raw Enrollments'!B189="","",'Raw Enrollments'!B189)</f>
        <v/>
      </c>
      <c r="C189" t="str">
        <f>IF('Raw Enrollments'!C189="","",'Raw Enrollments'!C189)</f>
        <v/>
      </c>
      <c r="D189" t="str">
        <f>IF('Raw Enrollments'!D189="","",'Raw Enrollments'!D189)</f>
        <v/>
      </c>
      <c r="E189" t="str">
        <f>IF('Raw Enrollments'!E189="","",'Raw Enrollments'!E189)</f>
        <v/>
      </c>
      <c r="F189" t="str">
        <f>IF(B189="","",IF(COUNTIF(#REF!,B189)&gt;0,"Valid","Invalid Student ID"))</f>
        <v/>
      </c>
      <c r="G189" t="str">
        <f>IF(C189="","",IF(COUNTIF('Raw Courses'!$A:$A,C189)&gt;0,"Valid","Invalid Course ID"))</f>
        <v/>
      </c>
      <c r="H189" t="str">
        <f t="shared" si="4"/>
        <v/>
      </c>
      <c r="I189" t="str">
        <f t="shared" si="5"/>
        <v/>
      </c>
    </row>
    <row r="190" spans="1:9" x14ac:dyDescent="0.3">
      <c r="A190" t="str">
        <f>IF('Raw Enrollments'!A190="","",'Raw Enrollments'!A190)</f>
        <v/>
      </c>
      <c r="B190" t="str">
        <f>IF('Raw Enrollments'!B190="","",'Raw Enrollments'!B190)</f>
        <v/>
      </c>
      <c r="C190" t="str">
        <f>IF('Raw Enrollments'!C190="","",'Raw Enrollments'!C190)</f>
        <v/>
      </c>
      <c r="D190" t="str">
        <f>IF('Raw Enrollments'!D190="","",'Raw Enrollments'!D190)</f>
        <v/>
      </c>
      <c r="E190" t="str">
        <f>IF('Raw Enrollments'!E190="","",'Raw Enrollments'!E190)</f>
        <v/>
      </c>
      <c r="F190" t="str">
        <f>IF(B190="","",IF(COUNTIF(#REF!,B190)&gt;0,"Valid","Invalid Student ID"))</f>
        <v/>
      </c>
      <c r="G190" t="str">
        <f>IF(C190="","",IF(COUNTIF('Raw Courses'!$A:$A,C190)&gt;0,"Valid","Invalid Course ID"))</f>
        <v/>
      </c>
      <c r="H190" t="str">
        <f t="shared" si="4"/>
        <v/>
      </c>
      <c r="I190" t="str">
        <f t="shared" si="5"/>
        <v/>
      </c>
    </row>
    <row r="191" spans="1:9" x14ac:dyDescent="0.3">
      <c r="A191" t="str">
        <f>IF('Raw Enrollments'!A191="","",'Raw Enrollments'!A191)</f>
        <v/>
      </c>
      <c r="B191" t="str">
        <f>IF('Raw Enrollments'!B191="","",'Raw Enrollments'!B191)</f>
        <v/>
      </c>
      <c r="C191" t="str">
        <f>IF('Raw Enrollments'!C191="","",'Raw Enrollments'!C191)</f>
        <v/>
      </c>
      <c r="D191" t="str">
        <f>IF('Raw Enrollments'!D191="","",'Raw Enrollments'!D191)</f>
        <v/>
      </c>
      <c r="E191" t="str">
        <f>IF('Raw Enrollments'!E191="","",'Raw Enrollments'!E191)</f>
        <v/>
      </c>
      <c r="F191" t="str">
        <f>IF(B191="","",IF(COUNTIF(#REF!,B191)&gt;0,"Valid","Invalid Student ID"))</f>
        <v/>
      </c>
      <c r="G191" t="str">
        <f>IF(C191="","",IF(COUNTIF('Raw Courses'!$A:$A,C191)&gt;0,"Valid","Invalid Course ID"))</f>
        <v/>
      </c>
      <c r="H191" t="str">
        <f t="shared" si="4"/>
        <v/>
      </c>
      <c r="I191" t="str">
        <f t="shared" si="5"/>
        <v/>
      </c>
    </row>
    <row r="192" spans="1:9" x14ac:dyDescent="0.3">
      <c r="A192" t="str">
        <f>IF('Raw Enrollments'!A192="","",'Raw Enrollments'!A192)</f>
        <v/>
      </c>
      <c r="B192" t="str">
        <f>IF('Raw Enrollments'!B192="","",'Raw Enrollments'!B192)</f>
        <v/>
      </c>
      <c r="C192" t="str">
        <f>IF('Raw Enrollments'!C192="","",'Raw Enrollments'!C192)</f>
        <v/>
      </c>
      <c r="D192" t="str">
        <f>IF('Raw Enrollments'!D192="","",'Raw Enrollments'!D192)</f>
        <v/>
      </c>
      <c r="E192" t="str">
        <f>IF('Raw Enrollments'!E192="","",'Raw Enrollments'!E192)</f>
        <v/>
      </c>
      <c r="F192" t="str">
        <f>IF(B192="","",IF(COUNTIF(#REF!,B192)&gt;0,"Valid","Invalid Student ID"))</f>
        <v/>
      </c>
      <c r="G192" t="str">
        <f>IF(C192="","",IF(COUNTIF('Raw Courses'!$A:$A,C192)&gt;0,"Valid","Invalid Course ID"))</f>
        <v/>
      </c>
      <c r="H192" t="str">
        <f t="shared" si="4"/>
        <v/>
      </c>
      <c r="I192" t="str">
        <f t="shared" si="5"/>
        <v/>
      </c>
    </row>
    <row r="193" spans="1:9" x14ac:dyDescent="0.3">
      <c r="A193" t="str">
        <f>IF('Raw Enrollments'!A193="","",'Raw Enrollments'!A193)</f>
        <v/>
      </c>
      <c r="B193" t="str">
        <f>IF('Raw Enrollments'!B193="","",'Raw Enrollments'!B193)</f>
        <v/>
      </c>
      <c r="C193" t="str">
        <f>IF('Raw Enrollments'!C193="","",'Raw Enrollments'!C193)</f>
        <v/>
      </c>
      <c r="D193" t="str">
        <f>IF('Raw Enrollments'!D193="","",'Raw Enrollments'!D193)</f>
        <v/>
      </c>
      <c r="E193" t="str">
        <f>IF('Raw Enrollments'!E193="","",'Raw Enrollments'!E193)</f>
        <v/>
      </c>
      <c r="F193" t="str">
        <f>IF(B193="","",IF(COUNTIF(#REF!,B193)&gt;0,"Valid","Invalid Student ID"))</f>
        <v/>
      </c>
      <c r="G193" t="str">
        <f>IF(C193="","",IF(COUNTIF('Raw Courses'!$A:$A,C193)&gt;0,"Valid","Invalid Course ID"))</f>
        <v/>
      </c>
      <c r="H193" t="str">
        <f t="shared" si="4"/>
        <v/>
      </c>
      <c r="I193" t="str">
        <f t="shared" si="5"/>
        <v/>
      </c>
    </row>
    <row r="194" spans="1:9" x14ac:dyDescent="0.3">
      <c r="A194" t="str">
        <f>IF('Raw Enrollments'!A194="","",'Raw Enrollments'!A194)</f>
        <v/>
      </c>
      <c r="B194" t="str">
        <f>IF('Raw Enrollments'!B194="","",'Raw Enrollments'!B194)</f>
        <v/>
      </c>
      <c r="C194" t="str">
        <f>IF('Raw Enrollments'!C194="","",'Raw Enrollments'!C194)</f>
        <v/>
      </c>
      <c r="D194" t="str">
        <f>IF('Raw Enrollments'!D194="","",'Raw Enrollments'!D194)</f>
        <v/>
      </c>
      <c r="E194" t="str">
        <f>IF('Raw Enrollments'!E194="","",'Raw Enrollments'!E194)</f>
        <v/>
      </c>
      <c r="F194" t="str">
        <f>IF(B194="","",IF(COUNTIF(#REF!,B194)&gt;0,"Valid","Invalid Student ID"))</f>
        <v/>
      </c>
      <c r="G194" t="str">
        <f>IF(C194="","",IF(COUNTIF('Raw Courses'!$A:$A,C194)&gt;0,"Valid","Invalid Course ID"))</f>
        <v/>
      </c>
      <c r="H194" t="str">
        <f t="shared" si="4"/>
        <v/>
      </c>
      <c r="I194" t="str">
        <f t="shared" si="5"/>
        <v/>
      </c>
    </row>
    <row r="195" spans="1:9" x14ac:dyDescent="0.3">
      <c r="A195" t="str">
        <f>IF('Raw Enrollments'!A195="","",'Raw Enrollments'!A195)</f>
        <v/>
      </c>
      <c r="B195" t="str">
        <f>IF('Raw Enrollments'!B195="","",'Raw Enrollments'!B195)</f>
        <v/>
      </c>
      <c r="C195" t="str">
        <f>IF('Raw Enrollments'!C195="","",'Raw Enrollments'!C195)</f>
        <v/>
      </c>
      <c r="D195" t="str">
        <f>IF('Raw Enrollments'!D195="","",'Raw Enrollments'!D195)</f>
        <v/>
      </c>
      <c r="E195" t="str">
        <f>IF('Raw Enrollments'!E195="","",'Raw Enrollments'!E195)</f>
        <v/>
      </c>
      <c r="F195" t="str">
        <f>IF(B195="","",IF(COUNTIF(#REF!,B195)&gt;0,"Valid","Invalid Student ID"))</f>
        <v/>
      </c>
      <c r="G195" t="str">
        <f>IF(C195="","",IF(COUNTIF('Raw Courses'!$A:$A,C195)&gt;0,"Valid","Invalid Course ID"))</f>
        <v/>
      </c>
      <c r="H195" t="str">
        <f t="shared" si="4"/>
        <v/>
      </c>
      <c r="I195" t="str">
        <f t="shared" si="5"/>
        <v/>
      </c>
    </row>
    <row r="196" spans="1:9" x14ac:dyDescent="0.3">
      <c r="A196" t="str">
        <f>IF('Raw Enrollments'!A196="","",'Raw Enrollments'!A196)</f>
        <v/>
      </c>
      <c r="B196" t="str">
        <f>IF('Raw Enrollments'!B196="","",'Raw Enrollments'!B196)</f>
        <v/>
      </c>
      <c r="C196" t="str">
        <f>IF('Raw Enrollments'!C196="","",'Raw Enrollments'!C196)</f>
        <v/>
      </c>
      <c r="D196" t="str">
        <f>IF('Raw Enrollments'!D196="","",'Raw Enrollments'!D196)</f>
        <v/>
      </c>
      <c r="E196" t="str">
        <f>IF('Raw Enrollments'!E196="","",'Raw Enrollments'!E196)</f>
        <v/>
      </c>
      <c r="F196" t="str">
        <f>IF(B196="","",IF(COUNTIF(#REF!,B196)&gt;0,"Valid","Invalid Student ID"))</f>
        <v/>
      </c>
      <c r="G196" t="str">
        <f>IF(C196="","",IF(COUNTIF('Raw Courses'!$A:$A,C196)&gt;0,"Valid","Invalid Course ID"))</f>
        <v/>
      </c>
      <c r="H196" t="str">
        <f t="shared" si="4"/>
        <v/>
      </c>
      <c r="I196" t="str">
        <f t="shared" si="5"/>
        <v/>
      </c>
    </row>
    <row r="197" spans="1:9" x14ac:dyDescent="0.3">
      <c r="A197" t="str">
        <f>IF('Raw Enrollments'!A197="","",'Raw Enrollments'!A197)</f>
        <v/>
      </c>
      <c r="B197" t="str">
        <f>IF('Raw Enrollments'!B197="","",'Raw Enrollments'!B197)</f>
        <v/>
      </c>
      <c r="C197" t="str">
        <f>IF('Raw Enrollments'!C197="","",'Raw Enrollments'!C197)</f>
        <v/>
      </c>
      <c r="D197" t="str">
        <f>IF('Raw Enrollments'!D197="","",'Raw Enrollments'!D197)</f>
        <v/>
      </c>
      <c r="E197" t="str">
        <f>IF('Raw Enrollments'!E197="","",'Raw Enrollments'!E197)</f>
        <v/>
      </c>
      <c r="F197" t="str">
        <f>IF(B197="","",IF(COUNTIF(#REF!,B197)&gt;0,"Valid","Invalid Student ID"))</f>
        <v/>
      </c>
      <c r="G197" t="str">
        <f>IF(C197="","",IF(COUNTIF('Raw Courses'!$A:$A,C197)&gt;0,"Valid","Invalid Course ID"))</f>
        <v/>
      </c>
      <c r="H197" t="str">
        <f t="shared" ref="H197:H260" si="6">IF(A197="","",IF(COUNTIF($A$5:$A$504,A197)&gt;1,"Duplicate","Unique"))</f>
        <v/>
      </c>
      <c r="I197" t="str">
        <f t="shared" ref="I197:I260" si="7">IF(A197="","",IF(OR(F197="Invalid Student ID",G197="Invalid Course ID",H197="Duplicate",D197="",E197=""),"Review","Pass"))</f>
        <v/>
      </c>
    </row>
    <row r="198" spans="1:9" x14ac:dyDescent="0.3">
      <c r="A198" t="str">
        <f>IF('Raw Enrollments'!A198="","",'Raw Enrollments'!A198)</f>
        <v/>
      </c>
      <c r="B198" t="str">
        <f>IF('Raw Enrollments'!B198="","",'Raw Enrollments'!B198)</f>
        <v/>
      </c>
      <c r="C198" t="str">
        <f>IF('Raw Enrollments'!C198="","",'Raw Enrollments'!C198)</f>
        <v/>
      </c>
      <c r="D198" t="str">
        <f>IF('Raw Enrollments'!D198="","",'Raw Enrollments'!D198)</f>
        <v/>
      </c>
      <c r="E198" t="str">
        <f>IF('Raw Enrollments'!E198="","",'Raw Enrollments'!E198)</f>
        <v/>
      </c>
      <c r="F198" t="str">
        <f>IF(B198="","",IF(COUNTIF(#REF!,B198)&gt;0,"Valid","Invalid Student ID"))</f>
        <v/>
      </c>
      <c r="G198" t="str">
        <f>IF(C198="","",IF(COUNTIF('Raw Courses'!$A:$A,C198)&gt;0,"Valid","Invalid Course ID"))</f>
        <v/>
      </c>
      <c r="H198" t="str">
        <f t="shared" si="6"/>
        <v/>
      </c>
      <c r="I198" t="str">
        <f t="shared" si="7"/>
        <v/>
      </c>
    </row>
    <row r="199" spans="1:9" x14ac:dyDescent="0.3">
      <c r="A199" t="str">
        <f>IF('Raw Enrollments'!A199="","",'Raw Enrollments'!A199)</f>
        <v/>
      </c>
      <c r="B199" t="str">
        <f>IF('Raw Enrollments'!B199="","",'Raw Enrollments'!B199)</f>
        <v/>
      </c>
      <c r="C199" t="str">
        <f>IF('Raw Enrollments'!C199="","",'Raw Enrollments'!C199)</f>
        <v/>
      </c>
      <c r="D199" t="str">
        <f>IF('Raw Enrollments'!D199="","",'Raw Enrollments'!D199)</f>
        <v/>
      </c>
      <c r="E199" t="str">
        <f>IF('Raw Enrollments'!E199="","",'Raw Enrollments'!E199)</f>
        <v/>
      </c>
      <c r="F199" t="str">
        <f>IF(B199="","",IF(COUNTIF(#REF!,B199)&gt;0,"Valid","Invalid Student ID"))</f>
        <v/>
      </c>
      <c r="G199" t="str">
        <f>IF(C199="","",IF(COUNTIF('Raw Courses'!$A:$A,C199)&gt;0,"Valid","Invalid Course ID"))</f>
        <v/>
      </c>
      <c r="H199" t="str">
        <f t="shared" si="6"/>
        <v/>
      </c>
      <c r="I199" t="str">
        <f t="shared" si="7"/>
        <v/>
      </c>
    </row>
    <row r="200" spans="1:9" x14ac:dyDescent="0.3">
      <c r="A200" t="str">
        <f>IF('Raw Enrollments'!A200="","",'Raw Enrollments'!A200)</f>
        <v/>
      </c>
      <c r="B200" t="str">
        <f>IF('Raw Enrollments'!B200="","",'Raw Enrollments'!B200)</f>
        <v/>
      </c>
      <c r="C200" t="str">
        <f>IF('Raw Enrollments'!C200="","",'Raw Enrollments'!C200)</f>
        <v/>
      </c>
      <c r="D200" t="str">
        <f>IF('Raw Enrollments'!D200="","",'Raw Enrollments'!D200)</f>
        <v/>
      </c>
      <c r="E200" t="str">
        <f>IF('Raw Enrollments'!E200="","",'Raw Enrollments'!E200)</f>
        <v/>
      </c>
      <c r="F200" t="str">
        <f>IF(B200="","",IF(COUNTIF(#REF!,B200)&gt;0,"Valid","Invalid Student ID"))</f>
        <v/>
      </c>
      <c r="G200" t="str">
        <f>IF(C200="","",IF(COUNTIF('Raw Courses'!$A:$A,C200)&gt;0,"Valid","Invalid Course ID"))</f>
        <v/>
      </c>
      <c r="H200" t="str">
        <f t="shared" si="6"/>
        <v/>
      </c>
      <c r="I200" t="str">
        <f t="shared" si="7"/>
        <v/>
      </c>
    </row>
    <row r="201" spans="1:9" x14ac:dyDescent="0.3">
      <c r="A201" t="str">
        <f>IF('Raw Enrollments'!A201="","",'Raw Enrollments'!A201)</f>
        <v/>
      </c>
      <c r="B201" t="str">
        <f>IF('Raw Enrollments'!B201="","",'Raw Enrollments'!B201)</f>
        <v/>
      </c>
      <c r="C201" t="str">
        <f>IF('Raw Enrollments'!C201="","",'Raw Enrollments'!C201)</f>
        <v/>
      </c>
      <c r="D201" t="str">
        <f>IF('Raw Enrollments'!D201="","",'Raw Enrollments'!D201)</f>
        <v/>
      </c>
      <c r="E201" t="str">
        <f>IF('Raw Enrollments'!E201="","",'Raw Enrollments'!E201)</f>
        <v/>
      </c>
      <c r="F201" t="str">
        <f>IF(B201="","",IF(COUNTIF(#REF!,B201)&gt;0,"Valid","Invalid Student ID"))</f>
        <v/>
      </c>
      <c r="G201" t="str">
        <f>IF(C201="","",IF(COUNTIF('Raw Courses'!$A:$A,C201)&gt;0,"Valid","Invalid Course ID"))</f>
        <v/>
      </c>
      <c r="H201" t="str">
        <f t="shared" si="6"/>
        <v/>
      </c>
      <c r="I201" t="str">
        <f t="shared" si="7"/>
        <v/>
      </c>
    </row>
    <row r="202" spans="1:9" x14ac:dyDescent="0.3">
      <c r="A202" t="str">
        <f>IF('Raw Enrollments'!A202="","",'Raw Enrollments'!A202)</f>
        <v/>
      </c>
      <c r="B202" t="str">
        <f>IF('Raw Enrollments'!B202="","",'Raw Enrollments'!B202)</f>
        <v/>
      </c>
      <c r="C202" t="str">
        <f>IF('Raw Enrollments'!C202="","",'Raw Enrollments'!C202)</f>
        <v/>
      </c>
      <c r="D202" t="str">
        <f>IF('Raw Enrollments'!D202="","",'Raw Enrollments'!D202)</f>
        <v/>
      </c>
      <c r="E202" t="str">
        <f>IF('Raw Enrollments'!E202="","",'Raw Enrollments'!E202)</f>
        <v/>
      </c>
      <c r="F202" t="str">
        <f>IF(B202="","",IF(COUNTIF(#REF!,B202)&gt;0,"Valid","Invalid Student ID"))</f>
        <v/>
      </c>
      <c r="G202" t="str">
        <f>IF(C202="","",IF(COUNTIF('Raw Courses'!$A:$A,C202)&gt;0,"Valid","Invalid Course ID"))</f>
        <v/>
      </c>
      <c r="H202" t="str">
        <f t="shared" si="6"/>
        <v/>
      </c>
      <c r="I202" t="str">
        <f t="shared" si="7"/>
        <v/>
      </c>
    </row>
    <row r="203" spans="1:9" x14ac:dyDescent="0.3">
      <c r="A203" t="str">
        <f>IF('Raw Enrollments'!A203="","",'Raw Enrollments'!A203)</f>
        <v/>
      </c>
      <c r="B203" t="str">
        <f>IF('Raw Enrollments'!B203="","",'Raw Enrollments'!B203)</f>
        <v/>
      </c>
      <c r="C203" t="str">
        <f>IF('Raw Enrollments'!C203="","",'Raw Enrollments'!C203)</f>
        <v/>
      </c>
      <c r="D203" t="str">
        <f>IF('Raw Enrollments'!D203="","",'Raw Enrollments'!D203)</f>
        <v/>
      </c>
      <c r="E203" t="str">
        <f>IF('Raw Enrollments'!E203="","",'Raw Enrollments'!E203)</f>
        <v/>
      </c>
      <c r="F203" t="str">
        <f>IF(B203="","",IF(COUNTIF(#REF!,B203)&gt;0,"Valid","Invalid Student ID"))</f>
        <v/>
      </c>
      <c r="G203" t="str">
        <f>IF(C203="","",IF(COUNTIF('Raw Courses'!$A:$A,C203)&gt;0,"Valid","Invalid Course ID"))</f>
        <v/>
      </c>
      <c r="H203" t="str">
        <f t="shared" si="6"/>
        <v/>
      </c>
      <c r="I203" t="str">
        <f t="shared" si="7"/>
        <v/>
      </c>
    </row>
    <row r="204" spans="1:9" x14ac:dyDescent="0.3">
      <c r="A204" t="str">
        <f>IF('Raw Enrollments'!A204="","",'Raw Enrollments'!A204)</f>
        <v/>
      </c>
      <c r="B204" t="str">
        <f>IF('Raw Enrollments'!B204="","",'Raw Enrollments'!B204)</f>
        <v/>
      </c>
      <c r="C204" t="str">
        <f>IF('Raw Enrollments'!C204="","",'Raw Enrollments'!C204)</f>
        <v/>
      </c>
      <c r="D204" t="str">
        <f>IF('Raw Enrollments'!D204="","",'Raw Enrollments'!D204)</f>
        <v/>
      </c>
      <c r="E204" t="str">
        <f>IF('Raw Enrollments'!E204="","",'Raw Enrollments'!E204)</f>
        <v/>
      </c>
      <c r="F204" t="str">
        <f>IF(B204="","",IF(COUNTIF(#REF!,B204)&gt;0,"Valid","Invalid Student ID"))</f>
        <v/>
      </c>
      <c r="G204" t="str">
        <f>IF(C204="","",IF(COUNTIF('Raw Courses'!$A:$A,C204)&gt;0,"Valid","Invalid Course ID"))</f>
        <v/>
      </c>
      <c r="H204" t="str">
        <f t="shared" si="6"/>
        <v/>
      </c>
      <c r="I204" t="str">
        <f t="shared" si="7"/>
        <v/>
      </c>
    </row>
    <row r="205" spans="1:9" x14ac:dyDescent="0.3">
      <c r="A205" t="str">
        <f>IF('Raw Enrollments'!A205="","",'Raw Enrollments'!A205)</f>
        <v/>
      </c>
      <c r="B205" t="str">
        <f>IF('Raw Enrollments'!B205="","",'Raw Enrollments'!B205)</f>
        <v/>
      </c>
      <c r="C205" t="str">
        <f>IF('Raw Enrollments'!C205="","",'Raw Enrollments'!C205)</f>
        <v/>
      </c>
      <c r="D205" t="str">
        <f>IF('Raw Enrollments'!D205="","",'Raw Enrollments'!D205)</f>
        <v/>
      </c>
      <c r="E205" t="str">
        <f>IF('Raw Enrollments'!E205="","",'Raw Enrollments'!E205)</f>
        <v/>
      </c>
      <c r="F205" t="str">
        <f>IF(B205="","",IF(COUNTIF(#REF!,B205)&gt;0,"Valid","Invalid Student ID"))</f>
        <v/>
      </c>
      <c r="G205" t="str">
        <f>IF(C205="","",IF(COUNTIF('Raw Courses'!$A:$A,C205)&gt;0,"Valid","Invalid Course ID"))</f>
        <v/>
      </c>
      <c r="H205" t="str">
        <f t="shared" si="6"/>
        <v/>
      </c>
      <c r="I205" t="str">
        <f t="shared" si="7"/>
        <v/>
      </c>
    </row>
    <row r="206" spans="1:9" x14ac:dyDescent="0.3">
      <c r="A206" t="str">
        <f>IF('Raw Enrollments'!A206="","",'Raw Enrollments'!A206)</f>
        <v/>
      </c>
      <c r="B206" t="str">
        <f>IF('Raw Enrollments'!B206="","",'Raw Enrollments'!B206)</f>
        <v/>
      </c>
      <c r="C206" t="str">
        <f>IF('Raw Enrollments'!C206="","",'Raw Enrollments'!C206)</f>
        <v/>
      </c>
      <c r="D206" t="str">
        <f>IF('Raw Enrollments'!D206="","",'Raw Enrollments'!D206)</f>
        <v/>
      </c>
      <c r="E206" t="str">
        <f>IF('Raw Enrollments'!E206="","",'Raw Enrollments'!E206)</f>
        <v/>
      </c>
      <c r="F206" t="str">
        <f>IF(B206="","",IF(COUNTIF(#REF!,B206)&gt;0,"Valid","Invalid Student ID"))</f>
        <v/>
      </c>
      <c r="G206" t="str">
        <f>IF(C206="","",IF(COUNTIF('Raw Courses'!$A:$A,C206)&gt;0,"Valid","Invalid Course ID"))</f>
        <v/>
      </c>
      <c r="H206" t="str">
        <f t="shared" si="6"/>
        <v/>
      </c>
      <c r="I206" t="str">
        <f t="shared" si="7"/>
        <v/>
      </c>
    </row>
    <row r="207" spans="1:9" x14ac:dyDescent="0.3">
      <c r="A207" t="str">
        <f>IF('Raw Enrollments'!A207="","",'Raw Enrollments'!A207)</f>
        <v/>
      </c>
      <c r="B207" t="str">
        <f>IF('Raw Enrollments'!B207="","",'Raw Enrollments'!B207)</f>
        <v/>
      </c>
      <c r="C207" t="str">
        <f>IF('Raw Enrollments'!C207="","",'Raw Enrollments'!C207)</f>
        <v/>
      </c>
      <c r="D207" t="str">
        <f>IF('Raw Enrollments'!D207="","",'Raw Enrollments'!D207)</f>
        <v/>
      </c>
      <c r="E207" t="str">
        <f>IF('Raw Enrollments'!E207="","",'Raw Enrollments'!E207)</f>
        <v/>
      </c>
      <c r="F207" t="str">
        <f>IF(B207="","",IF(COUNTIF(#REF!,B207)&gt;0,"Valid","Invalid Student ID"))</f>
        <v/>
      </c>
      <c r="G207" t="str">
        <f>IF(C207="","",IF(COUNTIF('Raw Courses'!$A:$A,C207)&gt;0,"Valid","Invalid Course ID"))</f>
        <v/>
      </c>
      <c r="H207" t="str">
        <f t="shared" si="6"/>
        <v/>
      </c>
      <c r="I207" t="str">
        <f t="shared" si="7"/>
        <v/>
      </c>
    </row>
    <row r="208" spans="1:9" x14ac:dyDescent="0.3">
      <c r="A208" t="str">
        <f>IF('Raw Enrollments'!A208="","",'Raw Enrollments'!A208)</f>
        <v/>
      </c>
      <c r="B208" t="str">
        <f>IF('Raw Enrollments'!B208="","",'Raw Enrollments'!B208)</f>
        <v/>
      </c>
      <c r="C208" t="str">
        <f>IF('Raw Enrollments'!C208="","",'Raw Enrollments'!C208)</f>
        <v/>
      </c>
      <c r="D208" t="str">
        <f>IF('Raw Enrollments'!D208="","",'Raw Enrollments'!D208)</f>
        <v/>
      </c>
      <c r="E208" t="str">
        <f>IF('Raw Enrollments'!E208="","",'Raw Enrollments'!E208)</f>
        <v/>
      </c>
      <c r="F208" t="str">
        <f>IF(B208="","",IF(COUNTIF(#REF!,B208)&gt;0,"Valid","Invalid Student ID"))</f>
        <v/>
      </c>
      <c r="G208" t="str">
        <f>IF(C208="","",IF(COUNTIF('Raw Courses'!$A:$A,C208)&gt;0,"Valid","Invalid Course ID"))</f>
        <v/>
      </c>
      <c r="H208" t="str">
        <f t="shared" si="6"/>
        <v/>
      </c>
      <c r="I208" t="str">
        <f t="shared" si="7"/>
        <v/>
      </c>
    </row>
    <row r="209" spans="1:9" x14ac:dyDescent="0.3">
      <c r="A209" t="str">
        <f>IF('Raw Enrollments'!A209="","",'Raw Enrollments'!A209)</f>
        <v/>
      </c>
      <c r="B209" t="str">
        <f>IF('Raw Enrollments'!B209="","",'Raw Enrollments'!B209)</f>
        <v/>
      </c>
      <c r="C209" t="str">
        <f>IF('Raw Enrollments'!C209="","",'Raw Enrollments'!C209)</f>
        <v/>
      </c>
      <c r="D209" t="str">
        <f>IF('Raw Enrollments'!D209="","",'Raw Enrollments'!D209)</f>
        <v/>
      </c>
      <c r="E209" t="str">
        <f>IF('Raw Enrollments'!E209="","",'Raw Enrollments'!E209)</f>
        <v/>
      </c>
      <c r="F209" t="str">
        <f>IF(B209="","",IF(COUNTIF(#REF!,B209)&gt;0,"Valid","Invalid Student ID"))</f>
        <v/>
      </c>
      <c r="G209" t="str">
        <f>IF(C209="","",IF(COUNTIF('Raw Courses'!$A:$A,C209)&gt;0,"Valid","Invalid Course ID"))</f>
        <v/>
      </c>
      <c r="H209" t="str">
        <f t="shared" si="6"/>
        <v/>
      </c>
      <c r="I209" t="str">
        <f t="shared" si="7"/>
        <v/>
      </c>
    </row>
    <row r="210" spans="1:9" x14ac:dyDescent="0.3">
      <c r="A210" t="str">
        <f>IF('Raw Enrollments'!A210="","",'Raw Enrollments'!A210)</f>
        <v/>
      </c>
      <c r="B210" t="str">
        <f>IF('Raw Enrollments'!B210="","",'Raw Enrollments'!B210)</f>
        <v/>
      </c>
      <c r="C210" t="str">
        <f>IF('Raw Enrollments'!C210="","",'Raw Enrollments'!C210)</f>
        <v/>
      </c>
      <c r="D210" t="str">
        <f>IF('Raw Enrollments'!D210="","",'Raw Enrollments'!D210)</f>
        <v/>
      </c>
      <c r="E210" t="str">
        <f>IF('Raw Enrollments'!E210="","",'Raw Enrollments'!E210)</f>
        <v/>
      </c>
      <c r="F210" t="str">
        <f>IF(B210="","",IF(COUNTIF(#REF!,B210)&gt;0,"Valid","Invalid Student ID"))</f>
        <v/>
      </c>
      <c r="G210" t="str">
        <f>IF(C210="","",IF(COUNTIF('Raw Courses'!$A:$A,C210)&gt;0,"Valid","Invalid Course ID"))</f>
        <v/>
      </c>
      <c r="H210" t="str">
        <f t="shared" si="6"/>
        <v/>
      </c>
      <c r="I210" t="str">
        <f t="shared" si="7"/>
        <v/>
      </c>
    </row>
    <row r="211" spans="1:9" x14ac:dyDescent="0.3">
      <c r="A211" t="str">
        <f>IF('Raw Enrollments'!A211="","",'Raw Enrollments'!A211)</f>
        <v/>
      </c>
      <c r="B211" t="str">
        <f>IF('Raw Enrollments'!B211="","",'Raw Enrollments'!B211)</f>
        <v/>
      </c>
      <c r="C211" t="str">
        <f>IF('Raw Enrollments'!C211="","",'Raw Enrollments'!C211)</f>
        <v/>
      </c>
      <c r="D211" t="str">
        <f>IF('Raw Enrollments'!D211="","",'Raw Enrollments'!D211)</f>
        <v/>
      </c>
      <c r="E211" t="str">
        <f>IF('Raw Enrollments'!E211="","",'Raw Enrollments'!E211)</f>
        <v/>
      </c>
      <c r="F211" t="str">
        <f>IF(B211="","",IF(COUNTIF(#REF!,B211)&gt;0,"Valid","Invalid Student ID"))</f>
        <v/>
      </c>
      <c r="G211" t="str">
        <f>IF(C211="","",IF(COUNTIF('Raw Courses'!$A:$A,C211)&gt;0,"Valid","Invalid Course ID"))</f>
        <v/>
      </c>
      <c r="H211" t="str">
        <f t="shared" si="6"/>
        <v/>
      </c>
      <c r="I211" t="str">
        <f t="shared" si="7"/>
        <v/>
      </c>
    </row>
    <row r="212" spans="1:9" x14ac:dyDescent="0.3">
      <c r="A212" t="str">
        <f>IF('Raw Enrollments'!A212="","",'Raw Enrollments'!A212)</f>
        <v/>
      </c>
      <c r="B212" t="str">
        <f>IF('Raw Enrollments'!B212="","",'Raw Enrollments'!B212)</f>
        <v/>
      </c>
      <c r="C212" t="str">
        <f>IF('Raw Enrollments'!C212="","",'Raw Enrollments'!C212)</f>
        <v/>
      </c>
      <c r="D212" t="str">
        <f>IF('Raw Enrollments'!D212="","",'Raw Enrollments'!D212)</f>
        <v/>
      </c>
      <c r="E212" t="str">
        <f>IF('Raw Enrollments'!E212="","",'Raw Enrollments'!E212)</f>
        <v/>
      </c>
      <c r="F212" t="str">
        <f>IF(B212="","",IF(COUNTIF(#REF!,B212)&gt;0,"Valid","Invalid Student ID"))</f>
        <v/>
      </c>
      <c r="G212" t="str">
        <f>IF(C212="","",IF(COUNTIF('Raw Courses'!$A:$A,C212)&gt;0,"Valid","Invalid Course ID"))</f>
        <v/>
      </c>
      <c r="H212" t="str">
        <f t="shared" si="6"/>
        <v/>
      </c>
      <c r="I212" t="str">
        <f t="shared" si="7"/>
        <v/>
      </c>
    </row>
    <row r="213" spans="1:9" x14ac:dyDescent="0.3">
      <c r="A213" t="str">
        <f>IF('Raw Enrollments'!A213="","",'Raw Enrollments'!A213)</f>
        <v/>
      </c>
      <c r="B213" t="str">
        <f>IF('Raw Enrollments'!B213="","",'Raw Enrollments'!B213)</f>
        <v/>
      </c>
      <c r="C213" t="str">
        <f>IF('Raw Enrollments'!C213="","",'Raw Enrollments'!C213)</f>
        <v/>
      </c>
      <c r="D213" t="str">
        <f>IF('Raw Enrollments'!D213="","",'Raw Enrollments'!D213)</f>
        <v/>
      </c>
      <c r="E213" t="str">
        <f>IF('Raw Enrollments'!E213="","",'Raw Enrollments'!E213)</f>
        <v/>
      </c>
      <c r="F213" t="str">
        <f>IF(B213="","",IF(COUNTIF(#REF!,B213)&gt;0,"Valid","Invalid Student ID"))</f>
        <v/>
      </c>
      <c r="G213" t="str">
        <f>IF(C213="","",IF(COUNTIF('Raw Courses'!$A:$A,C213)&gt;0,"Valid","Invalid Course ID"))</f>
        <v/>
      </c>
      <c r="H213" t="str">
        <f t="shared" si="6"/>
        <v/>
      </c>
      <c r="I213" t="str">
        <f t="shared" si="7"/>
        <v/>
      </c>
    </row>
    <row r="214" spans="1:9" x14ac:dyDescent="0.3">
      <c r="A214" t="str">
        <f>IF('Raw Enrollments'!A214="","",'Raw Enrollments'!A214)</f>
        <v/>
      </c>
      <c r="B214" t="str">
        <f>IF('Raw Enrollments'!B214="","",'Raw Enrollments'!B214)</f>
        <v/>
      </c>
      <c r="C214" t="str">
        <f>IF('Raw Enrollments'!C214="","",'Raw Enrollments'!C214)</f>
        <v/>
      </c>
      <c r="D214" t="str">
        <f>IF('Raw Enrollments'!D214="","",'Raw Enrollments'!D214)</f>
        <v/>
      </c>
      <c r="E214" t="str">
        <f>IF('Raw Enrollments'!E214="","",'Raw Enrollments'!E214)</f>
        <v/>
      </c>
      <c r="F214" t="str">
        <f>IF(B214="","",IF(COUNTIF(#REF!,B214)&gt;0,"Valid","Invalid Student ID"))</f>
        <v/>
      </c>
      <c r="G214" t="str">
        <f>IF(C214="","",IF(COUNTIF('Raw Courses'!$A:$A,C214)&gt;0,"Valid","Invalid Course ID"))</f>
        <v/>
      </c>
      <c r="H214" t="str">
        <f t="shared" si="6"/>
        <v/>
      </c>
      <c r="I214" t="str">
        <f t="shared" si="7"/>
        <v/>
      </c>
    </row>
    <row r="215" spans="1:9" x14ac:dyDescent="0.3">
      <c r="A215" t="str">
        <f>IF('Raw Enrollments'!A215="","",'Raw Enrollments'!A215)</f>
        <v/>
      </c>
      <c r="B215" t="str">
        <f>IF('Raw Enrollments'!B215="","",'Raw Enrollments'!B215)</f>
        <v/>
      </c>
      <c r="C215" t="str">
        <f>IF('Raw Enrollments'!C215="","",'Raw Enrollments'!C215)</f>
        <v/>
      </c>
      <c r="D215" t="str">
        <f>IF('Raw Enrollments'!D215="","",'Raw Enrollments'!D215)</f>
        <v/>
      </c>
      <c r="E215" t="str">
        <f>IF('Raw Enrollments'!E215="","",'Raw Enrollments'!E215)</f>
        <v/>
      </c>
      <c r="F215" t="str">
        <f>IF(B215="","",IF(COUNTIF(#REF!,B215)&gt;0,"Valid","Invalid Student ID"))</f>
        <v/>
      </c>
      <c r="G215" t="str">
        <f>IF(C215="","",IF(COUNTIF('Raw Courses'!$A:$A,C215)&gt;0,"Valid","Invalid Course ID"))</f>
        <v/>
      </c>
      <c r="H215" t="str">
        <f t="shared" si="6"/>
        <v/>
      </c>
      <c r="I215" t="str">
        <f t="shared" si="7"/>
        <v/>
      </c>
    </row>
    <row r="216" spans="1:9" x14ac:dyDescent="0.3">
      <c r="A216" t="str">
        <f>IF('Raw Enrollments'!A216="","",'Raw Enrollments'!A216)</f>
        <v/>
      </c>
      <c r="B216" t="str">
        <f>IF('Raw Enrollments'!B216="","",'Raw Enrollments'!B216)</f>
        <v/>
      </c>
      <c r="C216" t="str">
        <f>IF('Raw Enrollments'!C216="","",'Raw Enrollments'!C216)</f>
        <v/>
      </c>
      <c r="D216" t="str">
        <f>IF('Raw Enrollments'!D216="","",'Raw Enrollments'!D216)</f>
        <v/>
      </c>
      <c r="E216" t="str">
        <f>IF('Raw Enrollments'!E216="","",'Raw Enrollments'!E216)</f>
        <v/>
      </c>
      <c r="F216" t="str">
        <f>IF(B216="","",IF(COUNTIF(#REF!,B216)&gt;0,"Valid","Invalid Student ID"))</f>
        <v/>
      </c>
      <c r="G216" t="str">
        <f>IF(C216="","",IF(COUNTIF('Raw Courses'!$A:$A,C216)&gt;0,"Valid","Invalid Course ID"))</f>
        <v/>
      </c>
      <c r="H216" t="str">
        <f t="shared" si="6"/>
        <v/>
      </c>
      <c r="I216" t="str">
        <f t="shared" si="7"/>
        <v/>
      </c>
    </row>
    <row r="217" spans="1:9" x14ac:dyDescent="0.3">
      <c r="A217" t="str">
        <f>IF('Raw Enrollments'!A217="","",'Raw Enrollments'!A217)</f>
        <v/>
      </c>
      <c r="B217" t="str">
        <f>IF('Raw Enrollments'!B217="","",'Raw Enrollments'!B217)</f>
        <v/>
      </c>
      <c r="C217" t="str">
        <f>IF('Raw Enrollments'!C217="","",'Raw Enrollments'!C217)</f>
        <v/>
      </c>
      <c r="D217" t="str">
        <f>IF('Raw Enrollments'!D217="","",'Raw Enrollments'!D217)</f>
        <v/>
      </c>
      <c r="E217" t="str">
        <f>IF('Raw Enrollments'!E217="","",'Raw Enrollments'!E217)</f>
        <v/>
      </c>
      <c r="F217" t="str">
        <f>IF(B217="","",IF(COUNTIF(#REF!,B217)&gt;0,"Valid","Invalid Student ID"))</f>
        <v/>
      </c>
      <c r="G217" t="str">
        <f>IF(C217="","",IF(COUNTIF('Raw Courses'!$A:$A,C217)&gt;0,"Valid","Invalid Course ID"))</f>
        <v/>
      </c>
      <c r="H217" t="str">
        <f t="shared" si="6"/>
        <v/>
      </c>
      <c r="I217" t="str">
        <f t="shared" si="7"/>
        <v/>
      </c>
    </row>
    <row r="218" spans="1:9" x14ac:dyDescent="0.3">
      <c r="A218" t="str">
        <f>IF('Raw Enrollments'!A218="","",'Raw Enrollments'!A218)</f>
        <v/>
      </c>
      <c r="B218" t="str">
        <f>IF('Raw Enrollments'!B218="","",'Raw Enrollments'!B218)</f>
        <v/>
      </c>
      <c r="C218" t="str">
        <f>IF('Raw Enrollments'!C218="","",'Raw Enrollments'!C218)</f>
        <v/>
      </c>
      <c r="D218" t="str">
        <f>IF('Raw Enrollments'!D218="","",'Raw Enrollments'!D218)</f>
        <v/>
      </c>
      <c r="E218" t="str">
        <f>IF('Raw Enrollments'!E218="","",'Raw Enrollments'!E218)</f>
        <v/>
      </c>
      <c r="F218" t="str">
        <f>IF(B218="","",IF(COUNTIF(#REF!,B218)&gt;0,"Valid","Invalid Student ID"))</f>
        <v/>
      </c>
      <c r="G218" t="str">
        <f>IF(C218="","",IF(COUNTIF('Raw Courses'!$A:$A,C218)&gt;0,"Valid","Invalid Course ID"))</f>
        <v/>
      </c>
      <c r="H218" t="str">
        <f t="shared" si="6"/>
        <v/>
      </c>
      <c r="I218" t="str">
        <f t="shared" si="7"/>
        <v/>
      </c>
    </row>
    <row r="219" spans="1:9" x14ac:dyDescent="0.3">
      <c r="A219" t="str">
        <f>IF('Raw Enrollments'!A219="","",'Raw Enrollments'!A219)</f>
        <v/>
      </c>
      <c r="B219" t="str">
        <f>IF('Raw Enrollments'!B219="","",'Raw Enrollments'!B219)</f>
        <v/>
      </c>
      <c r="C219" t="str">
        <f>IF('Raw Enrollments'!C219="","",'Raw Enrollments'!C219)</f>
        <v/>
      </c>
      <c r="D219" t="str">
        <f>IF('Raw Enrollments'!D219="","",'Raw Enrollments'!D219)</f>
        <v/>
      </c>
      <c r="E219" t="str">
        <f>IF('Raw Enrollments'!E219="","",'Raw Enrollments'!E219)</f>
        <v/>
      </c>
      <c r="F219" t="str">
        <f>IF(B219="","",IF(COUNTIF(#REF!,B219)&gt;0,"Valid","Invalid Student ID"))</f>
        <v/>
      </c>
      <c r="G219" t="str">
        <f>IF(C219="","",IF(COUNTIF('Raw Courses'!$A:$A,C219)&gt;0,"Valid","Invalid Course ID"))</f>
        <v/>
      </c>
      <c r="H219" t="str">
        <f t="shared" si="6"/>
        <v/>
      </c>
      <c r="I219" t="str">
        <f t="shared" si="7"/>
        <v/>
      </c>
    </row>
    <row r="220" spans="1:9" x14ac:dyDescent="0.3">
      <c r="A220" t="str">
        <f>IF('Raw Enrollments'!A220="","",'Raw Enrollments'!A220)</f>
        <v/>
      </c>
      <c r="B220" t="str">
        <f>IF('Raw Enrollments'!B220="","",'Raw Enrollments'!B220)</f>
        <v/>
      </c>
      <c r="C220" t="str">
        <f>IF('Raw Enrollments'!C220="","",'Raw Enrollments'!C220)</f>
        <v/>
      </c>
      <c r="D220" t="str">
        <f>IF('Raw Enrollments'!D220="","",'Raw Enrollments'!D220)</f>
        <v/>
      </c>
      <c r="E220" t="str">
        <f>IF('Raw Enrollments'!E220="","",'Raw Enrollments'!E220)</f>
        <v/>
      </c>
      <c r="F220" t="str">
        <f>IF(B220="","",IF(COUNTIF(#REF!,B220)&gt;0,"Valid","Invalid Student ID"))</f>
        <v/>
      </c>
      <c r="G220" t="str">
        <f>IF(C220="","",IF(COUNTIF('Raw Courses'!$A:$A,C220)&gt;0,"Valid","Invalid Course ID"))</f>
        <v/>
      </c>
      <c r="H220" t="str">
        <f t="shared" si="6"/>
        <v/>
      </c>
      <c r="I220" t="str">
        <f t="shared" si="7"/>
        <v/>
      </c>
    </row>
    <row r="221" spans="1:9" x14ac:dyDescent="0.3">
      <c r="A221" t="str">
        <f>IF('Raw Enrollments'!A221="","",'Raw Enrollments'!A221)</f>
        <v/>
      </c>
      <c r="B221" t="str">
        <f>IF('Raw Enrollments'!B221="","",'Raw Enrollments'!B221)</f>
        <v/>
      </c>
      <c r="C221" t="str">
        <f>IF('Raw Enrollments'!C221="","",'Raw Enrollments'!C221)</f>
        <v/>
      </c>
      <c r="D221" t="str">
        <f>IF('Raw Enrollments'!D221="","",'Raw Enrollments'!D221)</f>
        <v/>
      </c>
      <c r="E221" t="str">
        <f>IF('Raw Enrollments'!E221="","",'Raw Enrollments'!E221)</f>
        <v/>
      </c>
      <c r="F221" t="str">
        <f>IF(B221="","",IF(COUNTIF(#REF!,B221)&gt;0,"Valid","Invalid Student ID"))</f>
        <v/>
      </c>
      <c r="G221" t="str">
        <f>IF(C221="","",IF(COUNTIF('Raw Courses'!$A:$A,C221)&gt;0,"Valid","Invalid Course ID"))</f>
        <v/>
      </c>
      <c r="H221" t="str">
        <f t="shared" si="6"/>
        <v/>
      </c>
      <c r="I221" t="str">
        <f t="shared" si="7"/>
        <v/>
      </c>
    </row>
    <row r="222" spans="1:9" x14ac:dyDescent="0.3">
      <c r="A222" t="str">
        <f>IF('Raw Enrollments'!A222="","",'Raw Enrollments'!A222)</f>
        <v/>
      </c>
      <c r="B222" t="str">
        <f>IF('Raw Enrollments'!B222="","",'Raw Enrollments'!B222)</f>
        <v/>
      </c>
      <c r="C222" t="str">
        <f>IF('Raw Enrollments'!C222="","",'Raw Enrollments'!C222)</f>
        <v/>
      </c>
      <c r="D222" t="str">
        <f>IF('Raw Enrollments'!D222="","",'Raw Enrollments'!D222)</f>
        <v/>
      </c>
      <c r="E222" t="str">
        <f>IF('Raw Enrollments'!E222="","",'Raw Enrollments'!E222)</f>
        <v/>
      </c>
      <c r="F222" t="str">
        <f>IF(B222="","",IF(COUNTIF(#REF!,B222)&gt;0,"Valid","Invalid Student ID"))</f>
        <v/>
      </c>
      <c r="G222" t="str">
        <f>IF(C222="","",IF(COUNTIF('Raw Courses'!$A:$A,C222)&gt;0,"Valid","Invalid Course ID"))</f>
        <v/>
      </c>
      <c r="H222" t="str">
        <f t="shared" si="6"/>
        <v/>
      </c>
      <c r="I222" t="str">
        <f t="shared" si="7"/>
        <v/>
      </c>
    </row>
    <row r="223" spans="1:9" x14ac:dyDescent="0.3">
      <c r="A223" t="str">
        <f>IF('Raw Enrollments'!A223="","",'Raw Enrollments'!A223)</f>
        <v/>
      </c>
      <c r="B223" t="str">
        <f>IF('Raw Enrollments'!B223="","",'Raw Enrollments'!B223)</f>
        <v/>
      </c>
      <c r="C223" t="str">
        <f>IF('Raw Enrollments'!C223="","",'Raw Enrollments'!C223)</f>
        <v/>
      </c>
      <c r="D223" t="str">
        <f>IF('Raw Enrollments'!D223="","",'Raw Enrollments'!D223)</f>
        <v/>
      </c>
      <c r="E223" t="str">
        <f>IF('Raw Enrollments'!E223="","",'Raw Enrollments'!E223)</f>
        <v/>
      </c>
      <c r="F223" t="str">
        <f>IF(B223="","",IF(COUNTIF(#REF!,B223)&gt;0,"Valid","Invalid Student ID"))</f>
        <v/>
      </c>
      <c r="G223" t="str">
        <f>IF(C223="","",IF(COUNTIF('Raw Courses'!$A:$A,C223)&gt;0,"Valid","Invalid Course ID"))</f>
        <v/>
      </c>
      <c r="H223" t="str">
        <f t="shared" si="6"/>
        <v/>
      </c>
      <c r="I223" t="str">
        <f t="shared" si="7"/>
        <v/>
      </c>
    </row>
    <row r="224" spans="1:9" x14ac:dyDescent="0.3">
      <c r="A224" t="str">
        <f>IF('Raw Enrollments'!A224="","",'Raw Enrollments'!A224)</f>
        <v/>
      </c>
      <c r="B224" t="str">
        <f>IF('Raw Enrollments'!B224="","",'Raw Enrollments'!B224)</f>
        <v/>
      </c>
      <c r="C224" t="str">
        <f>IF('Raw Enrollments'!C224="","",'Raw Enrollments'!C224)</f>
        <v/>
      </c>
      <c r="D224" t="str">
        <f>IF('Raw Enrollments'!D224="","",'Raw Enrollments'!D224)</f>
        <v/>
      </c>
      <c r="E224" t="str">
        <f>IF('Raw Enrollments'!E224="","",'Raw Enrollments'!E224)</f>
        <v/>
      </c>
      <c r="F224" t="str">
        <f>IF(B224="","",IF(COUNTIF(#REF!,B224)&gt;0,"Valid","Invalid Student ID"))</f>
        <v/>
      </c>
      <c r="G224" t="str">
        <f>IF(C224="","",IF(COUNTIF('Raw Courses'!$A:$A,C224)&gt;0,"Valid","Invalid Course ID"))</f>
        <v/>
      </c>
      <c r="H224" t="str">
        <f t="shared" si="6"/>
        <v/>
      </c>
      <c r="I224" t="str">
        <f t="shared" si="7"/>
        <v/>
      </c>
    </row>
    <row r="225" spans="1:9" x14ac:dyDescent="0.3">
      <c r="A225" t="str">
        <f>IF('Raw Enrollments'!A225="","",'Raw Enrollments'!A225)</f>
        <v/>
      </c>
      <c r="B225" t="str">
        <f>IF('Raw Enrollments'!B225="","",'Raw Enrollments'!B225)</f>
        <v/>
      </c>
      <c r="C225" t="str">
        <f>IF('Raw Enrollments'!C225="","",'Raw Enrollments'!C225)</f>
        <v/>
      </c>
      <c r="D225" t="str">
        <f>IF('Raw Enrollments'!D225="","",'Raw Enrollments'!D225)</f>
        <v/>
      </c>
      <c r="E225" t="str">
        <f>IF('Raw Enrollments'!E225="","",'Raw Enrollments'!E225)</f>
        <v/>
      </c>
      <c r="F225" t="str">
        <f>IF(B225="","",IF(COUNTIF(#REF!,B225)&gt;0,"Valid","Invalid Student ID"))</f>
        <v/>
      </c>
      <c r="G225" t="str">
        <f>IF(C225="","",IF(COUNTIF('Raw Courses'!$A:$A,C225)&gt;0,"Valid","Invalid Course ID"))</f>
        <v/>
      </c>
      <c r="H225" t="str">
        <f t="shared" si="6"/>
        <v/>
      </c>
      <c r="I225" t="str">
        <f t="shared" si="7"/>
        <v/>
      </c>
    </row>
    <row r="226" spans="1:9" x14ac:dyDescent="0.3">
      <c r="A226" t="str">
        <f>IF('Raw Enrollments'!A226="","",'Raw Enrollments'!A226)</f>
        <v/>
      </c>
      <c r="B226" t="str">
        <f>IF('Raw Enrollments'!B226="","",'Raw Enrollments'!B226)</f>
        <v/>
      </c>
      <c r="C226" t="str">
        <f>IF('Raw Enrollments'!C226="","",'Raw Enrollments'!C226)</f>
        <v/>
      </c>
      <c r="D226" t="str">
        <f>IF('Raw Enrollments'!D226="","",'Raw Enrollments'!D226)</f>
        <v/>
      </c>
      <c r="E226" t="str">
        <f>IF('Raw Enrollments'!E226="","",'Raw Enrollments'!E226)</f>
        <v/>
      </c>
      <c r="F226" t="str">
        <f>IF(B226="","",IF(COUNTIF(#REF!,B226)&gt;0,"Valid","Invalid Student ID"))</f>
        <v/>
      </c>
      <c r="G226" t="str">
        <f>IF(C226="","",IF(COUNTIF('Raw Courses'!$A:$A,C226)&gt;0,"Valid","Invalid Course ID"))</f>
        <v/>
      </c>
      <c r="H226" t="str">
        <f t="shared" si="6"/>
        <v/>
      </c>
      <c r="I226" t="str">
        <f t="shared" si="7"/>
        <v/>
      </c>
    </row>
    <row r="227" spans="1:9" x14ac:dyDescent="0.3">
      <c r="A227" t="str">
        <f>IF('Raw Enrollments'!A227="","",'Raw Enrollments'!A227)</f>
        <v/>
      </c>
      <c r="B227" t="str">
        <f>IF('Raw Enrollments'!B227="","",'Raw Enrollments'!B227)</f>
        <v/>
      </c>
      <c r="C227" t="str">
        <f>IF('Raw Enrollments'!C227="","",'Raw Enrollments'!C227)</f>
        <v/>
      </c>
      <c r="D227" t="str">
        <f>IF('Raw Enrollments'!D227="","",'Raw Enrollments'!D227)</f>
        <v/>
      </c>
      <c r="E227" t="str">
        <f>IF('Raw Enrollments'!E227="","",'Raw Enrollments'!E227)</f>
        <v/>
      </c>
      <c r="F227" t="str">
        <f>IF(B227="","",IF(COUNTIF(#REF!,B227)&gt;0,"Valid","Invalid Student ID"))</f>
        <v/>
      </c>
      <c r="G227" t="str">
        <f>IF(C227="","",IF(COUNTIF('Raw Courses'!$A:$A,C227)&gt;0,"Valid","Invalid Course ID"))</f>
        <v/>
      </c>
      <c r="H227" t="str">
        <f t="shared" si="6"/>
        <v/>
      </c>
      <c r="I227" t="str">
        <f t="shared" si="7"/>
        <v/>
      </c>
    </row>
    <row r="228" spans="1:9" x14ac:dyDescent="0.3">
      <c r="A228" t="str">
        <f>IF('Raw Enrollments'!A228="","",'Raw Enrollments'!A228)</f>
        <v/>
      </c>
      <c r="B228" t="str">
        <f>IF('Raw Enrollments'!B228="","",'Raw Enrollments'!B228)</f>
        <v/>
      </c>
      <c r="C228" t="str">
        <f>IF('Raw Enrollments'!C228="","",'Raw Enrollments'!C228)</f>
        <v/>
      </c>
      <c r="D228" t="str">
        <f>IF('Raw Enrollments'!D228="","",'Raw Enrollments'!D228)</f>
        <v/>
      </c>
      <c r="E228" t="str">
        <f>IF('Raw Enrollments'!E228="","",'Raw Enrollments'!E228)</f>
        <v/>
      </c>
      <c r="F228" t="str">
        <f>IF(B228="","",IF(COUNTIF(#REF!,B228)&gt;0,"Valid","Invalid Student ID"))</f>
        <v/>
      </c>
      <c r="G228" t="str">
        <f>IF(C228="","",IF(COUNTIF('Raw Courses'!$A:$A,C228)&gt;0,"Valid","Invalid Course ID"))</f>
        <v/>
      </c>
      <c r="H228" t="str">
        <f t="shared" si="6"/>
        <v/>
      </c>
      <c r="I228" t="str">
        <f t="shared" si="7"/>
        <v/>
      </c>
    </row>
    <row r="229" spans="1:9" x14ac:dyDescent="0.3">
      <c r="A229" t="str">
        <f>IF('Raw Enrollments'!A229="","",'Raw Enrollments'!A229)</f>
        <v/>
      </c>
      <c r="B229" t="str">
        <f>IF('Raw Enrollments'!B229="","",'Raw Enrollments'!B229)</f>
        <v/>
      </c>
      <c r="C229" t="str">
        <f>IF('Raw Enrollments'!C229="","",'Raw Enrollments'!C229)</f>
        <v/>
      </c>
      <c r="D229" t="str">
        <f>IF('Raw Enrollments'!D229="","",'Raw Enrollments'!D229)</f>
        <v/>
      </c>
      <c r="E229" t="str">
        <f>IF('Raw Enrollments'!E229="","",'Raw Enrollments'!E229)</f>
        <v/>
      </c>
      <c r="F229" t="str">
        <f>IF(B229="","",IF(COUNTIF(#REF!,B229)&gt;0,"Valid","Invalid Student ID"))</f>
        <v/>
      </c>
      <c r="G229" t="str">
        <f>IF(C229="","",IF(COUNTIF('Raw Courses'!$A:$A,C229)&gt;0,"Valid","Invalid Course ID"))</f>
        <v/>
      </c>
      <c r="H229" t="str">
        <f t="shared" si="6"/>
        <v/>
      </c>
      <c r="I229" t="str">
        <f t="shared" si="7"/>
        <v/>
      </c>
    </row>
    <row r="230" spans="1:9" x14ac:dyDescent="0.3">
      <c r="A230" t="str">
        <f>IF('Raw Enrollments'!A230="","",'Raw Enrollments'!A230)</f>
        <v/>
      </c>
      <c r="B230" t="str">
        <f>IF('Raw Enrollments'!B230="","",'Raw Enrollments'!B230)</f>
        <v/>
      </c>
      <c r="C230" t="str">
        <f>IF('Raw Enrollments'!C230="","",'Raw Enrollments'!C230)</f>
        <v/>
      </c>
      <c r="D230" t="str">
        <f>IF('Raw Enrollments'!D230="","",'Raw Enrollments'!D230)</f>
        <v/>
      </c>
      <c r="E230" t="str">
        <f>IF('Raw Enrollments'!E230="","",'Raw Enrollments'!E230)</f>
        <v/>
      </c>
      <c r="F230" t="str">
        <f>IF(B230="","",IF(COUNTIF(#REF!,B230)&gt;0,"Valid","Invalid Student ID"))</f>
        <v/>
      </c>
      <c r="G230" t="str">
        <f>IF(C230="","",IF(COUNTIF('Raw Courses'!$A:$A,C230)&gt;0,"Valid","Invalid Course ID"))</f>
        <v/>
      </c>
      <c r="H230" t="str">
        <f t="shared" si="6"/>
        <v/>
      </c>
      <c r="I230" t="str">
        <f t="shared" si="7"/>
        <v/>
      </c>
    </row>
    <row r="231" spans="1:9" x14ac:dyDescent="0.3">
      <c r="A231" t="str">
        <f>IF('Raw Enrollments'!A231="","",'Raw Enrollments'!A231)</f>
        <v/>
      </c>
      <c r="B231" t="str">
        <f>IF('Raw Enrollments'!B231="","",'Raw Enrollments'!B231)</f>
        <v/>
      </c>
      <c r="C231" t="str">
        <f>IF('Raw Enrollments'!C231="","",'Raw Enrollments'!C231)</f>
        <v/>
      </c>
      <c r="D231" t="str">
        <f>IF('Raw Enrollments'!D231="","",'Raw Enrollments'!D231)</f>
        <v/>
      </c>
      <c r="E231" t="str">
        <f>IF('Raw Enrollments'!E231="","",'Raw Enrollments'!E231)</f>
        <v/>
      </c>
      <c r="F231" t="str">
        <f>IF(B231="","",IF(COUNTIF(#REF!,B231)&gt;0,"Valid","Invalid Student ID"))</f>
        <v/>
      </c>
      <c r="G231" t="str">
        <f>IF(C231="","",IF(COUNTIF('Raw Courses'!$A:$A,C231)&gt;0,"Valid","Invalid Course ID"))</f>
        <v/>
      </c>
      <c r="H231" t="str">
        <f t="shared" si="6"/>
        <v/>
      </c>
      <c r="I231" t="str">
        <f t="shared" si="7"/>
        <v/>
      </c>
    </row>
    <row r="232" spans="1:9" x14ac:dyDescent="0.3">
      <c r="A232" t="str">
        <f>IF('Raw Enrollments'!A232="","",'Raw Enrollments'!A232)</f>
        <v/>
      </c>
      <c r="B232" t="str">
        <f>IF('Raw Enrollments'!B232="","",'Raw Enrollments'!B232)</f>
        <v/>
      </c>
      <c r="C232" t="str">
        <f>IF('Raw Enrollments'!C232="","",'Raw Enrollments'!C232)</f>
        <v/>
      </c>
      <c r="D232" t="str">
        <f>IF('Raw Enrollments'!D232="","",'Raw Enrollments'!D232)</f>
        <v/>
      </c>
      <c r="E232" t="str">
        <f>IF('Raw Enrollments'!E232="","",'Raw Enrollments'!E232)</f>
        <v/>
      </c>
      <c r="F232" t="str">
        <f>IF(B232="","",IF(COUNTIF(#REF!,B232)&gt;0,"Valid","Invalid Student ID"))</f>
        <v/>
      </c>
      <c r="G232" t="str">
        <f>IF(C232="","",IF(COUNTIF('Raw Courses'!$A:$A,C232)&gt;0,"Valid","Invalid Course ID"))</f>
        <v/>
      </c>
      <c r="H232" t="str">
        <f t="shared" si="6"/>
        <v/>
      </c>
      <c r="I232" t="str">
        <f t="shared" si="7"/>
        <v/>
      </c>
    </row>
    <row r="233" spans="1:9" x14ac:dyDescent="0.3">
      <c r="A233" t="str">
        <f>IF('Raw Enrollments'!A233="","",'Raw Enrollments'!A233)</f>
        <v/>
      </c>
      <c r="B233" t="str">
        <f>IF('Raw Enrollments'!B233="","",'Raw Enrollments'!B233)</f>
        <v/>
      </c>
      <c r="C233" t="str">
        <f>IF('Raw Enrollments'!C233="","",'Raw Enrollments'!C233)</f>
        <v/>
      </c>
      <c r="D233" t="str">
        <f>IF('Raw Enrollments'!D233="","",'Raw Enrollments'!D233)</f>
        <v/>
      </c>
      <c r="E233" t="str">
        <f>IF('Raw Enrollments'!E233="","",'Raw Enrollments'!E233)</f>
        <v/>
      </c>
      <c r="F233" t="str">
        <f>IF(B233="","",IF(COUNTIF(#REF!,B233)&gt;0,"Valid","Invalid Student ID"))</f>
        <v/>
      </c>
      <c r="G233" t="str">
        <f>IF(C233="","",IF(COUNTIF('Raw Courses'!$A:$A,C233)&gt;0,"Valid","Invalid Course ID"))</f>
        <v/>
      </c>
      <c r="H233" t="str">
        <f t="shared" si="6"/>
        <v/>
      </c>
      <c r="I233" t="str">
        <f t="shared" si="7"/>
        <v/>
      </c>
    </row>
    <row r="234" spans="1:9" x14ac:dyDescent="0.3">
      <c r="A234" t="str">
        <f>IF('Raw Enrollments'!A234="","",'Raw Enrollments'!A234)</f>
        <v/>
      </c>
      <c r="B234" t="str">
        <f>IF('Raw Enrollments'!B234="","",'Raw Enrollments'!B234)</f>
        <v/>
      </c>
      <c r="C234" t="str">
        <f>IF('Raw Enrollments'!C234="","",'Raw Enrollments'!C234)</f>
        <v/>
      </c>
      <c r="D234" t="str">
        <f>IF('Raw Enrollments'!D234="","",'Raw Enrollments'!D234)</f>
        <v/>
      </c>
      <c r="E234" t="str">
        <f>IF('Raw Enrollments'!E234="","",'Raw Enrollments'!E234)</f>
        <v/>
      </c>
      <c r="F234" t="str">
        <f>IF(B234="","",IF(COUNTIF(#REF!,B234)&gt;0,"Valid","Invalid Student ID"))</f>
        <v/>
      </c>
      <c r="G234" t="str">
        <f>IF(C234="","",IF(COUNTIF('Raw Courses'!$A:$A,C234)&gt;0,"Valid","Invalid Course ID"))</f>
        <v/>
      </c>
      <c r="H234" t="str">
        <f t="shared" si="6"/>
        <v/>
      </c>
      <c r="I234" t="str">
        <f t="shared" si="7"/>
        <v/>
      </c>
    </row>
    <row r="235" spans="1:9" x14ac:dyDescent="0.3">
      <c r="A235" t="str">
        <f>IF('Raw Enrollments'!A235="","",'Raw Enrollments'!A235)</f>
        <v/>
      </c>
      <c r="B235" t="str">
        <f>IF('Raw Enrollments'!B235="","",'Raw Enrollments'!B235)</f>
        <v/>
      </c>
      <c r="C235" t="str">
        <f>IF('Raw Enrollments'!C235="","",'Raw Enrollments'!C235)</f>
        <v/>
      </c>
      <c r="D235" t="str">
        <f>IF('Raw Enrollments'!D235="","",'Raw Enrollments'!D235)</f>
        <v/>
      </c>
      <c r="E235" t="str">
        <f>IF('Raw Enrollments'!E235="","",'Raw Enrollments'!E235)</f>
        <v/>
      </c>
      <c r="F235" t="str">
        <f>IF(B235="","",IF(COUNTIF(#REF!,B235)&gt;0,"Valid","Invalid Student ID"))</f>
        <v/>
      </c>
      <c r="G235" t="str">
        <f>IF(C235="","",IF(COUNTIF('Raw Courses'!$A:$A,C235)&gt;0,"Valid","Invalid Course ID"))</f>
        <v/>
      </c>
      <c r="H235" t="str">
        <f t="shared" si="6"/>
        <v/>
      </c>
      <c r="I235" t="str">
        <f t="shared" si="7"/>
        <v/>
      </c>
    </row>
    <row r="236" spans="1:9" x14ac:dyDescent="0.3">
      <c r="A236" t="str">
        <f>IF('Raw Enrollments'!A236="","",'Raw Enrollments'!A236)</f>
        <v/>
      </c>
      <c r="B236" t="str">
        <f>IF('Raw Enrollments'!B236="","",'Raw Enrollments'!B236)</f>
        <v/>
      </c>
      <c r="C236" t="str">
        <f>IF('Raw Enrollments'!C236="","",'Raw Enrollments'!C236)</f>
        <v/>
      </c>
      <c r="D236" t="str">
        <f>IF('Raw Enrollments'!D236="","",'Raw Enrollments'!D236)</f>
        <v/>
      </c>
      <c r="E236" t="str">
        <f>IF('Raw Enrollments'!E236="","",'Raw Enrollments'!E236)</f>
        <v/>
      </c>
      <c r="F236" t="str">
        <f>IF(B236="","",IF(COUNTIF(#REF!,B236)&gt;0,"Valid","Invalid Student ID"))</f>
        <v/>
      </c>
      <c r="G236" t="str">
        <f>IF(C236="","",IF(COUNTIF('Raw Courses'!$A:$A,C236)&gt;0,"Valid","Invalid Course ID"))</f>
        <v/>
      </c>
      <c r="H236" t="str">
        <f t="shared" si="6"/>
        <v/>
      </c>
      <c r="I236" t="str">
        <f t="shared" si="7"/>
        <v/>
      </c>
    </row>
    <row r="237" spans="1:9" x14ac:dyDescent="0.3">
      <c r="A237" t="str">
        <f>IF('Raw Enrollments'!A237="","",'Raw Enrollments'!A237)</f>
        <v/>
      </c>
      <c r="B237" t="str">
        <f>IF('Raw Enrollments'!B237="","",'Raw Enrollments'!B237)</f>
        <v/>
      </c>
      <c r="C237" t="str">
        <f>IF('Raw Enrollments'!C237="","",'Raw Enrollments'!C237)</f>
        <v/>
      </c>
      <c r="D237" t="str">
        <f>IF('Raw Enrollments'!D237="","",'Raw Enrollments'!D237)</f>
        <v/>
      </c>
      <c r="E237" t="str">
        <f>IF('Raw Enrollments'!E237="","",'Raw Enrollments'!E237)</f>
        <v/>
      </c>
      <c r="F237" t="str">
        <f>IF(B237="","",IF(COUNTIF(#REF!,B237)&gt;0,"Valid","Invalid Student ID"))</f>
        <v/>
      </c>
      <c r="G237" t="str">
        <f>IF(C237="","",IF(COUNTIF('Raw Courses'!$A:$A,C237)&gt;0,"Valid","Invalid Course ID"))</f>
        <v/>
      </c>
      <c r="H237" t="str">
        <f t="shared" si="6"/>
        <v/>
      </c>
      <c r="I237" t="str">
        <f t="shared" si="7"/>
        <v/>
      </c>
    </row>
    <row r="238" spans="1:9" x14ac:dyDescent="0.3">
      <c r="A238" t="str">
        <f>IF('Raw Enrollments'!A238="","",'Raw Enrollments'!A238)</f>
        <v/>
      </c>
      <c r="B238" t="str">
        <f>IF('Raw Enrollments'!B238="","",'Raw Enrollments'!B238)</f>
        <v/>
      </c>
      <c r="C238" t="str">
        <f>IF('Raw Enrollments'!C238="","",'Raw Enrollments'!C238)</f>
        <v/>
      </c>
      <c r="D238" t="str">
        <f>IF('Raw Enrollments'!D238="","",'Raw Enrollments'!D238)</f>
        <v/>
      </c>
      <c r="E238" t="str">
        <f>IF('Raw Enrollments'!E238="","",'Raw Enrollments'!E238)</f>
        <v/>
      </c>
      <c r="F238" t="str">
        <f>IF(B238="","",IF(COUNTIF(#REF!,B238)&gt;0,"Valid","Invalid Student ID"))</f>
        <v/>
      </c>
      <c r="G238" t="str">
        <f>IF(C238="","",IF(COUNTIF('Raw Courses'!$A:$A,C238)&gt;0,"Valid","Invalid Course ID"))</f>
        <v/>
      </c>
      <c r="H238" t="str">
        <f t="shared" si="6"/>
        <v/>
      </c>
      <c r="I238" t="str">
        <f t="shared" si="7"/>
        <v/>
      </c>
    </row>
    <row r="239" spans="1:9" x14ac:dyDescent="0.3">
      <c r="A239" t="str">
        <f>IF('Raw Enrollments'!A239="","",'Raw Enrollments'!A239)</f>
        <v/>
      </c>
      <c r="B239" t="str">
        <f>IF('Raw Enrollments'!B239="","",'Raw Enrollments'!B239)</f>
        <v/>
      </c>
      <c r="C239" t="str">
        <f>IF('Raw Enrollments'!C239="","",'Raw Enrollments'!C239)</f>
        <v/>
      </c>
      <c r="D239" t="str">
        <f>IF('Raw Enrollments'!D239="","",'Raw Enrollments'!D239)</f>
        <v/>
      </c>
      <c r="E239" t="str">
        <f>IF('Raw Enrollments'!E239="","",'Raw Enrollments'!E239)</f>
        <v/>
      </c>
      <c r="F239" t="str">
        <f>IF(B239="","",IF(COUNTIF(#REF!,B239)&gt;0,"Valid","Invalid Student ID"))</f>
        <v/>
      </c>
      <c r="G239" t="str">
        <f>IF(C239="","",IF(COUNTIF('Raw Courses'!$A:$A,C239)&gt;0,"Valid","Invalid Course ID"))</f>
        <v/>
      </c>
      <c r="H239" t="str">
        <f t="shared" si="6"/>
        <v/>
      </c>
      <c r="I239" t="str">
        <f t="shared" si="7"/>
        <v/>
      </c>
    </row>
    <row r="240" spans="1:9" x14ac:dyDescent="0.3">
      <c r="A240" t="str">
        <f>IF('Raw Enrollments'!A240="","",'Raw Enrollments'!A240)</f>
        <v/>
      </c>
      <c r="B240" t="str">
        <f>IF('Raw Enrollments'!B240="","",'Raw Enrollments'!B240)</f>
        <v/>
      </c>
      <c r="C240" t="str">
        <f>IF('Raw Enrollments'!C240="","",'Raw Enrollments'!C240)</f>
        <v/>
      </c>
      <c r="D240" t="str">
        <f>IF('Raw Enrollments'!D240="","",'Raw Enrollments'!D240)</f>
        <v/>
      </c>
      <c r="E240" t="str">
        <f>IF('Raw Enrollments'!E240="","",'Raw Enrollments'!E240)</f>
        <v/>
      </c>
      <c r="F240" t="str">
        <f>IF(B240="","",IF(COUNTIF(#REF!,B240)&gt;0,"Valid","Invalid Student ID"))</f>
        <v/>
      </c>
      <c r="G240" t="str">
        <f>IF(C240="","",IF(COUNTIF('Raw Courses'!$A:$A,C240)&gt;0,"Valid","Invalid Course ID"))</f>
        <v/>
      </c>
      <c r="H240" t="str">
        <f t="shared" si="6"/>
        <v/>
      </c>
      <c r="I240" t="str">
        <f t="shared" si="7"/>
        <v/>
      </c>
    </row>
    <row r="241" spans="1:9" x14ac:dyDescent="0.3">
      <c r="A241" t="str">
        <f>IF('Raw Enrollments'!A241="","",'Raw Enrollments'!A241)</f>
        <v/>
      </c>
      <c r="B241" t="str">
        <f>IF('Raw Enrollments'!B241="","",'Raw Enrollments'!B241)</f>
        <v/>
      </c>
      <c r="C241" t="str">
        <f>IF('Raw Enrollments'!C241="","",'Raw Enrollments'!C241)</f>
        <v/>
      </c>
      <c r="D241" t="str">
        <f>IF('Raw Enrollments'!D241="","",'Raw Enrollments'!D241)</f>
        <v/>
      </c>
      <c r="E241" t="str">
        <f>IF('Raw Enrollments'!E241="","",'Raw Enrollments'!E241)</f>
        <v/>
      </c>
      <c r="F241" t="str">
        <f>IF(B241="","",IF(COUNTIF(#REF!,B241)&gt;0,"Valid","Invalid Student ID"))</f>
        <v/>
      </c>
      <c r="G241" t="str">
        <f>IF(C241="","",IF(COUNTIF('Raw Courses'!$A:$A,C241)&gt;0,"Valid","Invalid Course ID"))</f>
        <v/>
      </c>
      <c r="H241" t="str">
        <f t="shared" si="6"/>
        <v/>
      </c>
      <c r="I241" t="str">
        <f t="shared" si="7"/>
        <v/>
      </c>
    </row>
    <row r="242" spans="1:9" x14ac:dyDescent="0.3">
      <c r="A242" t="str">
        <f>IF('Raw Enrollments'!A242="","",'Raw Enrollments'!A242)</f>
        <v/>
      </c>
      <c r="B242" t="str">
        <f>IF('Raw Enrollments'!B242="","",'Raw Enrollments'!B242)</f>
        <v/>
      </c>
      <c r="C242" t="str">
        <f>IF('Raw Enrollments'!C242="","",'Raw Enrollments'!C242)</f>
        <v/>
      </c>
      <c r="D242" t="str">
        <f>IF('Raw Enrollments'!D242="","",'Raw Enrollments'!D242)</f>
        <v/>
      </c>
      <c r="E242" t="str">
        <f>IF('Raw Enrollments'!E242="","",'Raw Enrollments'!E242)</f>
        <v/>
      </c>
      <c r="F242" t="str">
        <f>IF(B242="","",IF(COUNTIF(#REF!,B242)&gt;0,"Valid","Invalid Student ID"))</f>
        <v/>
      </c>
      <c r="G242" t="str">
        <f>IF(C242="","",IF(COUNTIF('Raw Courses'!$A:$A,C242)&gt;0,"Valid","Invalid Course ID"))</f>
        <v/>
      </c>
      <c r="H242" t="str">
        <f t="shared" si="6"/>
        <v/>
      </c>
      <c r="I242" t="str">
        <f t="shared" si="7"/>
        <v/>
      </c>
    </row>
    <row r="243" spans="1:9" x14ac:dyDescent="0.3">
      <c r="A243" t="str">
        <f>IF('Raw Enrollments'!A243="","",'Raw Enrollments'!A243)</f>
        <v/>
      </c>
      <c r="B243" t="str">
        <f>IF('Raw Enrollments'!B243="","",'Raw Enrollments'!B243)</f>
        <v/>
      </c>
      <c r="C243" t="str">
        <f>IF('Raw Enrollments'!C243="","",'Raw Enrollments'!C243)</f>
        <v/>
      </c>
      <c r="D243" t="str">
        <f>IF('Raw Enrollments'!D243="","",'Raw Enrollments'!D243)</f>
        <v/>
      </c>
      <c r="E243" t="str">
        <f>IF('Raw Enrollments'!E243="","",'Raw Enrollments'!E243)</f>
        <v/>
      </c>
      <c r="F243" t="str">
        <f>IF(B243="","",IF(COUNTIF(#REF!,B243)&gt;0,"Valid","Invalid Student ID"))</f>
        <v/>
      </c>
      <c r="G243" t="str">
        <f>IF(C243="","",IF(COUNTIF('Raw Courses'!$A:$A,C243)&gt;0,"Valid","Invalid Course ID"))</f>
        <v/>
      </c>
      <c r="H243" t="str">
        <f t="shared" si="6"/>
        <v/>
      </c>
      <c r="I243" t="str">
        <f t="shared" si="7"/>
        <v/>
      </c>
    </row>
    <row r="244" spans="1:9" x14ac:dyDescent="0.3">
      <c r="A244" t="str">
        <f>IF('Raw Enrollments'!A244="","",'Raw Enrollments'!A244)</f>
        <v/>
      </c>
      <c r="B244" t="str">
        <f>IF('Raw Enrollments'!B244="","",'Raw Enrollments'!B244)</f>
        <v/>
      </c>
      <c r="C244" t="str">
        <f>IF('Raw Enrollments'!C244="","",'Raw Enrollments'!C244)</f>
        <v/>
      </c>
      <c r="D244" t="str">
        <f>IF('Raw Enrollments'!D244="","",'Raw Enrollments'!D244)</f>
        <v/>
      </c>
      <c r="E244" t="str">
        <f>IF('Raw Enrollments'!E244="","",'Raw Enrollments'!E244)</f>
        <v/>
      </c>
      <c r="F244" t="str">
        <f>IF(B244="","",IF(COUNTIF(#REF!,B244)&gt;0,"Valid","Invalid Student ID"))</f>
        <v/>
      </c>
      <c r="G244" t="str">
        <f>IF(C244="","",IF(COUNTIF('Raw Courses'!$A:$A,C244)&gt;0,"Valid","Invalid Course ID"))</f>
        <v/>
      </c>
      <c r="H244" t="str">
        <f t="shared" si="6"/>
        <v/>
      </c>
      <c r="I244" t="str">
        <f t="shared" si="7"/>
        <v/>
      </c>
    </row>
    <row r="245" spans="1:9" x14ac:dyDescent="0.3">
      <c r="A245" t="str">
        <f>IF('Raw Enrollments'!A245="","",'Raw Enrollments'!A245)</f>
        <v/>
      </c>
      <c r="B245" t="str">
        <f>IF('Raw Enrollments'!B245="","",'Raw Enrollments'!B245)</f>
        <v/>
      </c>
      <c r="C245" t="str">
        <f>IF('Raw Enrollments'!C245="","",'Raw Enrollments'!C245)</f>
        <v/>
      </c>
      <c r="D245" t="str">
        <f>IF('Raw Enrollments'!D245="","",'Raw Enrollments'!D245)</f>
        <v/>
      </c>
      <c r="E245" t="str">
        <f>IF('Raw Enrollments'!E245="","",'Raw Enrollments'!E245)</f>
        <v/>
      </c>
      <c r="F245" t="str">
        <f>IF(B245="","",IF(COUNTIF(#REF!,B245)&gt;0,"Valid","Invalid Student ID"))</f>
        <v/>
      </c>
      <c r="G245" t="str">
        <f>IF(C245="","",IF(COUNTIF('Raw Courses'!$A:$A,C245)&gt;0,"Valid","Invalid Course ID"))</f>
        <v/>
      </c>
      <c r="H245" t="str">
        <f t="shared" si="6"/>
        <v/>
      </c>
      <c r="I245" t="str">
        <f t="shared" si="7"/>
        <v/>
      </c>
    </row>
    <row r="246" spans="1:9" x14ac:dyDescent="0.3">
      <c r="A246" t="str">
        <f>IF('Raw Enrollments'!A246="","",'Raw Enrollments'!A246)</f>
        <v/>
      </c>
      <c r="B246" t="str">
        <f>IF('Raw Enrollments'!B246="","",'Raw Enrollments'!B246)</f>
        <v/>
      </c>
      <c r="C246" t="str">
        <f>IF('Raw Enrollments'!C246="","",'Raw Enrollments'!C246)</f>
        <v/>
      </c>
      <c r="D246" t="str">
        <f>IF('Raw Enrollments'!D246="","",'Raw Enrollments'!D246)</f>
        <v/>
      </c>
      <c r="E246" t="str">
        <f>IF('Raw Enrollments'!E246="","",'Raw Enrollments'!E246)</f>
        <v/>
      </c>
      <c r="F246" t="str">
        <f>IF(B246="","",IF(COUNTIF(#REF!,B246)&gt;0,"Valid","Invalid Student ID"))</f>
        <v/>
      </c>
      <c r="G246" t="str">
        <f>IF(C246="","",IF(COUNTIF('Raw Courses'!$A:$A,C246)&gt;0,"Valid","Invalid Course ID"))</f>
        <v/>
      </c>
      <c r="H246" t="str">
        <f t="shared" si="6"/>
        <v/>
      </c>
      <c r="I246" t="str">
        <f t="shared" si="7"/>
        <v/>
      </c>
    </row>
    <row r="247" spans="1:9" x14ac:dyDescent="0.3">
      <c r="A247" t="str">
        <f>IF('Raw Enrollments'!A247="","",'Raw Enrollments'!A247)</f>
        <v/>
      </c>
      <c r="B247" t="str">
        <f>IF('Raw Enrollments'!B247="","",'Raw Enrollments'!B247)</f>
        <v/>
      </c>
      <c r="C247" t="str">
        <f>IF('Raw Enrollments'!C247="","",'Raw Enrollments'!C247)</f>
        <v/>
      </c>
      <c r="D247" t="str">
        <f>IF('Raw Enrollments'!D247="","",'Raw Enrollments'!D247)</f>
        <v/>
      </c>
      <c r="E247" t="str">
        <f>IF('Raw Enrollments'!E247="","",'Raw Enrollments'!E247)</f>
        <v/>
      </c>
      <c r="F247" t="str">
        <f>IF(B247="","",IF(COUNTIF(#REF!,B247)&gt;0,"Valid","Invalid Student ID"))</f>
        <v/>
      </c>
      <c r="G247" t="str">
        <f>IF(C247="","",IF(COUNTIF('Raw Courses'!$A:$A,C247)&gt;0,"Valid","Invalid Course ID"))</f>
        <v/>
      </c>
      <c r="H247" t="str">
        <f t="shared" si="6"/>
        <v/>
      </c>
      <c r="I247" t="str">
        <f t="shared" si="7"/>
        <v/>
      </c>
    </row>
    <row r="248" spans="1:9" x14ac:dyDescent="0.3">
      <c r="A248" t="str">
        <f>IF('Raw Enrollments'!A248="","",'Raw Enrollments'!A248)</f>
        <v/>
      </c>
      <c r="B248" t="str">
        <f>IF('Raw Enrollments'!B248="","",'Raw Enrollments'!B248)</f>
        <v/>
      </c>
      <c r="C248" t="str">
        <f>IF('Raw Enrollments'!C248="","",'Raw Enrollments'!C248)</f>
        <v/>
      </c>
      <c r="D248" t="str">
        <f>IF('Raw Enrollments'!D248="","",'Raw Enrollments'!D248)</f>
        <v/>
      </c>
      <c r="E248" t="str">
        <f>IF('Raw Enrollments'!E248="","",'Raw Enrollments'!E248)</f>
        <v/>
      </c>
      <c r="F248" t="str">
        <f>IF(B248="","",IF(COUNTIF(#REF!,B248)&gt;0,"Valid","Invalid Student ID"))</f>
        <v/>
      </c>
      <c r="G248" t="str">
        <f>IF(C248="","",IF(COUNTIF('Raw Courses'!$A:$A,C248)&gt;0,"Valid","Invalid Course ID"))</f>
        <v/>
      </c>
      <c r="H248" t="str">
        <f t="shared" si="6"/>
        <v/>
      </c>
      <c r="I248" t="str">
        <f t="shared" si="7"/>
        <v/>
      </c>
    </row>
    <row r="249" spans="1:9" x14ac:dyDescent="0.3">
      <c r="A249" t="str">
        <f>IF('Raw Enrollments'!A249="","",'Raw Enrollments'!A249)</f>
        <v/>
      </c>
      <c r="B249" t="str">
        <f>IF('Raw Enrollments'!B249="","",'Raw Enrollments'!B249)</f>
        <v/>
      </c>
      <c r="C249" t="str">
        <f>IF('Raw Enrollments'!C249="","",'Raw Enrollments'!C249)</f>
        <v/>
      </c>
      <c r="D249" t="str">
        <f>IF('Raw Enrollments'!D249="","",'Raw Enrollments'!D249)</f>
        <v/>
      </c>
      <c r="E249" t="str">
        <f>IF('Raw Enrollments'!E249="","",'Raw Enrollments'!E249)</f>
        <v/>
      </c>
      <c r="F249" t="str">
        <f>IF(B249="","",IF(COUNTIF(#REF!,B249)&gt;0,"Valid","Invalid Student ID"))</f>
        <v/>
      </c>
      <c r="G249" t="str">
        <f>IF(C249="","",IF(COUNTIF('Raw Courses'!$A:$A,C249)&gt;0,"Valid","Invalid Course ID"))</f>
        <v/>
      </c>
      <c r="H249" t="str">
        <f t="shared" si="6"/>
        <v/>
      </c>
      <c r="I249" t="str">
        <f t="shared" si="7"/>
        <v/>
      </c>
    </row>
    <row r="250" spans="1:9" x14ac:dyDescent="0.3">
      <c r="A250" t="str">
        <f>IF('Raw Enrollments'!A250="","",'Raw Enrollments'!A250)</f>
        <v/>
      </c>
      <c r="B250" t="str">
        <f>IF('Raw Enrollments'!B250="","",'Raw Enrollments'!B250)</f>
        <v/>
      </c>
      <c r="C250" t="str">
        <f>IF('Raw Enrollments'!C250="","",'Raw Enrollments'!C250)</f>
        <v/>
      </c>
      <c r="D250" t="str">
        <f>IF('Raw Enrollments'!D250="","",'Raw Enrollments'!D250)</f>
        <v/>
      </c>
      <c r="E250" t="str">
        <f>IF('Raw Enrollments'!E250="","",'Raw Enrollments'!E250)</f>
        <v/>
      </c>
      <c r="F250" t="str">
        <f>IF(B250="","",IF(COUNTIF(#REF!,B250)&gt;0,"Valid","Invalid Student ID"))</f>
        <v/>
      </c>
      <c r="G250" t="str">
        <f>IF(C250="","",IF(COUNTIF('Raw Courses'!$A:$A,C250)&gt;0,"Valid","Invalid Course ID"))</f>
        <v/>
      </c>
      <c r="H250" t="str">
        <f t="shared" si="6"/>
        <v/>
      </c>
      <c r="I250" t="str">
        <f t="shared" si="7"/>
        <v/>
      </c>
    </row>
    <row r="251" spans="1:9" x14ac:dyDescent="0.3">
      <c r="A251" t="str">
        <f>IF('Raw Enrollments'!A251="","",'Raw Enrollments'!A251)</f>
        <v/>
      </c>
      <c r="B251" t="str">
        <f>IF('Raw Enrollments'!B251="","",'Raw Enrollments'!B251)</f>
        <v/>
      </c>
      <c r="C251" t="str">
        <f>IF('Raw Enrollments'!C251="","",'Raw Enrollments'!C251)</f>
        <v/>
      </c>
      <c r="D251" t="str">
        <f>IF('Raw Enrollments'!D251="","",'Raw Enrollments'!D251)</f>
        <v/>
      </c>
      <c r="E251" t="str">
        <f>IF('Raw Enrollments'!E251="","",'Raw Enrollments'!E251)</f>
        <v/>
      </c>
      <c r="F251" t="str">
        <f>IF(B251="","",IF(COUNTIF(#REF!,B251)&gt;0,"Valid","Invalid Student ID"))</f>
        <v/>
      </c>
      <c r="G251" t="str">
        <f>IF(C251="","",IF(COUNTIF('Raw Courses'!$A:$A,C251)&gt;0,"Valid","Invalid Course ID"))</f>
        <v/>
      </c>
      <c r="H251" t="str">
        <f t="shared" si="6"/>
        <v/>
      </c>
      <c r="I251" t="str">
        <f t="shared" si="7"/>
        <v/>
      </c>
    </row>
    <row r="252" spans="1:9" x14ac:dyDescent="0.3">
      <c r="A252" t="str">
        <f>IF('Raw Enrollments'!A252="","",'Raw Enrollments'!A252)</f>
        <v/>
      </c>
      <c r="B252" t="str">
        <f>IF('Raw Enrollments'!B252="","",'Raw Enrollments'!B252)</f>
        <v/>
      </c>
      <c r="C252" t="str">
        <f>IF('Raw Enrollments'!C252="","",'Raw Enrollments'!C252)</f>
        <v/>
      </c>
      <c r="D252" t="str">
        <f>IF('Raw Enrollments'!D252="","",'Raw Enrollments'!D252)</f>
        <v/>
      </c>
      <c r="E252" t="str">
        <f>IF('Raw Enrollments'!E252="","",'Raw Enrollments'!E252)</f>
        <v/>
      </c>
      <c r="F252" t="str">
        <f>IF(B252="","",IF(COUNTIF(#REF!,B252)&gt;0,"Valid","Invalid Student ID"))</f>
        <v/>
      </c>
      <c r="G252" t="str">
        <f>IF(C252="","",IF(COUNTIF('Raw Courses'!$A:$A,C252)&gt;0,"Valid","Invalid Course ID"))</f>
        <v/>
      </c>
      <c r="H252" t="str">
        <f t="shared" si="6"/>
        <v/>
      </c>
      <c r="I252" t="str">
        <f t="shared" si="7"/>
        <v/>
      </c>
    </row>
    <row r="253" spans="1:9" x14ac:dyDescent="0.3">
      <c r="A253" t="str">
        <f>IF('Raw Enrollments'!A253="","",'Raw Enrollments'!A253)</f>
        <v/>
      </c>
      <c r="B253" t="str">
        <f>IF('Raw Enrollments'!B253="","",'Raw Enrollments'!B253)</f>
        <v/>
      </c>
      <c r="C253" t="str">
        <f>IF('Raw Enrollments'!C253="","",'Raw Enrollments'!C253)</f>
        <v/>
      </c>
      <c r="D253" t="str">
        <f>IF('Raw Enrollments'!D253="","",'Raw Enrollments'!D253)</f>
        <v/>
      </c>
      <c r="E253" t="str">
        <f>IF('Raw Enrollments'!E253="","",'Raw Enrollments'!E253)</f>
        <v/>
      </c>
      <c r="F253" t="str">
        <f>IF(B253="","",IF(COUNTIF(#REF!,B253)&gt;0,"Valid","Invalid Student ID"))</f>
        <v/>
      </c>
      <c r="G253" t="str">
        <f>IF(C253="","",IF(COUNTIF('Raw Courses'!$A:$A,C253)&gt;0,"Valid","Invalid Course ID"))</f>
        <v/>
      </c>
      <c r="H253" t="str">
        <f t="shared" si="6"/>
        <v/>
      </c>
      <c r="I253" t="str">
        <f t="shared" si="7"/>
        <v/>
      </c>
    </row>
    <row r="254" spans="1:9" x14ac:dyDescent="0.3">
      <c r="A254" t="str">
        <f>IF('Raw Enrollments'!A254="","",'Raw Enrollments'!A254)</f>
        <v/>
      </c>
      <c r="B254" t="str">
        <f>IF('Raw Enrollments'!B254="","",'Raw Enrollments'!B254)</f>
        <v/>
      </c>
      <c r="C254" t="str">
        <f>IF('Raw Enrollments'!C254="","",'Raw Enrollments'!C254)</f>
        <v/>
      </c>
      <c r="D254" t="str">
        <f>IF('Raw Enrollments'!D254="","",'Raw Enrollments'!D254)</f>
        <v/>
      </c>
      <c r="E254" t="str">
        <f>IF('Raw Enrollments'!E254="","",'Raw Enrollments'!E254)</f>
        <v/>
      </c>
      <c r="F254" t="str">
        <f>IF(B254="","",IF(COUNTIF(#REF!,B254)&gt;0,"Valid","Invalid Student ID"))</f>
        <v/>
      </c>
      <c r="G254" t="str">
        <f>IF(C254="","",IF(COUNTIF('Raw Courses'!$A:$A,C254)&gt;0,"Valid","Invalid Course ID"))</f>
        <v/>
      </c>
      <c r="H254" t="str">
        <f t="shared" si="6"/>
        <v/>
      </c>
      <c r="I254" t="str">
        <f t="shared" si="7"/>
        <v/>
      </c>
    </row>
    <row r="255" spans="1:9" x14ac:dyDescent="0.3">
      <c r="A255" t="str">
        <f>IF('Raw Enrollments'!A255="","",'Raw Enrollments'!A255)</f>
        <v/>
      </c>
      <c r="B255" t="str">
        <f>IF('Raw Enrollments'!B255="","",'Raw Enrollments'!B255)</f>
        <v/>
      </c>
      <c r="C255" t="str">
        <f>IF('Raw Enrollments'!C255="","",'Raw Enrollments'!C255)</f>
        <v/>
      </c>
      <c r="D255" t="str">
        <f>IF('Raw Enrollments'!D255="","",'Raw Enrollments'!D255)</f>
        <v/>
      </c>
      <c r="E255" t="str">
        <f>IF('Raw Enrollments'!E255="","",'Raw Enrollments'!E255)</f>
        <v/>
      </c>
      <c r="F255" t="str">
        <f>IF(B255="","",IF(COUNTIF(#REF!,B255)&gt;0,"Valid","Invalid Student ID"))</f>
        <v/>
      </c>
      <c r="G255" t="str">
        <f>IF(C255="","",IF(COUNTIF('Raw Courses'!$A:$A,C255)&gt;0,"Valid","Invalid Course ID"))</f>
        <v/>
      </c>
      <c r="H255" t="str">
        <f t="shared" si="6"/>
        <v/>
      </c>
      <c r="I255" t="str">
        <f t="shared" si="7"/>
        <v/>
      </c>
    </row>
    <row r="256" spans="1:9" x14ac:dyDescent="0.3">
      <c r="A256" t="str">
        <f>IF('Raw Enrollments'!A256="","",'Raw Enrollments'!A256)</f>
        <v/>
      </c>
      <c r="B256" t="str">
        <f>IF('Raw Enrollments'!B256="","",'Raw Enrollments'!B256)</f>
        <v/>
      </c>
      <c r="C256" t="str">
        <f>IF('Raw Enrollments'!C256="","",'Raw Enrollments'!C256)</f>
        <v/>
      </c>
      <c r="D256" t="str">
        <f>IF('Raw Enrollments'!D256="","",'Raw Enrollments'!D256)</f>
        <v/>
      </c>
      <c r="E256" t="str">
        <f>IF('Raw Enrollments'!E256="","",'Raw Enrollments'!E256)</f>
        <v/>
      </c>
      <c r="F256" t="str">
        <f>IF(B256="","",IF(COUNTIF(#REF!,B256)&gt;0,"Valid","Invalid Student ID"))</f>
        <v/>
      </c>
      <c r="G256" t="str">
        <f>IF(C256="","",IF(COUNTIF('Raw Courses'!$A:$A,C256)&gt;0,"Valid","Invalid Course ID"))</f>
        <v/>
      </c>
      <c r="H256" t="str">
        <f t="shared" si="6"/>
        <v/>
      </c>
      <c r="I256" t="str">
        <f t="shared" si="7"/>
        <v/>
      </c>
    </row>
    <row r="257" spans="1:9" x14ac:dyDescent="0.3">
      <c r="A257" t="str">
        <f>IF('Raw Enrollments'!A257="","",'Raw Enrollments'!A257)</f>
        <v/>
      </c>
      <c r="B257" t="str">
        <f>IF('Raw Enrollments'!B257="","",'Raw Enrollments'!B257)</f>
        <v/>
      </c>
      <c r="C257" t="str">
        <f>IF('Raw Enrollments'!C257="","",'Raw Enrollments'!C257)</f>
        <v/>
      </c>
      <c r="D257" t="str">
        <f>IF('Raw Enrollments'!D257="","",'Raw Enrollments'!D257)</f>
        <v/>
      </c>
      <c r="E257" t="str">
        <f>IF('Raw Enrollments'!E257="","",'Raw Enrollments'!E257)</f>
        <v/>
      </c>
      <c r="F257" t="str">
        <f>IF(B257="","",IF(COUNTIF(#REF!,B257)&gt;0,"Valid","Invalid Student ID"))</f>
        <v/>
      </c>
      <c r="G257" t="str">
        <f>IF(C257="","",IF(COUNTIF('Raw Courses'!$A:$A,C257)&gt;0,"Valid","Invalid Course ID"))</f>
        <v/>
      </c>
      <c r="H257" t="str">
        <f t="shared" si="6"/>
        <v/>
      </c>
      <c r="I257" t="str">
        <f t="shared" si="7"/>
        <v/>
      </c>
    </row>
    <row r="258" spans="1:9" x14ac:dyDescent="0.3">
      <c r="A258" t="str">
        <f>IF('Raw Enrollments'!A258="","",'Raw Enrollments'!A258)</f>
        <v/>
      </c>
      <c r="B258" t="str">
        <f>IF('Raw Enrollments'!B258="","",'Raw Enrollments'!B258)</f>
        <v/>
      </c>
      <c r="C258" t="str">
        <f>IF('Raw Enrollments'!C258="","",'Raw Enrollments'!C258)</f>
        <v/>
      </c>
      <c r="D258" t="str">
        <f>IF('Raw Enrollments'!D258="","",'Raw Enrollments'!D258)</f>
        <v/>
      </c>
      <c r="E258" t="str">
        <f>IF('Raw Enrollments'!E258="","",'Raw Enrollments'!E258)</f>
        <v/>
      </c>
      <c r="F258" t="str">
        <f>IF(B258="","",IF(COUNTIF(#REF!,B258)&gt;0,"Valid","Invalid Student ID"))</f>
        <v/>
      </c>
      <c r="G258" t="str">
        <f>IF(C258="","",IF(COUNTIF('Raw Courses'!$A:$A,C258)&gt;0,"Valid","Invalid Course ID"))</f>
        <v/>
      </c>
      <c r="H258" t="str">
        <f t="shared" si="6"/>
        <v/>
      </c>
      <c r="I258" t="str">
        <f t="shared" si="7"/>
        <v/>
      </c>
    </row>
    <row r="259" spans="1:9" x14ac:dyDescent="0.3">
      <c r="A259" t="str">
        <f>IF('Raw Enrollments'!A259="","",'Raw Enrollments'!A259)</f>
        <v/>
      </c>
      <c r="B259" t="str">
        <f>IF('Raw Enrollments'!B259="","",'Raw Enrollments'!B259)</f>
        <v/>
      </c>
      <c r="C259" t="str">
        <f>IF('Raw Enrollments'!C259="","",'Raw Enrollments'!C259)</f>
        <v/>
      </c>
      <c r="D259" t="str">
        <f>IF('Raw Enrollments'!D259="","",'Raw Enrollments'!D259)</f>
        <v/>
      </c>
      <c r="E259" t="str">
        <f>IF('Raw Enrollments'!E259="","",'Raw Enrollments'!E259)</f>
        <v/>
      </c>
      <c r="F259" t="str">
        <f>IF(B259="","",IF(COUNTIF(#REF!,B259)&gt;0,"Valid","Invalid Student ID"))</f>
        <v/>
      </c>
      <c r="G259" t="str">
        <f>IF(C259="","",IF(COUNTIF('Raw Courses'!$A:$A,C259)&gt;0,"Valid","Invalid Course ID"))</f>
        <v/>
      </c>
      <c r="H259" t="str">
        <f t="shared" si="6"/>
        <v/>
      </c>
      <c r="I259" t="str">
        <f t="shared" si="7"/>
        <v/>
      </c>
    </row>
    <row r="260" spans="1:9" x14ac:dyDescent="0.3">
      <c r="A260" t="str">
        <f>IF('Raw Enrollments'!A260="","",'Raw Enrollments'!A260)</f>
        <v/>
      </c>
      <c r="B260" t="str">
        <f>IF('Raw Enrollments'!B260="","",'Raw Enrollments'!B260)</f>
        <v/>
      </c>
      <c r="C260" t="str">
        <f>IF('Raw Enrollments'!C260="","",'Raw Enrollments'!C260)</f>
        <v/>
      </c>
      <c r="D260" t="str">
        <f>IF('Raw Enrollments'!D260="","",'Raw Enrollments'!D260)</f>
        <v/>
      </c>
      <c r="E260" t="str">
        <f>IF('Raw Enrollments'!E260="","",'Raw Enrollments'!E260)</f>
        <v/>
      </c>
      <c r="F260" t="str">
        <f>IF(B260="","",IF(COUNTIF(#REF!,B260)&gt;0,"Valid","Invalid Student ID"))</f>
        <v/>
      </c>
      <c r="G260" t="str">
        <f>IF(C260="","",IF(COUNTIF('Raw Courses'!$A:$A,C260)&gt;0,"Valid","Invalid Course ID"))</f>
        <v/>
      </c>
      <c r="H260" t="str">
        <f t="shared" si="6"/>
        <v/>
      </c>
      <c r="I260" t="str">
        <f t="shared" si="7"/>
        <v/>
      </c>
    </row>
    <row r="261" spans="1:9" x14ac:dyDescent="0.3">
      <c r="A261" t="str">
        <f>IF('Raw Enrollments'!A261="","",'Raw Enrollments'!A261)</f>
        <v/>
      </c>
      <c r="B261" t="str">
        <f>IF('Raw Enrollments'!B261="","",'Raw Enrollments'!B261)</f>
        <v/>
      </c>
      <c r="C261" t="str">
        <f>IF('Raw Enrollments'!C261="","",'Raw Enrollments'!C261)</f>
        <v/>
      </c>
      <c r="D261" t="str">
        <f>IF('Raw Enrollments'!D261="","",'Raw Enrollments'!D261)</f>
        <v/>
      </c>
      <c r="E261" t="str">
        <f>IF('Raw Enrollments'!E261="","",'Raw Enrollments'!E261)</f>
        <v/>
      </c>
      <c r="F261" t="str">
        <f>IF(B261="","",IF(COUNTIF(#REF!,B261)&gt;0,"Valid","Invalid Student ID"))</f>
        <v/>
      </c>
      <c r="G261" t="str">
        <f>IF(C261="","",IF(COUNTIF('Raw Courses'!$A:$A,C261)&gt;0,"Valid","Invalid Course ID"))</f>
        <v/>
      </c>
      <c r="H261" t="str">
        <f t="shared" ref="H261:H324" si="8">IF(A261="","",IF(COUNTIF($A$5:$A$504,A261)&gt;1,"Duplicate","Unique"))</f>
        <v/>
      </c>
      <c r="I261" t="str">
        <f t="shared" ref="I261:I324" si="9">IF(A261="","",IF(OR(F261="Invalid Student ID",G261="Invalid Course ID",H261="Duplicate",D261="",E261=""),"Review","Pass"))</f>
        <v/>
      </c>
    </row>
    <row r="262" spans="1:9" x14ac:dyDescent="0.3">
      <c r="A262" t="str">
        <f>IF('Raw Enrollments'!A262="","",'Raw Enrollments'!A262)</f>
        <v/>
      </c>
      <c r="B262" t="str">
        <f>IF('Raw Enrollments'!B262="","",'Raw Enrollments'!B262)</f>
        <v/>
      </c>
      <c r="C262" t="str">
        <f>IF('Raw Enrollments'!C262="","",'Raw Enrollments'!C262)</f>
        <v/>
      </c>
      <c r="D262" t="str">
        <f>IF('Raw Enrollments'!D262="","",'Raw Enrollments'!D262)</f>
        <v/>
      </c>
      <c r="E262" t="str">
        <f>IF('Raw Enrollments'!E262="","",'Raw Enrollments'!E262)</f>
        <v/>
      </c>
      <c r="F262" t="str">
        <f>IF(B262="","",IF(COUNTIF(#REF!,B262)&gt;0,"Valid","Invalid Student ID"))</f>
        <v/>
      </c>
      <c r="G262" t="str">
        <f>IF(C262="","",IF(COUNTIF('Raw Courses'!$A:$A,C262)&gt;0,"Valid","Invalid Course ID"))</f>
        <v/>
      </c>
      <c r="H262" t="str">
        <f t="shared" si="8"/>
        <v/>
      </c>
      <c r="I262" t="str">
        <f t="shared" si="9"/>
        <v/>
      </c>
    </row>
    <row r="263" spans="1:9" x14ac:dyDescent="0.3">
      <c r="A263" t="str">
        <f>IF('Raw Enrollments'!A263="","",'Raw Enrollments'!A263)</f>
        <v/>
      </c>
      <c r="B263" t="str">
        <f>IF('Raw Enrollments'!B263="","",'Raw Enrollments'!B263)</f>
        <v/>
      </c>
      <c r="C263" t="str">
        <f>IF('Raw Enrollments'!C263="","",'Raw Enrollments'!C263)</f>
        <v/>
      </c>
      <c r="D263" t="str">
        <f>IF('Raw Enrollments'!D263="","",'Raw Enrollments'!D263)</f>
        <v/>
      </c>
      <c r="E263" t="str">
        <f>IF('Raw Enrollments'!E263="","",'Raw Enrollments'!E263)</f>
        <v/>
      </c>
      <c r="F263" t="str">
        <f>IF(B263="","",IF(COUNTIF(#REF!,B263)&gt;0,"Valid","Invalid Student ID"))</f>
        <v/>
      </c>
      <c r="G263" t="str">
        <f>IF(C263="","",IF(COUNTIF('Raw Courses'!$A:$A,C263)&gt;0,"Valid","Invalid Course ID"))</f>
        <v/>
      </c>
      <c r="H263" t="str">
        <f t="shared" si="8"/>
        <v/>
      </c>
      <c r="I263" t="str">
        <f t="shared" si="9"/>
        <v/>
      </c>
    </row>
    <row r="264" spans="1:9" x14ac:dyDescent="0.3">
      <c r="A264" t="str">
        <f>IF('Raw Enrollments'!A264="","",'Raw Enrollments'!A264)</f>
        <v/>
      </c>
      <c r="B264" t="str">
        <f>IF('Raw Enrollments'!B264="","",'Raw Enrollments'!B264)</f>
        <v/>
      </c>
      <c r="C264" t="str">
        <f>IF('Raw Enrollments'!C264="","",'Raw Enrollments'!C264)</f>
        <v/>
      </c>
      <c r="D264" t="str">
        <f>IF('Raw Enrollments'!D264="","",'Raw Enrollments'!D264)</f>
        <v/>
      </c>
      <c r="E264" t="str">
        <f>IF('Raw Enrollments'!E264="","",'Raw Enrollments'!E264)</f>
        <v/>
      </c>
      <c r="F264" t="str">
        <f>IF(B264="","",IF(COUNTIF(#REF!,B264)&gt;0,"Valid","Invalid Student ID"))</f>
        <v/>
      </c>
      <c r="G264" t="str">
        <f>IF(C264="","",IF(COUNTIF('Raw Courses'!$A:$A,C264)&gt;0,"Valid","Invalid Course ID"))</f>
        <v/>
      </c>
      <c r="H264" t="str">
        <f t="shared" si="8"/>
        <v/>
      </c>
      <c r="I264" t="str">
        <f t="shared" si="9"/>
        <v/>
      </c>
    </row>
    <row r="265" spans="1:9" x14ac:dyDescent="0.3">
      <c r="A265" t="str">
        <f>IF('Raw Enrollments'!A265="","",'Raw Enrollments'!A265)</f>
        <v/>
      </c>
      <c r="B265" t="str">
        <f>IF('Raw Enrollments'!B265="","",'Raw Enrollments'!B265)</f>
        <v/>
      </c>
      <c r="C265" t="str">
        <f>IF('Raw Enrollments'!C265="","",'Raw Enrollments'!C265)</f>
        <v/>
      </c>
      <c r="D265" t="str">
        <f>IF('Raw Enrollments'!D265="","",'Raw Enrollments'!D265)</f>
        <v/>
      </c>
      <c r="E265" t="str">
        <f>IF('Raw Enrollments'!E265="","",'Raw Enrollments'!E265)</f>
        <v/>
      </c>
      <c r="F265" t="str">
        <f>IF(B265="","",IF(COUNTIF(#REF!,B265)&gt;0,"Valid","Invalid Student ID"))</f>
        <v/>
      </c>
      <c r="G265" t="str">
        <f>IF(C265="","",IF(COUNTIF('Raw Courses'!$A:$A,C265)&gt;0,"Valid","Invalid Course ID"))</f>
        <v/>
      </c>
      <c r="H265" t="str">
        <f t="shared" si="8"/>
        <v/>
      </c>
      <c r="I265" t="str">
        <f t="shared" si="9"/>
        <v/>
      </c>
    </row>
    <row r="266" spans="1:9" x14ac:dyDescent="0.3">
      <c r="A266" t="str">
        <f>IF('Raw Enrollments'!A266="","",'Raw Enrollments'!A266)</f>
        <v/>
      </c>
      <c r="B266" t="str">
        <f>IF('Raw Enrollments'!B266="","",'Raw Enrollments'!B266)</f>
        <v/>
      </c>
      <c r="C266" t="str">
        <f>IF('Raw Enrollments'!C266="","",'Raw Enrollments'!C266)</f>
        <v/>
      </c>
      <c r="D266" t="str">
        <f>IF('Raw Enrollments'!D266="","",'Raw Enrollments'!D266)</f>
        <v/>
      </c>
      <c r="E266" t="str">
        <f>IF('Raw Enrollments'!E266="","",'Raw Enrollments'!E266)</f>
        <v/>
      </c>
      <c r="F266" t="str">
        <f>IF(B266="","",IF(COUNTIF(#REF!,B266)&gt;0,"Valid","Invalid Student ID"))</f>
        <v/>
      </c>
      <c r="G266" t="str">
        <f>IF(C266="","",IF(COUNTIF('Raw Courses'!$A:$A,C266)&gt;0,"Valid","Invalid Course ID"))</f>
        <v/>
      </c>
      <c r="H266" t="str">
        <f t="shared" si="8"/>
        <v/>
      </c>
      <c r="I266" t="str">
        <f t="shared" si="9"/>
        <v/>
      </c>
    </row>
    <row r="267" spans="1:9" x14ac:dyDescent="0.3">
      <c r="A267" t="str">
        <f>IF('Raw Enrollments'!A267="","",'Raw Enrollments'!A267)</f>
        <v/>
      </c>
      <c r="B267" t="str">
        <f>IF('Raw Enrollments'!B267="","",'Raw Enrollments'!B267)</f>
        <v/>
      </c>
      <c r="C267" t="str">
        <f>IF('Raw Enrollments'!C267="","",'Raw Enrollments'!C267)</f>
        <v/>
      </c>
      <c r="D267" t="str">
        <f>IF('Raw Enrollments'!D267="","",'Raw Enrollments'!D267)</f>
        <v/>
      </c>
      <c r="E267" t="str">
        <f>IF('Raw Enrollments'!E267="","",'Raw Enrollments'!E267)</f>
        <v/>
      </c>
      <c r="F267" t="str">
        <f>IF(B267="","",IF(COUNTIF(#REF!,B267)&gt;0,"Valid","Invalid Student ID"))</f>
        <v/>
      </c>
      <c r="G267" t="str">
        <f>IF(C267="","",IF(COUNTIF('Raw Courses'!$A:$A,C267)&gt;0,"Valid","Invalid Course ID"))</f>
        <v/>
      </c>
      <c r="H267" t="str">
        <f t="shared" si="8"/>
        <v/>
      </c>
      <c r="I267" t="str">
        <f t="shared" si="9"/>
        <v/>
      </c>
    </row>
    <row r="268" spans="1:9" x14ac:dyDescent="0.3">
      <c r="A268" t="str">
        <f>IF('Raw Enrollments'!A268="","",'Raw Enrollments'!A268)</f>
        <v/>
      </c>
      <c r="B268" t="str">
        <f>IF('Raw Enrollments'!B268="","",'Raw Enrollments'!B268)</f>
        <v/>
      </c>
      <c r="C268" t="str">
        <f>IF('Raw Enrollments'!C268="","",'Raw Enrollments'!C268)</f>
        <v/>
      </c>
      <c r="D268" t="str">
        <f>IF('Raw Enrollments'!D268="","",'Raw Enrollments'!D268)</f>
        <v/>
      </c>
      <c r="E268" t="str">
        <f>IF('Raw Enrollments'!E268="","",'Raw Enrollments'!E268)</f>
        <v/>
      </c>
      <c r="F268" t="str">
        <f>IF(B268="","",IF(COUNTIF(#REF!,B268)&gt;0,"Valid","Invalid Student ID"))</f>
        <v/>
      </c>
      <c r="G268" t="str">
        <f>IF(C268="","",IF(COUNTIF('Raw Courses'!$A:$A,C268)&gt;0,"Valid","Invalid Course ID"))</f>
        <v/>
      </c>
      <c r="H268" t="str">
        <f t="shared" si="8"/>
        <v/>
      </c>
      <c r="I268" t="str">
        <f t="shared" si="9"/>
        <v/>
      </c>
    </row>
    <row r="269" spans="1:9" x14ac:dyDescent="0.3">
      <c r="A269" t="str">
        <f>IF('Raw Enrollments'!A269="","",'Raw Enrollments'!A269)</f>
        <v/>
      </c>
      <c r="B269" t="str">
        <f>IF('Raw Enrollments'!B269="","",'Raw Enrollments'!B269)</f>
        <v/>
      </c>
      <c r="C269" t="str">
        <f>IF('Raw Enrollments'!C269="","",'Raw Enrollments'!C269)</f>
        <v/>
      </c>
      <c r="D269" t="str">
        <f>IF('Raw Enrollments'!D269="","",'Raw Enrollments'!D269)</f>
        <v/>
      </c>
      <c r="E269" t="str">
        <f>IF('Raw Enrollments'!E269="","",'Raw Enrollments'!E269)</f>
        <v/>
      </c>
      <c r="F269" t="str">
        <f>IF(B269="","",IF(COUNTIF(#REF!,B269)&gt;0,"Valid","Invalid Student ID"))</f>
        <v/>
      </c>
      <c r="G269" t="str">
        <f>IF(C269="","",IF(COUNTIF('Raw Courses'!$A:$A,C269)&gt;0,"Valid","Invalid Course ID"))</f>
        <v/>
      </c>
      <c r="H269" t="str">
        <f t="shared" si="8"/>
        <v/>
      </c>
      <c r="I269" t="str">
        <f t="shared" si="9"/>
        <v/>
      </c>
    </row>
    <row r="270" spans="1:9" x14ac:dyDescent="0.3">
      <c r="A270" t="str">
        <f>IF('Raw Enrollments'!A270="","",'Raw Enrollments'!A270)</f>
        <v/>
      </c>
      <c r="B270" t="str">
        <f>IF('Raw Enrollments'!B270="","",'Raw Enrollments'!B270)</f>
        <v/>
      </c>
      <c r="C270" t="str">
        <f>IF('Raw Enrollments'!C270="","",'Raw Enrollments'!C270)</f>
        <v/>
      </c>
      <c r="D270" t="str">
        <f>IF('Raw Enrollments'!D270="","",'Raw Enrollments'!D270)</f>
        <v/>
      </c>
      <c r="E270" t="str">
        <f>IF('Raw Enrollments'!E270="","",'Raw Enrollments'!E270)</f>
        <v/>
      </c>
      <c r="F270" t="str">
        <f>IF(B270="","",IF(COUNTIF(#REF!,B270)&gt;0,"Valid","Invalid Student ID"))</f>
        <v/>
      </c>
      <c r="G270" t="str">
        <f>IF(C270="","",IF(COUNTIF('Raw Courses'!$A:$A,C270)&gt;0,"Valid","Invalid Course ID"))</f>
        <v/>
      </c>
      <c r="H270" t="str">
        <f t="shared" si="8"/>
        <v/>
      </c>
      <c r="I270" t="str">
        <f t="shared" si="9"/>
        <v/>
      </c>
    </row>
    <row r="271" spans="1:9" x14ac:dyDescent="0.3">
      <c r="A271" t="str">
        <f>IF('Raw Enrollments'!A271="","",'Raw Enrollments'!A271)</f>
        <v/>
      </c>
      <c r="B271" t="str">
        <f>IF('Raw Enrollments'!B271="","",'Raw Enrollments'!B271)</f>
        <v/>
      </c>
      <c r="C271" t="str">
        <f>IF('Raw Enrollments'!C271="","",'Raw Enrollments'!C271)</f>
        <v/>
      </c>
      <c r="D271" t="str">
        <f>IF('Raw Enrollments'!D271="","",'Raw Enrollments'!D271)</f>
        <v/>
      </c>
      <c r="E271" t="str">
        <f>IF('Raw Enrollments'!E271="","",'Raw Enrollments'!E271)</f>
        <v/>
      </c>
      <c r="F271" t="str">
        <f>IF(B271="","",IF(COUNTIF(#REF!,B271)&gt;0,"Valid","Invalid Student ID"))</f>
        <v/>
      </c>
      <c r="G271" t="str">
        <f>IF(C271="","",IF(COUNTIF('Raw Courses'!$A:$A,C271)&gt;0,"Valid","Invalid Course ID"))</f>
        <v/>
      </c>
      <c r="H271" t="str">
        <f t="shared" si="8"/>
        <v/>
      </c>
      <c r="I271" t="str">
        <f t="shared" si="9"/>
        <v/>
      </c>
    </row>
    <row r="272" spans="1:9" x14ac:dyDescent="0.3">
      <c r="A272" t="str">
        <f>IF('Raw Enrollments'!A272="","",'Raw Enrollments'!A272)</f>
        <v/>
      </c>
      <c r="B272" t="str">
        <f>IF('Raw Enrollments'!B272="","",'Raw Enrollments'!B272)</f>
        <v/>
      </c>
      <c r="C272" t="str">
        <f>IF('Raw Enrollments'!C272="","",'Raw Enrollments'!C272)</f>
        <v/>
      </c>
      <c r="D272" t="str">
        <f>IF('Raw Enrollments'!D272="","",'Raw Enrollments'!D272)</f>
        <v/>
      </c>
      <c r="E272" t="str">
        <f>IF('Raw Enrollments'!E272="","",'Raw Enrollments'!E272)</f>
        <v/>
      </c>
      <c r="F272" t="str">
        <f>IF(B272="","",IF(COUNTIF(#REF!,B272)&gt;0,"Valid","Invalid Student ID"))</f>
        <v/>
      </c>
      <c r="G272" t="str">
        <f>IF(C272="","",IF(COUNTIF('Raw Courses'!$A:$A,C272)&gt;0,"Valid","Invalid Course ID"))</f>
        <v/>
      </c>
      <c r="H272" t="str">
        <f t="shared" si="8"/>
        <v/>
      </c>
      <c r="I272" t="str">
        <f t="shared" si="9"/>
        <v/>
      </c>
    </row>
    <row r="273" spans="1:9" x14ac:dyDescent="0.3">
      <c r="A273" t="str">
        <f>IF('Raw Enrollments'!A273="","",'Raw Enrollments'!A273)</f>
        <v/>
      </c>
      <c r="B273" t="str">
        <f>IF('Raw Enrollments'!B273="","",'Raw Enrollments'!B273)</f>
        <v/>
      </c>
      <c r="C273" t="str">
        <f>IF('Raw Enrollments'!C273="","",'Raw Enrollments'!C273)</f>
        <v/>
      </c>
      <c r="D273" t="str">
        <f>IF('Raw Enrollments'!D273="","",'Raw Enrollments'!D273)</f>
        <v/>
      </c>
      <c r="E273" t="str">
        <f>IF('Raw Enrollments'!E273="","",'Raw Enrollments'!E273)</f>
        <v/>
      </c>
      <c r="F273" t="str">
        <f>IF(B273="","",IF(COUNTIF(#REF!,B273)&gt;0,"Valid","Invalid Student ID"))</f>
        <v/>
      </c>
      <c r="G273" t="str">
        <f>IF(C273="","",IF(COUNTIF('Raw Courses'!$A:$A,C273)&gt;0,"Valid","Invalid Course ID"))</f>
        <v/>
      </c>
      <c r="H273" t="str">
        <f t="shared" si="8"/>
        <v/>
      </c>
      <c r="I273" t="str">
        <f t="shared" si="9"/>
        <v/>
      </c>
    </row>
    <row r="274" spans="1:9" x14ac:dyDescent="0.3">
      <c r="A274" t="str">
        <f>IF('Raw Enrollments'!A274="","",'Raw Enrollments'!A274)</f>
        <v/>
      </c>
      <c r="B274" t="str">
        <f>IF('Raw Enrollments'!B274="","",'Raw Enrollments'!B274)</f>
        <v/>
      </c>
      <c r="C274" t="str">
        <f>IF('Raw Enrollments'!C274="","",'Raw Enrollments'!C274)</f>
        <v/>
      </c>
      <c r="D274" t="str">
        <f>IF('Raw Enrollments'!D274="","",'Raw Enrollments'!D274)</f>
        <v/>
      </c>
      <c r="E274" t="str">
        <f>IF('Raw Enrollments'!E274="","",'Raw Enrollments'!E274)</f>
        <v/>
      </c>
      <c r="F274" t="str">
        <f>IF(B274="","",IF(COUNTIF(#REF!,B274)&gt;0,"Valid","Invalid Student ID"))</f>
        <v/>
      </c>
      <c r="G274" t="str">
        <f>IF(C274="","",IF(COUNTIF('Raw Courses'!$A:$A,C274)&gt;0,"Valid","Invalid Course ID"))</f>
        <v/>
      </c>
      <c r="H274" t="str">
        <f t="shared" si="8"/>
        <v/>
      </c>
      <c r="I274" t="str">
        <f t="shared" si="9"/>
        <v/>
      </c>
    </row>
    <row r="275" spans="1:9" x14ac:dyDescent="0.3">
      <c r="A275" t="str">
        <f>IF('Raw Enrollments'!A275="","",'Raw Enrollments'!A275)</f>
        <v/>
      </c>
      <c r="B275" t="str">
        <f>IF('Raw Enrollments'!B275="","",'Raw Enrollments'!B275)</f>
        <v/>
      </c>
      <c r="C275" t="str">
        <f>IF('Raw Enrollments'!C275="","",'Raw Enrollments'!C275)</f>
        <v/>
      </c>
      <c r="D275" t="str">
        <f>IF('Raw Enrollments'!D275="","",'Raw Enrollments'!D275)</f>
        <v/>
      </c>
      <c r="E275" t="str">
        <f>IF('Raw Enrollments'!E275="","",'Raw Enrollments'!E275)</f>
        <v/>
      </c>
      <c r="F275" t="str">
        <f>IF(B275="","",IF(COUNTIF(#REF!,B275)&gt;0,"Valid","Invalid Student ID"))</f>
        <v/>
      </c>
      <c r="G275" t="str">
        <f>IF(C275="","",IF(COUNTIF('Raw Courses'!$A:$A,C275)&gt;0,"Valid","Invalid Course ID"))</f>
        <v/>
      </c>
      <c r="H275" t="str">
        <f t="shared" si="8"/>
        <v/>
      </c>
      <c r="I275" t="str">
        <f t="shared" si="9"/>
        <v/>
      </c>
    </row>
    <row r="276" spans="1:9" x14ac:dyDescent="0.3">
      <c r="A276" t="str">
        <f>IF('Raw Enrollments'!A276="","",'Raw Enrollments'!A276)</f>
        <v/>
      </c>
      <c r="B276" t="str">
        <f>IF('Raw Enrollments'!B276="","",'Raw Enrollments'!B276)</f>
        <v/>
      </c>
      <c r="C276" t="str">
        <f>IF('Raw Enrollments'!C276="","",'Raw Enrollments'!C276)</f>
        <v/>
      </c>
      <c r="D276" t="str">
        <f>IF('Raw Enrollments'!D276="","",'Raw Enrollments'!D276)</f>
        <v/>
      </c>
      <c r="E276" t="str">
        <f>IF('Raw Enrollments'!E276="","",'Raw Enrollments'!E276)</f>
        <v/>
      </c>
      <c r="F276" t="str">
        <f>IF(B276="","",IF(COUNTIF(#REF!,B276)&gt;0,"Valid","Invalid Student ID"))</f>
        <v/>
      </c>
      <c r="G276" t="str">
        <f>IF(C276="","",IF(COUNTIF('Raw Courses'!$A:$A,C276)&gt;0,"Valid","Invalid Course ID"))</f>
        <v/>
      </c>
      <c r="H276" t="str">
        <f t="shared" si="8"/>
        <v/>
      </c>
      <c r="I276" t="str">
        <f t="shared" si="9"/>
        <v/>
      </c>
    </row>
    <row r="277" spans="1:9" x14ac:dyDescent="0.3">
      <c r="A277" t="str">
        <f>IF('Raw Enrollments'!A277="","",'Raw Enrollments'!A277)</f>
        <v/>
      </c>
      <c r="B277" t="str">
        <f>IF('Raw Enrollments'!B277="","",'Raw Enrollments'!B277)</f>
        <v/>
      </c>
      <c r="C277" t="str">
        <f>IF('Raw Enrollments'!C277="","",'Raw Enrollments'!C277)</f>
        <v/>
      </c>
      <c r="D277" t="str">
        <f>IF('Raw Enrollments'!D277="","",'Raw Enrollments'!D277)</f>
        <v/>
      </c>
      <c r="E277" t="str">
        <f>IF('Raw Enrollments'!E277="","",'Raw Enrollments'!E277)</f>
        <v/>
      </c>
      <c r="F277" t="str">
        <f>IF(B277="","",IF(COUNTIF(#REF!,B277)&gt;0,"Valid","Invalid Student ID"))</f>
        <v/>
      </c>
      <c r="G277" t="str">
        <f>IF(C277="","",IF(COUNTIF('Raw Courses'!$A:$A,C277)&gt;0,"Valid","Invalid Course ID"))</f>
        <v/>
      </c>
      <c r="H277" t="str">
        <f t="shared" si="8"/>
        <v/>
      </c>
      <c r="I277" t="str">
        <f t="shared" si="9"/>
        <v/>
      </c>
    </row>
    <row r="278" spans="1:9" x14ac:dyDescent="0.3">
      <c r="A278" t="str">
        <f>IF('Raw Enrollments'!A278="","",'Raw Enrollments'!A278)</f>
        <v/>
      </c>
      <c r="B278" t="str">
        <f>IF('Raw Enrollments'!B278="","",'Raw Enrollments'!B278)</f>
        <v/>
      </c>
      <c r="C278" t="str">
        <f>IF('Raw Enrollments'!C278="","",'Raw Enrollments'!C278)</f>
        <v/>
      </c>
      <c r="D278" t="str">
        <f>IF('Raw Enrollments'!D278="","",'Raw Enrollments'!D278)</f>
        <v/>
      </c>
      <c r="E278" t="str">
        <f>IF('Raw Enrollments'!E278="","",'Raw Enrollments'!E278)</f>
        <v/>
      </c>
      <c r="F278" t="str">
        <f>IF(B278="","",IF(COUNTIF(#REF!,B278)&gt;0,"Valid","Invalid Student ID"))</f>
        <v/>
      </c>
      <c r="G278" t="str">
        <f>IF(C278="","",IF(COUNTIF('Raw Courses'!$A:$A,C278)&gt;0,"Valid","Invalid Course ID"))</f>
        <v/>
      </c>
      <c r="H278" t="str">
        <f t="shared" si="8"/>
        <v/>
      </c>
      <c r="I278" t="str">
        <f t="shared" si="9"/>
        <v/>
      </c>
    </row>
    <row r="279" spans="1:9" x14ac:dyDescent="0.3">
      <c r="A279" t="str">
        <f>IF('Raw Enrollments'!A279="","",'Raw Enrollments'!A279)</f>
        <v/>
      </c>
      <c r="B279" t="str">
        <f>IF('Raw Enrollments'!B279="","",'Raw Enrollments'!B279)</f>
        <v/>
      </c>
      <c r="C279" t="str">
        <f>IF('Raw Enrollments'!C279="","",'Raw Enrollments'!C279)</f>
        <v/>
      </c>
      <c r="D279" t="str">
        <f>IF('Raw Enrollments'!D279="","",'Raw Enrollments'!D279)</f>
        <v/>
      </c>
      <c r="E279" t="str">
        <f>IF('Raw Enrollments'!E279="","",'Raw Enrollments'!E279)</f>
        <v/>
      </c>
      <c r="F279" t="str">
        <f>IF(B279="","",IF(COUNTIF(#REF!,B279)&gt;0,"Valid","Invalid Student ID"))</f>
        <v/>
      </c>
      <c r="G279" t="str">
        <f>IF(C279="","",IF(COUNTIF('Raw Courses'!$A:$A,C279)&gt;0,"Valid","Invalid Course ID"))</f>
        <v/>
      </c>
      <c r="H279" t="str">
        <f t="shared" si="8"/>
        <v/>
      </c>
      <c r="I279" t="str">
        <f t="shared" si="9"/>
        <v/>
      </c>
    </row>
    <row r="280" spans="1:9" x14ac:dyDescent="0.3">
      <c r="A280" t="str">
        <f>IF('Raw Enrollments'!A280="","",'Raw Enrollments'!A280)</f>
        <v/>
      </c>
      <c r="B280" t="str">
        <f>IF('Raw Enrollments'!B280="","",'Raw Enrollments'!B280)</f>
        <v/>
      </c>
      <c r="C280" t="str">
        <f>IF('Raw Enrollments'!C280="","",'Raw Enrollments'!C280)</f>
        <v/>
      </c>
      <c r="D280" t="str">
        <f>IF('Raw Enrollments'!D280="","",'Raw Enrollments'!D280)</f>
        <v/>
      </c>
      <c r="E280" t="str">
        <f>IF('Raw Enrollments'!E280="","",'Raw Enrollments'!E280)</f>
        <v/>
      </c>
      <c r="F280" t="str">
        <f>IF(B280="","",IF(COUNTIF(#REF!,B280)&gt;0,"Valid","Invalid Student ID"))</f>
        <v/>
      </c>
      <c r="G280" t="str">
        <f>IF(C280="","",IF(COUNTIF('Raw Courses'!$A:$A,C280)&gt;0,"Valid","Invalid Course ID"))</f>
        <v/>
      </c>
      <c r="H280" t="str">
        <f t="shared" si="8"/>
        <v/>
      </c>
      <c r="I280" t="str">
        <f t="shared" si="9"/>
        <v/>
      </c>
    </row>
    <row r="281" spans="1:9" x14ac:dyDescent="0.3">
      <c r="A281" t="str">
        <f>IF('Raw Enrollments'!A281="","",'Raw Enrollments'!A281)</f>
        <v/>
      </c>
      <c r="B281" t="str">
        <f>IF('Raw Enrollments'!B281="","",'Raw Enrollments'!B281)</f>
        <v/>
      </c>
      <c r="C281" t="str">
        <f>IF('Raw Enrollments'!C281="","",'Raw Enrollments'!C281)</f>
        <v/>
      </c>
      <c r="D281" t="str">
        <f>IF('Raw Enrollments'!D281="","",'Raw Enrollments'!D281)</f>
        <v/>
      </c>
      <c r="E281" t="str">
        <f>IF('Raw Enrollments'!E281="","",'Raw Enrollments'!E281)</f>
        <v/>
      </c>
      <c r="F281" t="str">
        <f>IF(B281="","",IF(COUNTIF(#REF!,B281)&gt;0,"Valid","Invalid Student ID"))</f>
        <v/>
      </c>
      <c r="G281" t="str">
        <f>IF(C281="","",IF(COUNTIF('Raw Courses'!$A:$A,C281)&gt;0,"Valid","Invalid Course ID"))</f>
        <v/>
      </c>
      <c r="H281" t="str">
        <f t="shared" si="8"/>
        <v/>
      </c>
      <c r="I281" t="str">
        <f t="shared" si="9"/>
        <v/>
      </c>
    </row>
    <row r="282" spans="1:9" x14ac:dyDescent="0.3">
      <c r="A282" t="str">
        <f>IF('Raw Enrollments'!A282="","",'Raw Enrollments'!A282)</f>
        <v/>
      </c>
      <c r="B282" t="str">
        <f>IF('Raw Enrollments'!B282="","",'Raw Enrollments'!B282)</f>
        <v/>
      </c>
      <c r="C282" t="str">
        <f>IF('Raw Enrollments'!C282="","",'Raw Enrollments'!C282)</f>
        <v/>
      </c>
      <c r="D282" t="str">
        <f>IF('Raw Enrollments'!D282="","",'Raw Enrollments'!D282)</f>
        <v/>
      </c>
      <c r="E282" t="str">
        <f>IF('Raw Enrollments'!E282="","",'Raw Enrollments'!E282)</f>
        <v/>
      </c>
      <c r="F282" t="str">
        <f>IF(B282="","",IF(COUNTIF(#REF!,B282)&gt;0,"Valid","Invalid Student ID"))</f>
        <v/>
      </c>
      <c r="G282" t="str">
        <f>IF(C282="","",IF(COUNTIF('Raw Courses'!$A:$A,C282)&gt;0,"Valid","Invalid Course ID"))</f>
        <v/>
      </c>
      <c r="H282" t="str">
        <f t="shared" si="8"/>
        <v/>
      </c>
      <c r="I282" t="str">
        <f t="shared" si="9"/>
        <v/>
      </c>
    </row>
    <row r="283" spans="1:9" x14ac:dyDescent="0.3">
      <c r="A283" t="str">
        <f>IF('Raw Enrollments'!A283="","",'Raw Enrollments'!A283)</f>
        <v/>
      </c>
      <c r="B283" t="str">
        <f>IF('Raw Enrollments'!B283="","",'Raw Enrollments'!B283)</f>
        <v/>
      </c>
      <c r="C283" t="str">
        <f>IF('Raw Enrollments'!C283="","",'Raw Enrollments'!C283)</f>
        <v/>
      </c>
      <c r="D283" t="str">
        <f>IF('Raw Enrollments'!D283="","",'Raw Enrollments'!D283)</f>
        <v/>
      </c>
      <c r="E283" t="str">
        <f>IF('Raw Enrollments'!E283="","",'Raw Enrollments'!E283)</f>
        <v/>
      </c>
      <c r="F283" t="str">
        <f>IF(B283="","",IF(COUNTIF(#REF!,B283)&gt;0,"Valid","Invalid Student ID"))</f>
        <v/>
      </c>
      <c r="G283" t="str">
        <f>IF(C283="","",IF(COUNTIF('Raw Courses'!$A:$A,C283)&gt;0,"Valid","Invalid Course ID"))</f>
        <v/>
      </c>
      <c r="H283" t="str">
        <f t="shared" si="8"/>
        <v/>
      </c>
      <c r="I283" t="str">
        <f t="shared" si="9"/>
        <v/>
      </c>
    </row>
    <row r="284" spans="1:9" x14ac:dyDescent="0.3">
      <c r="A284" t="str">
        <f>IF('Raw Enrollments'!A284="","",'Raw Enrollments'!A284)</f>
        <v/>
      </c>
      <c r="B284" t="str">
        <f>IF('Raw Enrollments'!B284="","",'Raw Enrollments'!B284)</f>
        <v/>
      </c>
      <c r="C284" t="str">
        <f>IF('Raw Enrollments'!C284="","",'Raw Enrollments'!C284)</f>
        <v/>
      </c>
      <c r="D284" t="str">
        <f>IF('Raw Enrollments'!D284="","",'Raw Enrollments'!D284)</f>
        <v/>
      </c>
      <c r="E284" t="str">
        <f>IF('Raw Enrollments'!E284="","",'Raw Enrollments'!E284)</f>
        <v/>
      </c>
      <c r="F284" t="str">
        <f>IF(B284="","",IF(COUNTIF(#REF!,B284)&gt;0,"Valid","Invalid Student ID"))</f>
        <v/>
      </c>
      <c r="G284" t="str">
        <f>IF(C284="","",IF(COUNTIF('Raw Courses'!$A:$A,C284)&gt;0,"Valid","Invalid Course ID"))</f>
        <v/>
      </c>
      <c r="H284" t="str">
        <f t="shared" si="8"/>
        <v/>
      </c>
      <c r="I284" t="str">
        <f t="shared" si="9"/>
        <v/>
      </c>
    </row>
    <row r="285" spans="1:9" x14ac:dyDescent="0.3">
      <c r="A285" t="str">
        <f>IF('Raw Enrollments'!A285="","",'Raw Enrollments'!A285)</f>
        <v/>
      </c>
      <c r="B285" t="str">
        <f>IF('Raw Enrollments'!B285="","",'Raw Enrollments'!B285)</f>
        <v/>
      </c>
      <c r="C285" t="str">
        <f>IF('Raw Enrollments'!C285="","",'Raw Enrollments'!C285)</f>
        <v/>
      </c>
      <c r="D285" t="str">
        <f>IF('Raw Enrollments'!D285="","",'Raw Enrollments'!D285)</f>
        <v/>
      </c>
      <c r="E285" t="str">
        <f>IF('Raw Enrollments'!E285="","",'Raw Enrollments'!E285)</f>
        <v/>
      </c>
      <c r="F285" t="str">
        <f>IF(B285="","",IF(COUNTIF(#REF!,B285)&gt;0,"Valid","Invalid Student ID"))</f>
        <v/>
      </c>
      <c r="G285" t="str">
        <f>IF(C285="","",IF(COUNTIF('Raw Courses'!$A:$A,C285)&gt;0,"Valid","Invalid Course ID"))</f>
        <v/>
      </c>
      <c r="H285" t="str">
        <f t="shared" si="8"/>
        <v/>
      </c>
      <c r="I285" t="str">
        <f t="shared" si="9"/>
        <v/>
      </c>
    </row>
    <row r="286" spans="1:9" x14ac:dyDescent="0.3">
      <c r="A286" t="str">
        <f>IF('Raw Enrollments'!A286="","",'Raw Enrollments'!A286)</f>
        <v/>
      </c>
      <c r="B286" t="str">
        <f>IF('Raw Enrollments'!B286="","",'Raw Enrollments'!B286)</f>
        <v/>
      </c>
      <c r="C286" t="str">
        <f>IF('Raw Enrollments'!C286="","",'Raw Enrollments'!C286)</f>
        <v/>
      </c>
      <c r="D286" t="str">
        <f>IF('Raw Enrollments'!D286="","",'Raw Enrollments'!D286)</f>
        <v/>
      </c>
      <c r="E286" t="str">
        <f>IF('Raw Enrollments'!E286="","",'Raw Enrollments'!E286)</f>
        <v/>
      </c>
      <c r="F286" t="str">
        <f>IF(B286="","",IF(COUNTIF(#REF!,B286)&gt;0,"Valid","Invalid Student ID"))</f>
        <v/>
      </c>
      <c r="G286" t="str">
        <f>IF(C286="","",IF(COUNTIF('Raw Courses'!$A:$A,C286)&gt;0,"Valid","Invalid Course ID"))</f>
        <v/>
      </c>
      <c r="H286" t="str">
        <f t="shared" si="8"/>
        <v/>
      </c>
      <c r="I286" t="str">
        <f t="shared" si="9"/>
        <v/>
      </c>
    </row>
    <row r="287" spans="1:9" x14ac:dyDescent="0.3">
      <c r="A287" t="str">
        <f>IF('Raw Enrollments'!A287="","",'Raw Enrollments'!A287)</f>
        <v/>
      </c>
      <c r="B287" t="str">
        <f>IF('Raw Enrollments'!B287="","",'Raw Enrollments'!B287)</f>
        <v/>
      </c>
      <c r="C287" t="str">
        <f>IF('Raw Enrollments'!C287="","",'Raw Enrollments'!C287)</f>
        <v/>
      </c>
      <c r="D287" t="str">
        <f>IF('Raw Enrollments'!D287="","",'Raw Enrollments'!D287)</f>
        <v/>
      </c>
      <c r="E287" t="str">
        <f>IF('Raw Enrollments'!E287="","",'Raw Enrollments'!E287)</f>
        <v/>
      </c>
      <c r="F287" t="str">
        <f>IF(B287="","",IF(COUNTIF(#REF!,B287)&gt;0,"Valid","Invalid Student ID"))</f>
        <v/>
      </c>
      <c r="G287" t="str">
        <f>IF(C287="","",IF(COUNTIF('Raw Courses'!$A:$A,C287)&gt;0,"Valid","Invalid Course ID"))</f>
        <v/>
      </c>
      <c r="H287" t="str">
        <f t="shared" si="8"/>
        <v/>
      </c>
      <c r="I287" t="str">
        <f t="shared" si="9"/>
        <v/>
      </c>
    </row>
    <row r="288" spans="1:9" x14ac:dyDescent="0.3">
      <c r="A288" t="str">
        <f>IF('Raw Enrollments'!A288="","",'Raw Enrollments'!A288)</f>
        <v/>
      </c>
      <c r="B288" t="str">
        <f>IF('Raw Enrollments'!B288="","",'Raw Enrollments'!B288)</f>
        <v/>
      </c>
      <c r="C288" t="str">
        <f>IF('Raw Enrollments'!C288="","",'Raw Enrollments'!C288)</f>
        <v/>
      </c>
      <c r="D288" t="str">
        <f>IF('Raw Enrollments'!D288="","",'Raw Enrollments'!D288)</f>
        <v/>
      </c>
      <c r="E288" t="str">
        <f>IF('Raw Enrollments'!E288="","",'Raw Enrollments'!E288)</f>
        <v/>
      </c>
      <c r="F288" t="str">
        <f>IF(B288="","",IF(COUNTIF(#REF!,B288)&gt;0,"Valid","Invalid Student ID"))</f>
        <v/>
      </c>
      <c r="G288" t="str">
        <f>IF(C288="","",IF(COUNTIF('Raw Courses'!$A:$A,C288)&gt;0,"Valid","Invalid Course ID"))</f>
        <v/>
      </c>
      <c r="H288" t="str">
        <f t="shared" si="8"/>
        <v/>
      </c>
      <c r="I288" t="str">
        <f t="shared" si="9"/>
        <v/>
      </c>
    </row>
    <row r="289" spans="1:9" x14ac:dyDescent="0.3">
      <c r="A289" t="str">
        <f>IF('Raw Enrollments'!A289="","",'Raw Enrollments'!A289)</f>
        <v/>
      </c>
      <c r="B289" t="str">
        <f>IF('Raw Enrollments'!B289="","",'Raw Enrollments'!B289)</f>
        <v/>
      </c>
      <c r="C289" t="str">
        <f>IF('Raw Enrollments'!C289="","",'Raw Enrollments'!C289)</f>
        <v/>
      </c>
      <c r="D289" t="str">
        <f>IF('Raw Enrollments'!D289="","",'Raw Enrollments'!D289)</f>
        <v/>
      </c>
      <c r="E289" t="str">
        <f>IF('Raw Enrollments'!E289="","",'Raw Enrollments'!E289)</f>
        <v/>
      </c>
      <c r="F289" t="str">
        <f>IF(B289="","",IF(COUNTIF(#REF!,B289)&gt;0,"Valid","Invalid Student ID"))</f>
        <v/>
      </c>
      <c r="G289" t="str">
        <f>IF(C289="","",IF(COUNTIF('Raw Courses'!$A:$A,C289)&gt;0,"Valid","Invalid Course ID"))</f>
        <v/>
      </c>
      <c r="H289" t="str">
        <f t="shared" si="8"/>
        <v/>
      </c>
      <c r="I289" t="str">
        <f t="shared" si="9"/>
        <v/>
      </c>
    </row>
    <row r="290" spans="1:9" x14ac:dyDescent="0.3">
      <c r="A290" t="str">
        <f>IF('Raw Enrollments'!A290="","",'Raw Enrollments'!A290)</f>
        <v/>
      </c>
      <c r="B290" t="str">
        <f>IF('Raw Enrollments'!B290="","",'Raw Enrollments'!B290)</f>
        <v/>
      </c>
      <c r="C290" t="str">
        <f>IF('Raw Enrollments'!C290="","",'Raw Enrollments'!C290)</f>
        <v/>
      </c>
      <c r="D290" t="str">
        <f>IF('Raw Enrollments'!D290="","",'Raw Enrollments'!D290)</f>
        <v/>
      </c>
      <c r="E290" t="str">
        <f>IF('Raw Enrollments'!E290="","",'Raw Enrollments'!E290)</f>
        <v/>
      </c>
      <c r="F290" t="str">
        <f>IF(B290="","",IF(COUNTIF(#REF!,B290)&gt;0,"Valid","Invalid Student ID"))</f>
        <v/>
      </c>
      <c r="G290" t="str">
        <f>IF(C290="","",IF(COUNTIF('Raw Courses'!$A:$A,C290)&gt;0,"Valid","Invalid Course ID"))</f>
        <v/>
      </c>
      <c r="H290" t="str">
        <f t="shared" si="8"/>
        <v/>
      </c>
      <c r="I290" t="str">
        <f t="shared" si="9"/>
        <v/>
      </c>
    </row>
    <row r="291" spans="1:9" x14ac:dyDescent="0.3">
      <c r="A291" t="str">
        <f>IF('Raw Enrollments'!A291="","",'Raw Enrollments'!A291)</f>
        <v/>
      </c>
      <c r="B291" t="str">
        <f>IF('Raw Enrollments'!B291="","",'Raw Enrollments'!B291)</f>
        <v/>
      </c>
      <c r="C291" t="str">
        <f>IF('Raw Enrollments'!C291="","",'Raw Enrollments'!C291)</f>
        <v/>
      </c>
      <c r="D291" t="str">
        <f>IF('Raw Enrollments'!D291="","",'Raw Enrollments'!D291)</f>
        <v/>
      </c>
      <c r="E291" t="str">
        <f>IF('Raw Enrollments'!E291="","",'Raw Enrollments'!E291)</f>
        <v/>
      </c>
      <c r="F291" t="str">
        <f>IF(B291="","",IF(COUNTIF(#REF!,B291)&gt;0,"Valid","Invalid Student ID"))</f>
        <v/>
      </c>
      <c r="G291" t="str">
        <f>IF(C291="","",IF(COUNTIF('Raw Courses'!$A:$A,C291)&gt;0,"Valid","Invalid Course ID"))</f>
        <v/>
      </c>
      <c r="H291" t="str">
        <f t="shared" si="8"/>
        <v/>
      </c>
      <c r="I291" t="str">
        <f t="shared" si="9"/>
        <v/>
      </c>
    </row>
    <row r="292" spans="1:9" x14ac:dyDescent="0.3">
      <c r="A292" t="str">
        <f>IF('Raw Enrollments'!A292="","",'Raw Enrollments'!A292)</f>
        <v/>
      </c>
      <c r="B292" t="str">
        <f>IF('Raw Enrollments'!B292="","",'Raw Enrollments'!B292)</f>
        <v/>
      </c>
      <c r="C292" t="str">
        <f>IF('Raw Enrollments'!C292="","",'Raw Enrollments'!C292)</f>
        <v/>
      </c>
      <c r="D292" t="str">
        <f>IF('Raw Enrollments'!D292="","",'Raw Enrollments'!D292)</f>
        <v/>
      </c>
      <c r="E292" t="str">
        <f>IF('Raw Enrollments'!E292="","",'Raw Enrollments'!E292)</f>
        <v/>
      </c>
      <c r="F292" t="str">
        <f>IF(B292="","",IF(COUNTIF(#REF!,B292)&gt;0,"Valid","Invalid Student ID"))</f>
        <v/>
      </c>
      <c r="G292" t="str">
        <f>IF(C292="","",IF(COUNTIF('Raw Courses'!$A:$A,C292)&gt;0,"Valid","Invalid Course ID"))</f>
        <v/>
      </c>
      <c r="H292" t="str">
        <f t="shared" si="8"/>
        <v/>
      </c>
      <c r="I292" t="str">
        <f t="shared" si="9"/>
        <v/>
      </c>
    </row>
    <row r="293" spans="1:9" x14ac:dyDescent="0.3">
      <c r="A293" t="str">
        <f>IF('Raw Enrollments'!A293="","",'Raw Enrollments'!A293)</f>
        <v/>
      </c>
      <c r="B293" t="str">
        <f>IF('Raw Enrollments'!B293="","",'Raw Enrollments'!B293)</f>
        <v/>
      </c>
      <c r="C293" t="str">
        <f>IF('Raw Enrollments'!C293="","",'Raw Enrollments'!C293)</f>
        <v/>
      </c>
      <c r="D293" t="str">
        <f>IF('Raw Enrollments'!D293="","",'Raw Enrollments'!D293)</f>
        <v/>
      </c>
      <c r="E293" t="str">
        <f>IF('Raw Enrollments'!E293="","",'Raw Enrollments'!E293)</f>
        <v/>
      </c>
      <c r="F293" t="str">
        <f>IF(B293="","",IF(COUNTIF(#REF!,B293)&gt;0,"Valid","Invalid Student ID"))</f>
        <v/>
      </c>
      <c r="G293" t="str">
        <f>IF(C293="","",IF(COUNTIF('Raw Courses'!$A:$A,C293)&gt;0,"Valid","Invalid Course ID"))</f>
        <v/>
      </c>
      <c r="H293" t="str">
        <f t="shared" si="8"/>
        <v/>
      </c>
      <c r="I293" t="str">
        <f t="shared" si="9"/>
        <v/>
      </c>
    </row>
    <row r="294" spans="1:9" x14ac:dyDescent="0.3">
      <c r="A294" t="str">
        <f>IF('Raw Enrollments'!A294="","",'Raw Enrollments'!A294)</f>
        <v/>
      </c>
      <c r="B294" t="str">
        <f>IF('Raw Enrollments'!B294="","",'Raw Enrollments'!B294)</f>
        <v/>
      </c>
      <c r="C294" t="str">
        <f>IF('Raw Enrollments'!C294="","",'Raw Enrollments'!C294)</f>
        <v/>
      </c>
      <c r="D294" t="str">
        <f>IF('Raw Enrollments'!D294="","",'Raw Enrollments'!D294)</f>
        <v/>
      </c>
      <c r="E294" t="str">
        <f>IF('Raw Enrollments'!E294="","",'Raw Enrollments'!E294)</f>
        <v/>
      </c>
      <c r="F294" t="str">
        <f>IF(B294="","",IF(COUNTIF(#REF!,B294)&gt;0,"Valid","Invalid Student ID"))</f>
        <v/>
      </c>
      <c r="G294" t="str">
        <f>IF(C294="","",IF(COUNTIF('Raw Courses'!$A:$A,C294)&gt;0,"Valid","Invalid Course ID"))</f>
        <v/>
      </c>
      <c r="H294" t="str">
        <f t="shared" si="8"/>
        <v/>
      </c>
      <c r="I294" t="str">
        <f t="shared" si="9"/>
        <v/>
      </c>
    </row>
    <row r="295" spans="1:9" x14ac:dyDescent="0.3">
      <c r="A295" t="str">
        <f>IF('Raw Enrollments'!A295="","",'Raw Enrollments'!A295)</f>
        <v/>
      </c>
      <c r="B295" t="str">
        <f>IF('Raw Enrollments'!B295="","",'Raw Enrollments'!B295)</f>
        <v/>
      </c>
      <c r="C295" t="str">
        <f>IF('Raw Enrollments'!C295="","",'Raw Enrollments'!C295)</f>
        <v/>
      </c>
      <c r="D295" t="str">
        <f>IF('Raw Enrollments'!D295="","",'Raw Enrollments'!D295)</f>
        <v/>
      </c>
      <c r="E295" t="str">
        <f>IF('Raw Enrollments'!E295="","",'Raw Enrollments'!E295)</f>
        <v/>
      </c>
      <c r="F295" t="str">
        <f>IF(B295="","",IF(COUNTIF(#REF!,B295)&gt;0,"Valid","Invalid Student ID"))</f>
        <v/>
      </c>
      <c r="G295" t="str">
        <f>IF(C295="","",IF(COUNTIF('Raw Courses'!$A:$A,C295)&gt;0,"Valid","Invalid Course ID"))</f>
        <v/>
      </c>
      <c r="H295" t="str">
        <f t="shared" si="8"/>
        <v/>
      </c>
      <c r="I295" t="str">
        <f t="shared" si="9"/>
        <v/>
      </c>
    </row>
    <row r="296" spans="1:9" x14ac:dyDescent="0.3">
      <c r="A296" t="str">
        <f>IF('Raw Enrollments'!A296="","",'Raw Enrollments'!A296)</f>
        <v/>
      </c>
      <c r="B296" t="str">
        <f>IF('Raw Enrollments'!B296="","",'Raw Enrollments'!B296)</f>
        <v/>
      </c>
      <c r="C296" t="str">
        <f>IF('Raw Enrollments'!C296="","",'Raw Enrollments'!C296)</f>
        <v/>
      </c>
      <c r="D296" t="str">
        <f>IF('Raw Enrollments'!D296="","",'Raw Enrollments'!D296)</f>
        <v/>
      </c>
      <c r="E296" t="str">
        <f>IF('Raw Enrollments'!E296="","",'Raw Enrollments'!E296)</f>
        <v/>
      </c>
      <c r="F296" t="str">
        <f>IF(B296="","",IF(COUNTIF(#REF!,B296)&gt;0,"Valid","Invalid Student ID"))</f>
        <v/>
      </c>
      <c r="G296" t="str">
        <f>IF(C296="","",IF(COUNTIF('Raw Courses'!$A:$A,C296)&gt;0,"Valid","Invalid Course ID"))</f>
        <v/>
      </c>
      <c r="H296" t="str">
        <f t="shared" si="8"/>
        <v/>
      </c>
      <c r="I296" t="str">
        <f t="shared" si="9"/>
        <v/>
      </c>
    </row>
    <row r="297" spans="1:9" x14ac:dyDescent="0.3">
      <c r="A297" t="str">
        <f>IF('Raw Enrollments'!A297="","",'Raw Enrollments'!A297)</f>
        <v/>
      </c>
      <c r="B297" t="str">
        <f>IF('Raw Enrollments'!B297="","",'Raw Enrollments'!B297)</f>
        <v/>
      </c>
      <c r="C297" t="str">
        <f>IF('Raw Enrollments'!C297="","",'Raw Enrollments'!C297)</f>
        <v/>
      </c>
      <c r="D297" t="str">
        <f>IF('Raw Enrollments'!D297="","",'Raw Enrollments'!D297)</f>
        <v/>
      </c>
      <c r="E297" t="str">
        <f>IF('Raw Enrollments'!E297="","",'Raw Enrollments'!E297)</f>
        <v/>
      </c>
      <c r="F297" t="str">
        <f>IF(B297="","",IF(COUNTIF(#REF!,B297)&gt;0,"Valid","Invalid Student ID"))</f>
        <v/>
      </c>
      <c r="G297" t="str">
        <f>IF(C297="","",IF(COUNTIF('Raw Courses'!$A:$A,C297)&gt;0,"Valid","Invalid Course ID"))</f>
        <v/>
      </c>
      <c r="H297" t="str">
        <f t="shared" si="8"/>
        <v/>
      </c>
      <c r="I297" t="str">
        <f t="shared" si="9"/>
        <v/>
      </c>
    </row>
    <row r="298" spans="1:9" x14ac:dyDescent="0.3">
      <c r="A298" t="str">
        <f>IF('Raw Enrollments'!A298="","",'Raw Enrollments'!A298)</f>
        <v/>
      </c>
      <c r="B298" t="str">
        <f>IF('Raw Enrollments'!B298="","",'Raw Enrollments'!B298)</f>
        <v/>
      </c>
      <c r="C298" t="str">
        <f>IF('Raw Enrollments'!C298="","",'Raw Enrollments'!C298)</f>
        <v/>
      </c>
      <c r="D298" t="str">
        <f>IF('Raw Enrollments'!D298="","",'Raw Enrollments'!D298)</f>
        <v/>
      </c>
      <c r="E298" t="str">
        <f>IF('Raw Enrollments'!E298="","",'Raw Enrollments'!E298)</f>
        <v/>
      </c>
      <c r="F298" t="str">
        <f>IF(B298="","",IF(COUNTIF(#REF!,B298)&gt;0,"Valid","Invalid Student ID"))</f>
        <v/>
      </c>
      <c r="G298" t="str">
        <f>IF(C298="","",IF(COUNTIF('Raw Courses'!$A:$A,C298)&gt;0,"Valid","Invalid Course ID"))</f>
        <v/>
      </c>
      <c r="H298" t="str">
        <f t="shared" si="8"/>
        <v/>
      </c>
      <c r="I298" t="str">
        <f t="shared" si="9"/>
        <v/>
      </c>
    </row>
    <row r="299" spans="1:9" x14ac:dyDescent="0.3">
      <c r="A299" t="str">
        <f>IF('Raw Enrollments'!A299="","",'Raw Enrollments'!A299)</f>
        <v/>
      </c>
      <c r="B299" t="str">
        <f>IF('Raw Enrollments'!B299="","",'Raw Enrollments'!B299)</f>
        <v/>
      </c>
      <c r="C299" t="str">
        <f>IF('Raw Enrollments'!C299="","",'Raw Enrollments'!C299)</f>
        <v/>
      </c>
      <c r="D299" t="str">
        <f>IF('Raw Enrollments'!D299="","",'Raw Enrollments'!D299)</f>
        <v/>
      </c>
      <c r="E299" t="str">
        <f>IF('Raw Enrollments'!E299="","",'Raw Enrollments'!E299)</f>
        <v/>
      </c>
      <c r="F299" t="str">
        <f>IF(B299="","",IF(COUNTIF(#REF!,B299)&gt;0,"Valid","Invalid Student ID"))</f>
        <v/>
      </c>
      <c r="G299" t="str">
        <f>IF(C299="","",IF(COUNTIF('Raw Courses'!$A:$A,C299)&gt;0,"Valid","Invalid Course ID"))</f>
        <v/>
      </c>
      <c r="H299" t="str">
        <f t="shared" si="8"/>
        <v/>
      </c>
      <c r="I299" t="str">
        <f t="shared" si="9"/>
        <v/>
      </c>
    </row>
    <row r="300" spans="1:9" x14ac:dyDescent="0.3">
      <c r="A300" t="str">
        <f>IF('Raw Enrollments'!A300="","",'Raw Enrollments'!A300)</f>
        <v/>
      </c>
      <c r="B300" t="str">
        <f>IF('Raw Enrollments'!B300="","",'Raw Enrollments'!B300)</f>
        <v/>
      </c>
      <c r="C300" t="str">
        <f>IF('Raw Enrollments'!C300="","",'Raw Enrollments'!C300)</f>
        <v/>
      </c>
      <c r="D300" t="str">
        <f>IF('Raw Enrollments'!D300="","",'Raw Enrollments'!D300)</f>
        <v/>
      </c>
      <c r="E300" t="str">
        <f>IF('Raw Enrollments'!E300="","",'Raw Enrollments'!E300)</f>
        <v/>
      </c>
      <c r="F300" t="str">
        <f>IF(B300="","",IF(COUNTIF(#REF!,B300)&gt;0,"Valid","Invalid Student ID"))</f>
        <v/>
      </c>
      <c r="G300" t="str">
        <f>IF(C300="","",IF(COUNTIF('Raw Courses'!$A:$A,C300)&gt;0,"Valid","Invalid Course ID"))</f>
        <v/>
      </c>
      <c r="H300" t="str">
        <f t="shared" si="8"/>
        <v/>
      </c>
      <c r="I300" t="str">
        <f t="shared" si="9"/>
        <v/>
      </c>
    </row>
    <row r="301" spans="1:9" x14ac:dyDescent="0.3">
      <c r="A301" t="str">
        <f>IF('Raw Enrollments'!A301="","",'Raw Enrollments'!A301)</f>
        <v/>
      </c>
      <c r="B301" t="str">
        <f>IF('Raw Enrollments'!B301="","",'Raw Enrollments'!B301)</f>
        <v/>
      </c>
      <c r="C301" t="str">
        <f>IF('Raw Enrollments'!C301="","",'Raw Enrollments'!C301)</f>
        <v/>
      </c>
      <c r="D301" t="str">
        <f>IF('Raw Enrollments'!D301="","",'Raw Enrollments'!D301)</f>
        <v/>
      </c>
      <c r="E301" t="str">
        <f>IF('Raw Enrollments'!E301="","",'Raw Enrollments'!E301)</f>
        <v/>
      </c>
      <c r="F301" t="str">
        <f>IF(B301="","",IF(COUNTIF(#REF!,B301)&gt;0,"Valid","Invalid Student ID"))</f>
        <v/>
      </c>
      <c r="G301" t="str">
        <f>IF(C301="","",IF(COUNTIF('Raw Courses'!$A:$A,C301)&gt;0,"Valid","Invalid Course ID"))</f>
        <v/>
      </c>
      <c r="H301" t="str">
        <f t="shared" si="8"/>
        <v/>
      </c>
      <c r="I301" t="str">
        <f t="shared" si="9"/>
        <v/>
      </c>
    </row>
    <row r="302" spans="1:9" x14ac:dyDescent="0.3">
      <c r="A302" t="str">
        <f>IF('Raw Enrollments'!A302="","",'Raw Enrollments'!A302)</f>
        <v/>
      </c>
      <c r="B302" t="str">
        <f>IF('Raw Enrollments'!B302="","",'Raw Enrollments'!B302)</f>
        <v/>
      </c>
      <c r="C302" t="str">
        <f>IF('Raw Enrollments'!C302="","",'Raw Enrollments'!C302)</f>
        <v/>
      </c>
      <c r="D302" t="str">
        <f>IF('Raw Enrollments'!D302="","",'Raw Enrollments'!D302)</f>
        <v/>
      </c>
      <c r="E302" t="str">
        <f>IF('Raw Enrollments'!E302="","",'Raw Enrollments'!E302)</f>
        <v/>
      </c>
      <c r="F302" t="str">
        <f>IF(B302="","",IF(COUNTIF(#REF!,B302)&gt;0,"Valid","Invalid Student ID"))</f>
        <v/>
      </c>
      <c r="G302" t="str">
        <f>IF(C302="","",IF(COUNTIF('Raw Courses'!$A:$A,C302)&gt;0,"Valid","Invalid Course ID"))</f>
        <v/>
      </c>
      <c r="H302" t="str">
        <f t="shared" si="8"/>
        <v/>
      </c>
      <c r="I302" t="str">
        <f t="shared" si="9"/>
        <v/>
      </c>
    </row>
    <row r="303" spans="1:9" x14ac:dyDescent="0.3">
      <c r="A303" t="str">
        <f>IF('Raw Enrollments'!A303="","",'Raw Enrollments'!A303)</f>
        <v/>
      </c>
      <c r="B303" t="str">
        <f>IF('Raw Enrollments'!B303="","",'Raw Enrollments'!B303)</f>
        <v/>
      </c>
      <c r="C303" t="str">
        <f>IF('Raw Enrollments'!C303="","",'Raw Enrollments'!C303)</f>
        <v/>
      </c>
      <c r="D303" t="str">
        <f>IF('Raw Enrollments'!D303="","",'Raw Enrollments'!D303)</f>
        <v/>
      </c>
      <c r="E303" t="str">
        <f>IF('Raw Enrollments'!E303="","",'Raw Enrollments'!E303)</f>
        <v/>
      </c>
      <c r="F303" t="str">
        <f>IF(B303="","",IF(COUNTIF(#REF!,B303)&gt;0,"Valid","Invalid Student ID"))</f>
        <v/>
      </c>
      <c r="G303" t="str">
        <f>IF(C303="","",IF(COUNTIF('Raw Courses'!$A:$A,C303)&gt;0,"Valid","Invalid Course ID"))</f>
        <v/>
      </c>
      <c r="H303" t="str">
        <f t="shared" si="8"/>
        <v/>
      </c>
      <c r="I303" t="str">
        <f t="shared" si="9"/>
        <v/>
      </c>
    </row>
    <row r="304" spans="1:9" x14ac:dyDescent="0.3">
      <c r="A304" t="str">
        <f>IF('Raw Enrollments'!A304="","",'Raw Enrollments'!A304)</f>
        <v/>
      </c>
      <c r="B304" t="str">
        <f>IF('Raw Enrollments'!B304="","",'Raw Enrollments'!B304)</f>
        <v/>
      </c>
      <c r="C304" t="str">
        <f>IF('Raw Enrollments'!C304="","",'Raw Enrollments'!C304)</f>
        <v/>
      </c>
      <c r="D304" t="str">
        <f>IF('Raw Enrollments'!D304="","",'Raw Enrollments'!D304)</f>
        <v/>
      </c>
      <c r="E304" t="str">
        <f>IF('Raw Enrollments'!E304="","",'Raw Enrollments'!E304)</f>
        <v/>
      </c>
      <c r="F304" t="str">
        <f>IF(B304="","",IF(COUNTIF(#REF!,B304)&gt;0,"Valid","Invalid Student ID"))</f>
        <v/>
      </c>
      <c r="G304" t="str">
        <f>IF(C304="","",IF(COUNTIF('Raw Courses'!$A:$A,C304)&gt;0,"Valid","Invalid Course ID"))</f>
        <v/>
      </c>
      <c r="H304" t="str">
        <f t="shared" si="8"/>
        <v/>
      </c>
      <c r="I304" t="str">
        <f t="shared" si="9"/>
        <v/>
      </c>
    </row>
    <row r="305" spans="1:9" x14ac:dyDescent="0.3">
      <c r="A305" t="str">
        <f>IF('Raw Enrollments'!A305="","",'Raw Enrollments'!A305)</f>
        <v/>
      </c>
      <c r="B305" t="str">
        <f>IF('Raw Enrollments'!B305="","",'Raw Enrollments'!B305)</f>
        <v/>
      </c>
      <c r="C305" t="str">
        <f>IF('Raw Enrollments'!C305="","",'Raw Enrollments'!C305)</f>
        <v/>
      </c>
      <c r="D305" t="str">
        <f>IF('Raw Enrollments'!D305="","",'Raw Enrollments'!D305)</f>
        <v/>
      </c>
      <c r="E305" t="str">
        <f>IF('Raw Enrollments'!E305="","",'Raw Enrollments'!E305)</f>
        <v/>
      </c>
      <c r="F305" t="str">
        <f>IF(B305="","",IF(COUNTIF(#REF!,B305)&gt;0,"Valid","Invalid Student ID"))</f>
        <v/>
      </c>
      <c r="G305" t="str">
        <f>IF(C305="","",IF(COUNTIF('Raw Courses'!$A:$A,C305)&gt;0,"Valid","Invalid Course ID"))</f>
        <v/>
      </c>
      <c r="H305" t="str">
        <f t="shared" si="8"/>
        <v/>
      </c>
      <c r="I305" t="str">
        <f t="shared" si="9"/>
        <v/>
      </c>
    </row>
    <row r="306" spans="1:9" x14ac:dyDescent="0.3">
      <c r="A306" t="str">
        <f>IF('Raw Enrollments'!A306="","",'Raw Enrollments'!A306)</f>
        <v/>
      </c>
      <c r="B306" t="str">
        <f>IF('Raw Enrollments'!B306="","",'Raw Enrollments'!B306)</f>
        <v/>
      </c>
      <c r="C306" t="str">
        <f>IF('Raw Enrollments'!C306="","",'Raw Enrollments'!C306)</f>
        <v/>
      </c>
      <c r="D306" t="str">
        <f>IF('Raw Enrollments'!D306="","",'Raw Enrollments'!D306)</f>
        <v/>
      </c>
      <c r="E306" t="str">
        <f>IF('Raw Enrollments'!E306="","",'Raw Enrollments'!E306)</f>
        <v/>
      </c>
      <c r="F306" t="str">
        <f>IF(B306="","",IF(COUNTIF(#REF!,B306)&gt;0,"Valid","Invalid Student ID"))</f>
        <v/>
      </c>
      <c r="G306" t="str">
        <f>IF(C306="","",IF(COUNTIF('Raw Courses'!$A:$A,C306)&gt;0,"Valid","Invalid Course ID"))</f>
        <v/>
      </c>
      <c r="H306" t="str">
        <f t="shared" si="8"/>
        <v/>
      </c>
      <c r="I306" t="str">
        <f t="shared" si="9"/>
        <v/>
      </c>
    </row>
    <row r="307" spans="1:9" x14ac:dyDescent="0.3">
      <c r="A307" t="str">
        <f>IF('Raw Enrollments'!A307="","",'Raw Enrollments'!A307)</f>
        <v/>
      </c>
      <c r="B307" t="str">
        <f>IF('Raw Enrollments'!B307="","",'Raw Enrollments'!B307)</f>
        <v/>
      </c>
      <c r="C307" t="str">
        <f>IF('Raw Enrollments'!C307="","",'Raw Enrollments'!C307)</f>
        <v/>
      </c>
      <c r="D307" t="str">
        <f>IF('Raw Enrollments'!D307="","",'Raw Enrollments'!D307)</f>
        <v/>
      </c>
      <c r="E307" t="str">
        <f>IF('Raw Enrollments'!E307="","",'Raw Enrollments'!E307)</f>
        <v/>
      </c>
      <c r="F307" t="str">
        <f>IF(B307="","",IF(COUNTIF(#REF!,B307)&gt;0,"Valid","Invalid Student ID"))</f>
        <v/>
      </c>
      <c r="G307" t="str">
        <f>IF(C307="","",IF(COUNTIF('Raw Courses'!$A:$A,C307)&gt;0,"Valid","Invalid Course ID"))</f>
        <v/>
      </c>
      <c r="H307" t="str">
        <f t="shared" si="8"/>
        <v/>
      </c>
      <c r="I307" t="str">
        <f t="shared" si="9"/>
        <v/>
      </c>
    </row>
    <row r="308" spans="1:9" x14ac:dyDescent="0.3">
      <c r="A308" t="str">
        <f>IF('Raw Enrollments'!A308="","",'Raw Enrollments'!A308)</f>
        <v/>
      </c>
      <c r="B308" t="str">
        <f>IF('Raw Enrollments'!B308="","",'Raw Enrollments'!B308)</f>
        <v/>
      </c>
      <c r="C308" t="str">
        <f>IF('Raw Enrollments'!C308="","",'Raw Enrollments'!C308)</f>
        <v/>
      </c>
      <c r="D308" t="str">
        <f>IF('Raw Enrollments'!D308="","",'Raw Enrollments'!D308)</f>
        <v/>
      </c>
      <c r="E308" t="str">
        <f>IF('Raw Enrollments'!E308="","",'Raw Enrollments'!E308)</f>
        <v/>
      </c>
      <c r="F308" t="str">
        <f>IF(B308="","",IF(COUNTIF(#REF!,B308)&gt;0,"Valid","Invalid Student ID"))</f>
        <v/>
      </c>
      <c r="G308" t="str">
        <f>IF(C308="","",IF(COUNTIF('Raw Courses'!$A:$A,C308)&gt;0,"Valid","Invalid Course ID"))</f>
        <v/>
      </c>
      <c r="H308" t="str">
        <f t="shared" si="8"/>
        <v/>
      </c>
      <c r="I308" t="str">
        <f t="shared" si="9"/>
        <v/>
      </c>
    </row>
    <row r="309" spans="1:9" x14ac:dyDescent="0.3">
      <c r="A309" t="str">
        <f>IF('Raw Enrollments'!A309="","",'Raw Enrollments'!A309)</f>
        <v/>
      </c>
      <c r="B309" t="str">
        <f>IF('Raw Enrollments'!B309="","",'Raw Enrollments'!B309)</f>
        <v/>
      </c>
      <c r="C309" t="str">
        <f>IF('Raw Enrollments'!C309="","",'Raw Enrollments'!C309)</f>
        <v/>
      </c>
      <c r="D309" t="str">
        <f>IF('Raw Enrollments'!D309="","",'Raw Enrollments'!D309)</f>
        <v/>
      </c>
      <c r="E309" t="str">
        <f>IF('Raw Enrollments'!E309="","",'Raw Enrollments'!E309)</f>
        <v/>
      </c>
      <c r="F309" t="str">
        <f>IF(B309="","",IF(COUNTIF(#REF!,B309)&gt;0,"Valid","Invalid Student ID"))</f>
        <v/>
      </c>
      <c r="G309" t="str">
        <f>IF(C309="","",IF(COUNTIF('Raw Courses'!$A:$A,C309)&gt;0,"Valid","Invalid Course ID"))</f>
        <v/>
      </c>
      <c r="H309" t="str">
        <f t="shared" si="8"/>
        <v/>
      </c>
      <c r="I309" t="str">
        <f t="shared" si="9"/>
        <v/>
      </c>
    </row>
    <row r="310" spans="1:9" x14ac:dyDescent="0.3">
      <c r="A310" t="str">
        <f>IF('Raw Enrollments'!A310="","",'Raw Enrollments'!A310)</f>
        <v/>
      </c>
      <c r="B310" t="str">
        <f>IF('Raw Enrollments'!B310="","",'Raw Enrollments'!B310)</f>
        <v/>
      </c>
      <c r="C310" t="str">
        <f>IF('Raw Enrollments'!C310="","",'Raw Enrollments'!C310)</f>
        <v/>
      </c>
      <c r="D310" t="str">
        <f>IF('Raw Enrollments'!D310="","",'Raw Enrollments'!D310)</f>
        <v/>
      </c>
      <c r="E310" t="str">
        <f>IF('Raw Enrollments'!E310="","",'Raw Enrollments'!E310)</f>
        <v/>
      </c>
      <c r="F310" t="str">
        <f>IF(B310="","",IF(COUNTIF(#REF!,B310)&gt;0,"Valid","Invalid Student ID"))</f>
        <v/>
      </c>
      <c r="G310" t="str">
        <f>IF(C310="","",IF(COUNTIF('Raw Courses'!$A:$A,C310)&gt;0,"Valid","Invalid Course ID"))</f>
        <v/>
      </c>
      <c r="H310" t="str">
        <f t="shared" si="8"/>
        <v/>
      </c>
      <c r="I310" t="str">
        <f t="shared" si="9"/>
        <v/>
      </c>
    </row>
    <row r="311" spans="1:9" x14ac:dyDescent="0.3">
      <c r="A311" t="str">
        <f>IF('Raw Enrollments'!A311="","",'Raw Enrollments'!A311)</f>
        <v/>
      </c>
      <c r="B311" t="str">
        <f>IF('Raw Enrollments'!B311="","",'Raw Enrollments'!B311)</f>
        <v/>
      </c>
      <c r="C311" t="str">
        <f>IF('Raw Enrollments'!C311="","",'Raw Enrollments'!C311)</f>
        <v/>
      </c>
      <c r="D311" t="str">
        <f>IF('Raw Enrollments'!D311="","",'Raw Enrollments'!D311)</f>
        <v/>
      </c>
      <c r="E311" t="str">
        <f>IF('Raw Enrollments'!E311="","",'Raw Enrollments'!E311)</f>
        <v/>
      </c>
      <c r="F311" t="str">
        <f>IF(B311="","",IF(COUNTIF(#REF!,B311)&gt;0,"Valid","Invalid Student ID"))</f>
        <v/>
      </c>
      <c r="G311" t="str">
        <f>IF(C311="","",IF(COUNTIF('Raw Courses'!$A:$A,C311)&gt;0,"Valid","Invalid Course ID"))</f>
        <v/>
      </c>
      <c r="H311" t="str">
        <f t="shared" si="8"/>
        <v/>
      </c>
      <c r="I311" t="str">
        <f t="shared" si="9"/>
        <v/>
      </c>
    </row>
    <row r="312" spans="1:9" x14ac:dyDescent="0.3">
      <c r="A312" t="str">
        <f>IF('Raw Enrollments'!A312="","",'Raw Enrollments'!A312)</f>
        <v/>
      </c>
      <c r="B312" t="str">
        <f>IF('Raw Enrollments'!B312="","",'Raw Enrollments'!B312)</f>
        <v/>
      </c>
      <c r="C312" t="str">
        <f>IF('Raw Enrollments'!C312="","",'Raw Enrollments'!C312)</f>
        <v/>
      </c>
      <c r="D312" t="str">
        <f>IF('Raw Enrollments'!D312="","",'Raw Enrollments'!D312)</f>
        <v/>
      </c>
      <c r="E312" t="str">
        <f>IF('Raw Enrollments'!E312="","",'Raw Enrollments'!E312)</f>
        <v/>
      </c>
      <c r="F312" t="str">
        <f>IF(B312="","",IF(COUNTIF(#REF!,B312)&gt;0,"Valid","Invalid Student ID"))</f>
        <v/>
      </c>
      <c r="G312" t="str">
        <f>IF(C312="","",IF(COUNTIF('Raw Courses'!$A:$A,C312)&gt;0,"Valid","Invalid Course ID"))</f>
        <v/>
      </c>
      <c r="H312" t="str">
        <f t="shared" si="8"/>
        <v/>
      </c>
      <c r="I312" t="str">
        <f t="shared" si="9"/>
        <v/>
      </c>
    </row>
    <row r="313" spans="1:9" x14ac:dyDescent="0.3">
      <c r="A313" t="str">
        <f>IF('Raw Enrollments'!A313="","",'Raw Enrollments'!A313)</f>
        <v/>
      </c>
      <c r="B313" t="str">
        <f>IF('Raw Enrollments'!B313="","",'Raw Enrollments'!B313)</f>
        <v/>
      </c>
      <c r="C313" t="str">
        <f>IF('Raw Enrollments'!C313="","",'Raw Enrollments'!C313)</f>
        <v/>
      </c>
      <c r="D313" t="str">
        <f>IF('Raw Enrollments'!D313="","",'Raw Enrollments'!D313)</f>
        <v/>
      </c>
      <c r="E313" t="str">
        <f>IF('Raw Enrollments'!E313="","",'Raw Enrollments'!E313)</f>
        <v/>
      </c>
      <c r="F313" t="str">
        <f>IF(B313="","",IF(COUNTIF(#REF!,B313)&gt;0,"Valid","Invalid Student ID"))</f>
        <v/>
      </c>
      <c r="G313" t="str">
        <f>IF(C313="","",IF(COUNTIF('Raw Courses'!$A:$A,C313)&gt;0,"Valid","Invalid Course ID"))</f>
        <v/>
      </c>
      <c r="H313" t="str">
        <f t="shared" si="8"/>
        <v/>
      </c>
      <c r="I313" t="str">
        <f t="shared" si="9"/>
        <v/>
      </c>
    </row>
    <row r="314" spans="1:9" x14ac:dyDescent="0.3">
      <c r="A314" t="str">
        <f>IF('Raw Enrollments'!A314="","",'Raw Enrollments'!A314)</f>
        <v/>
      </c>
      <c r="B314" t="str">
        <f>IF('Raw Enrollments'!B314="","",'Raw Enrollments'!B314)</f>
        <v/>
      </c>
      <c r="C314" t="str">
        <f>IF('Raw Enrollments'!C314="","",'Raw Enrollments'!C314)</f>
        <v/>
      </c>
      <c r="D314" t="str">
        <f>IF('Raw Enrollments'!D314="","",'Raw Enrollments'!D314)</f>
        <v/>
      </c>
      <c r="E314" t="str">
        <f>IF('Raw Enrollments'!E314="","",'Raw Enrollments'!E314)</f>
        <v/>
      </c>
      <c r="F314" t="str">
        <f>IF(B314="","",IF(COUNTIF(#REF!,B314)&gt;0,"Valid","Invalid Student ID"))</f>
        <v/>
      </c>
      <c r="G314" t="str">
        <f>IF(C314="","",IF(COUNTIF('Raw Courses'!$A:$A,C314)&gt;0,"Valid","Invalid Course ID"))</f>
        <v/>
      </c>
      <c r="H314" t="str">
        <f t="shared" si="8"/>
        <v/>
      </c>
      <c r="I314" t="str">
        <f t="shared" si="9"/>
        <v/>
      </c>
    </row>
    <row r="315" spans="1:9" x14ac:dyDescent="0.3">
      <c r="A315" t="str">
        <f>IF('Raw Enrollments'!A315="","",'Raw Enrollments'!A315)</f>
        <v/>
      </c>
      <c r="B315" t="str">
        <f>IF('Raw Enrollments'!B315="","",'Raw Enrollments'!B315)</f>
        <v/>
      </c>
      <c r="C315" t="str">
        <f>IF('Raw Enrollments'!C315="","",'Raw Enrollments'!C315)</f>
        <v/>
      </c>
      <c r="D315" t="str">
        <f>IF('Raw Enrollments'!D315="","",'Raw Enrollments'!D315)</f>
        <v/>
      </c>
      <c r="E315" t="str">
        <f>IF('Raw Enrollments'!E315="","",'Raw Enrollments'!E315)</f>
        <v/>
      </c>
      <c r="F315" t="str">
        <f>IF(B315="","",IF(COUNTIF(#REF!,B315)&gt;0,"Valid","Invalid Student ID"))</f>
        <v/>
      </c>
      <c r="G315" t="str">
        <f>IF(C315="","",IF(COUNTIF('Raw Courses'!$A:$A,C315)&gt;0,"Valid","Invalid Course ID"))</f>
        <v/>
      </c>
      <c r="H315" t="str">
        <f t="shared" si="8"/>
        <v/>
      </c>
      <c r="I315" t="str">
        <f t="shared" si="9"/>
        <v/>
      </c>
    </row>
    <row r="316" spans="1:9" x14ac:dyDescent="0.3">
      <c r="A316" t="str">
        <f>IF('Raw Enrollments'!A316="","",'Raw Enrollments'!A316)</f>
        <v/>
      </c>
      <c r="B316" t="str">
        <f>IF('Raw Enrollments'!B316="","",'Raw Enrollments'!B316)</f>
        <v/>
      </c>
      <c r="C316" t="str">
        <f>IF('Raw Enrollments'!C316="","",'Raw Enrollments'!C316)</f>
        <v/>
      </c>
      <c r="D316" t="str">
        <f>IF('Raw Enrollments'!D316="","",'Raw Enrollments'!D316)</f>
        <v/>
      </c>
      <c r="E316" t="str">
        <f>IF('Raw Enrollments'!E316="","",'Raw Enrollments'!E316)</f>
        <v/>
      </c>
      <c r="F316" t="str">
        <f>IF(B316="","",IF(COUNTIF(#REF!,B316)&gt;0,"Valid","Invalid Student ID"))</f>
        <v/>
      </c>
      <c r="G316" t="str">
        <f>IF(C316="","",IF(COUNTIF('Raw Courses'!$A:$A,C316)&gt;0,"Valid","Invalid Course ID"))</f>
        <v/>
      </c>
      <c r="H316" t="str">
        <f t="shared" si="8"/>
        <v/>
      </c>
      <c r="I316" t="str">
        <f t="shared" si="9"/>
        <v/>
      </c>
    </row>
    <row r="317" spans="1:9" x14ac:dyDescent="0.3">
      <c r="A317" t="str">
        <f>IF('Raw Enrollments'!A317="","",'Raw Enrollments'!A317)</f>
        <v/>
      </c>
      <c r="B317" t="str">
        <f>IF('Raw Enrollments'!B317="","",'Raw Enrollments'!B317)</f>
        <v/>
      </c>
      <c r="C317" t="str">
        <f>IF('Raw Enrollments'!C317="","",'Raw Enrollments'!C317)</f>
        <v/>
      </c>
      <c r="D317" t="str">
        <f>IF('Raw Enrollments'!D317="","",'Raw Enrollments'!D317)</f>
        <v/>
      </c>
      <c r="E317" t="str">
        <f>IF('Raw Enrollments'!E317="","",'Raw Enrollments'!E317)</f>
        <v/>
      </c>
      <c r="F317" t="str">
        <f>IF(B317="","",IF(COUNTIF(#REF!,B317)&gt;0,"Valid","Invalid Student ID"))</f>
        <v/>
      </c>
      <c r="G317" t="str">
        <f>IF(C317="","",IF(COUNTIF('Raw Courses'!$A:$A,C317)&gt;0,"Valid","Invalid Course ID"))</f>
        <v/>
      </c>
      <c r="H317" t="str">
        <f t="shared" si="8"/>
        <v/>
      </c>
      <c r="I317" t="str">
        <f t="shared" si="9"/>
        <v/>
      </c>
    </row>
    <row r="318" spans="1:9" x14ac:dyDescent="0.3">
      <c r="A318" t="str">
        <f>IF('Raw Enrollments'!A318="","",'Raw Enrollments'!A318)</f>
        <v/>
      </c>
      <c r="B318" t="str">
        <f>IF('Raw Enrollments'!B318="","",'Raw Enrollments'!B318)</f>
        <v/>
      </c>
      <c r="C318" t="str">
        <f>IF('Raw Enrollments'!C318="","",'Raw Enrollments'!C318)</f>
        <v/>
      </c>
      <c r="D318" t="str">
        <f>IF('Raw Enrollments'!D318="","",'Raw Enrollments'!D318)</f>
        <v/>
      </c>
      <c r="E318" t="str">
        <f>IF('Raw Enrollments'!E318="","",'Raw Enrollments'!E318)</f>
        <v/>
      </c>
      <c r="F318" t="str">
        <f>IF(B318="","",IF(COUNTIF(#REF!,B318)&gt;0,"Valid","Invalid Student ID"))</f>
        <v/>
      </c>
      <c r="G318" t="str">
        <f>IF(C318="","",IF(COUNTIF('Raw Courses'!$A:$A,C318)&gt;0,"Valid","Invalid Course ID"))</f>
        <v/>
      </c>
      <c r="H318" t="str">
        <f t="shared" si="8"/>
        <v/>
      </c>
      <c r="I318" t="str">
        <f t="shared" si="9"/>
        <v/>
      </c>
    </row>
    <row r="319" spans="1:9" x14ac:dyDescent="0.3">
      <c r="A319" t="str">
        <f>IF('Raw Enrollments'!A319="","",'Raw Enrollments'!A319)</f>
        <v/>
      </c>
      <c r="B319" t="str">
        <f>IF('Raw Enrollments'!B319="","",'Raw Enrollments'!B319)</f>
        <v/>
      </c>
      <c r="C319" t="str">
        <f>IF('Raw Enrollments'!C319="","",'Raw Enrollments'!C319)</f>
        <v/>
      </c>
      <c r="D319" t="str">
        <f>IF('Raw Enrollments'!D319="","",'Raw Enrollments'!D319)</f>
        <v/>
      </c>
      <c r="E319" t="str">
        <f>IF('Raw Enrollments'!E319="","",'Raw Enrollments'!E319)</f>
        <v/>
      </c>
      <c r="F319" t="str">
        <f>IF(B319="","",IF(COUNTIF(#REF!,B319)&gt;0,"Valid","Invalid Student ID"))</f>
        <v/>
      </c>
      <c r="G319" t="str">
        <f>IF(C319="","",IF(COUNTIF('Raw Courses'!$A:$A,C319)&gt;0,"Valid","Invalid Course ID"))</f>
        <v/>
      </c>
      <c r="H319" t="str">
        <f t="shared" si="8"/>
        <v/>
      </c>
      <c r="I319" t="str">
        <f t="shared" si="9"/>
        <v/>
      </c>
    </row>
    <row r="320" spans="1:9" x14ac:dyDescent="0.3">
      <c r="A320" t="str">
        <f>IF('Raw Enrollments'!A320="","",'Raw Enrollments'!A320)</f>
        <v/>
      </c>
      <c r="B320" t="str">
        <f>IF('Raw Enrollments'!B320="","",'Raw Enrollments'!B320)</f>
        <v/>
      </c>
      <c r="C320" t="str">
        <f>IF('Raw Enrollments'!C320="","",'Raw Enrollments'!C320)</f>
        <v/>
      </c>
      <c r="D320" t="str">
        <f>IF('Raw Enrollments'!D320="","",'Raw Enrollments'!D320)</f>
        <v/>
      </c>
      <c r="E320" t="str">
        <f>IF('Raw Enrollments'!E320="","",'Raw Enrollments'!E320)</f>
        <v/>
      </c>
      <c r="F320" t="str">
        <f>IF(B320="","",IF(COUNTIF(#REF!,B320)&gt;0,"Valid","Invalid Student ID"))</f>
        <v/>
      </c>
      <c r="G320" t="str">
        <f>IF(C320="","",IF(COUNTIF('Raw Courses'!$A:$A,C320)&gt;0,"Valid","Invalid Course ID"))</f>
        <v/>
      </c>
      <c r="H320" t="str">
        <f t="shared" si="8"/>
        <v/>
      </c>
      <c r="I320" t="str">
        <f t="shared" si="9"/>
        <v/>
      </c>
    </row>
    <row r="321" spans="1:9" x14ac:dyDescent="0.3">
      <c r="A321" t="str">
        <f>IF('Raw Enrollments'!A321="","",'Raw Enrollments'!A321)</f>
        <v/>
      </c>
      <c r="B321" t="str">
        <f>IF('Raw Enrollments'!B321="","",'Raw Enrollments'!B321)</f>
        <v/>
      </c>
      <c r="C321" t="str">
        <f>IF('Raw Enrollments'!C321="","",'Raw Enrollments'!C321)</f>
        <v/>
      </c>
      <c r="D321" t="str">
        <f>IF('Raw Enrollments'!D321="","",'Raw Enrollments'!D321)</f>
        <v/>
      </c>
      <c r="E321" t="str">
        <f>IF('Raw Enrollments'!E321="","",'Raw Enrollments'!E321)</f>
        <v/>
      </c>
      <c r="F321" t="str">
        <f>IF(B321="","",IF(COUNTIF(#REF!,B321)&gt;0,"Valid","Invalid Student ID"))</f>
        <v/>
      </c>
      <c r="G321" t="str">
        <f>IF(C321="","",IF(COUNTIF('Raw Courses'!$A:$A,C321)&gt;0,"Valid","Invalid Course ID"))</f>
        <v/>
      </c>
      <c r="H321" t="str">
        <f t="shared" si="8"/>
        <v/>
      </c>
      <c r="I321" t="str">
        <f t="shared" si="9"/>
        <v/>
      </c>
    </row>
    <row r="322" spans="1:9" x14ac:dyDescent="0.3">
      <c r="A322" t="str">
        <f>IF('Raw Enrollments'!A322="","",'Raw Enrollments'!A322)</f>
        <v/>
      </c>
      <c r="B322" t="str">
        <f>IF('Raw Enrollments'!B322="","",'Raw Enrollments'!B322)</f>
        <v/>
      </c>
      <c r="C322" t="str">
        <f>IF('Raw Enrollments'!C322="","",'Raw Enrollments'!C322)</f>
        <v/>
      </c>
      <c r="D322" t="str">
        <f>IF('Raw Enrollments'!D322="","",'Raw Enrollments'!D322)</f>
        <v/>
      </c>
      <c r="E322" t="str">
        <f>IF('Raw Enrollments'!E322="","",'Raw Enrollments'!E322)</f>
        <v/>
      </c>
      <c r="F322" t="str">
        <f>IF(B322="","",IF(COUNTIF(#REF!,B322)&gt;0,"Valid","Invalid Student ID"))</f>
        <v/>
      </c>
      <c r="G322" t="str">
        <f>IF(C322="","",IF(COUNTIF('Raw Courses'!$A:$A,C322)&gt;0,"Valid","Invalid Course ID"))</f>
        <v/>
      </c>
      <c r="H322" t="str">
        <f t="shared" si="8"/>
        <v/>
      </c>
      <c r="I322" t="str">
        <f t="shared" si="9"/>
        <v/>
      </c>
    </row>
    <row r="323" spans="1:9" x14ac:dyDescent="0.3">
      <c r="A323" t="str">
        <f>IF('Raw Enrollments'!A323="","",'Raw Enrollments'!A323)</f>
        <v/>
      </c>
      <c r="B323" t="str">
        <f>IF('Raw Enrollments'!B323="","",'Raw Enrollments'!B323)</f>
        <v/>
      </c>
      <c r="C323" t="str">
        <f>IF('Raw Enrollments'!C323="","",'Raw Enrollments'!C323)</f>
        <v/>
      </c>
      <c r="D323" t="str">
        <f>IF('Raw Enrollments'!D323="","",'Raw Enrollments'!D323)</f>
        <v/>
      </c>
      <c r="E323" t="str">
        <f>IF('Raw Enrollments'!E323="","",'Raw Enrollments'!E323)</f>
        <v/>
      </c>
      <c r="F323" t="str">
        <f>IF(B323="","",IF(COUNTIF(#REF!,B323)&gt;0,"Valid","Invalid Student ID"))</f>
        <v/>
      </c>
      <c r="G323" t="str">
        <f>IF(C323="","",IF(COUNTIF('Raw Courses'!$A:$A,C323)&gt;0,"Valid","Invalid Course ID"))</f>
        <v/>
      </c>
      <c r="H323" t="str">
        <f t="shared" si="8"/>
        <v/>
      </c>
      <c r="I323" t="str">
        <f t="shared" si="9"/>
        <v/>
      </c>
    </row>
    <row r="324" spans="1:9" x14ac:dyDescent="0.3">
      <c r="A324" t="str">
        <f>IF('Raw Enrollments'!A324="","",'Raw Enrollments'!A324)</f>
        <v/>
      </c>
      <c r="B324" t="str">
        <f>IF('Raw Enrollments'!B324="","",'Raw Enrollments'!B324)</f>
        <v/>
      </c>
      <c r="C324" t="str">
        <f>IF('Raw Enrollments'!C324="","",'Raw Enrollments'!C324)</f>
        <v/>
      </c>
      <c r="D324" t="str">
        <f>IF('Raw Enrollments'!D324="","",'Raw Enrollments'!D324)</f>
        <v/>
      </c>
      <c r="E324" t="str">
        <f>IF('Raw Enrollments'!E324="","",'Raw Enrollments'!E324)</f>
        <v/>
      </c>
      <c r="F324" t="str">
        <f>IF(B324="","",IF(COUNTIF(#REF!,B324)&gt;0,"Valid","Invalid Student ID"))</f>
        <v/>
      </c>
      <c r="G324" t="str">
        <f>IF(C324="","",IF(COUNTIF('Raw Courses'!$A:$A,C324)&gt;0,"Valid","Invalid Course ID"))</f>
        <v/>
      </c>
      <c r="H324" t="str">
        <f t="shared" si="8"/>
        <v/>
      </c>
      <c r="I324" t="str">
        <f t="shared" si="9"/>
        <v/>
      </c>
    </row>
    <row r="325" spans="1:9" x14ac:dyDescent="0.3">
      <c r="A325" t="str">
        <f>IF('Raw Enrollments'!A325="","",'Raw Enrollments'!A325)</f>
        <v/>
      </c>
      <c r="B325" t="str">
        <f>IF('Raw Enrollments'!B325="","",'Raw Enrollments'!B325)</f>
        <v/>
      </c>
      <c r="C325" t="str">
        <f>IF('Raw Enrollments'!C325="","",'Raw Enrollments'!C325)</f>
        <v/>
      </c>
      <c r="D325" t="str">
        <f>IF('Raw Enrollments'!D325="","",'Raw Enrollments'!D325)</f>
        <v/>
      </c>
      <c r="E325" t="str">
        <f>IF('Raw Enrollments'!E325="","",'Raw Enrollments'!E325)</f>
        <v/>
      </c>
      <c r="F325" t="str">
        <f>IF(B325="","",IF(COUNTIF(#REF!,B325)&gt;0,"Valid","Invalid Student ID"))</f>
        <v/>
      </c>
      <c r="G325" t="str">
        <f>IF(C325="","",IF(COUNTIF('Raw Courses'!$A:$A,C325)&gt;0,"Valid","Invalid Course ID"))</f>
        <v/>
      </c>
      <c r="H325" t="str">
        <f t="shared" ref="H325:H388" si="10">IF(A325="","",IF(COUNTIF($A$5:$A$504,A325)&gt;1,"Duplicate","Unique"))</f>
        <v/>
      </c>
      <c r="I325" t="str">
        <f t="shared" ref="I325:I388" si="11">IF(A325="","",IF(OR(F325="Invalid Student ID",G325="Invalid Course ID",H325="Duplicate",D325="",E325=""),"Review","Pass"))</f>
        <v/>
      </c>
    </row>
    <row r="326" spans="1:9" x14ac:dyDescent="0.3">
      <c r="A326" t="str">
        <f>IF('Raw Enrollments'!A326="","",'Raw Enrollments'!A326)</f>
        <v/>
      </c>
      <c r="B326" t="str">
        <f>IF('Raw Enrollments'!B326="","",'Raw Enrollments'!B326)</f>
        <v/>
      </c>
      <c r="C326" t="str">
        <f>IF('Raw Enrollments'!C326="","",'Raw Enrollments'!C326)</f>
        <v/>
      </c>
      <c r="D326" t="str">
        <f>IF('Raw Enrollments'!D326="","",'Raw Enrollments'!D326)</f>
        <v/>
      </c>
      <c r="E326" t="str">
        <f>IF('Raw Enrollments'!E326="","",'Raw Enrollments'!E326)</f>
        <v/>
      </c>
      <c r="F326" t="str">
        <f>IF(B326="","",IF(COUNTIF(#REF!,B326)&gt;0,"Valid","Invalid Student ID"))</f>
        <v/>
      </c>
      <c r="G326" t="str">
        <f>IF(C326="","",IF(COUNTIF('Raw Courses'!$A:$A,C326)&gt;0,"Valid","Invalid Course ID"))</f>
        <v/>
      </c>
      <c r="H326" t="str">
        <f t="shared" si="10"/>
        <v/>
      </c>
      <c r="I326" t="str">
        <f t="shared" si="11"/>
        <v/>
      </c>
    </row>
    <row r="327" spans="1:9" x14ac:dyDescent="0.3">
      <c r="A327" t="str">
        <f>IF('Raw Enrollments'!A327="","",'Raw Enrollments'!A327)</f>
        <v/>
      </c>
      <c r="B327" t="str">
        <f>IF('Raw Enrollments'!B327="","",'Raw Enrollments'!B327)</f>
        <v/>
      </c>
      <c r="C327" t="str">
        <f>IF('Raw Enrollments'!C327="","",'Raw Enrollments'!C327)</f>
        <v/>
      </c>
      <c r="D327" t="str">
        <f>IF('Raw Enrollments'!D327="","",'Raw Enrollments'!D327)</f>
        <v/>
      </c>
      <c r="E327" t="str">
        <f>IF('Raw Enrollments'!E327="","",'Raw Enrollments'!E327)</f>
        <v/>
      </c>
      <c r="F327" t="str">
        <f>IF(B327="","",IF(COUNTIF(#REF!,B327)&gt;0,"Valid","Invalid Student ID"))</f>
        <v/>
      </c>
      <c r="G327" t="str">
        <f>IF(C327="","",IF(COUNTIF('Raw Courses'!$A:$A,C327)&gt;0,"Valid","Invalid Course ID"))</f>
        <v/>
      </c>
      <c r="H327" t="str">
        <f t="shared" si="10"/>
        <v/>
      </c>
      <c r="I327" t="str">
        <f t="shared" si="11"/>
        <v/>
      </c>
    </row>
    <row r="328" spans="1:9" x14ac:dyDescent="0.3">
      <c r="A328" t="str">
        <f>IF('Raw Enrollments'!A328="","",'Raw Enrollments'!A328)</f>
        <v/>
      </c>
      <c r="B328" t="str">
        <f>IF('Raw Enrollments'!B328="","",'Raw Enrollments'!B328)</f>
        <v/>
      </c>
      <c r="C328" t="str">
        <f>IF('Raw Enrollments'!C328="","",'Raw Enrollments'!C328)</f>
        <v/>
      </c>
      <c r="D328" t="str">
        <f>IF('Raw Enrollments'!D328="","",'Raw Enrollments'!D328)</f>
        <v/>
      </c>
      <c r="E328" t="str">
        <f>IF('Raw Enrollments'!E328="","",'Raw Enrollments'!E328)</f>
        <v/>
      </c>
      <c r="F328" t="str">
        <f>IF(B328="","",IF(COUNTIF(#REF!,B328)&gt;0,"Valid","Invalid Student ID"))</f>
        <v/>
      </c>
      <c r="G328" t="str">
        <f>IF(C328="","",IF(COUNTIF('Raw Courses'!$A:$A,C328)&gt;0,"Valid","Invalid Course ID"))</f>
        <v/>
      </c>
      <c r="H328" t="str">
        <f t="shared" si="10"/>
        <v/>
      </c>
      <c r="I328" t="str">
        <f t="shared" si="11"/>
        <v/>
      </c>
    </row>
    <row r="329" spans="1:9" x14ac:dyDescent="0.3">
      <c r="A329" t="str">
        <f>IF('Raw Enrollments'!A329="","",'Raw Enrollments'!A329)</f>
        <v/>
      </c>
      <c r="B329" t="str">
        <f>IF('Raw Enrollments'!B329="","",'Raw Enrollments'!B329)</f>
        <v/>
      </c>
      <c r="C329" t="str">
        <f>IF('Raw Enrollments'!C329="","",'Raw Enrollments'!C329)</f>
        <v/>
      </c>
      <c r="D329" t="str">
        <f>IF('Raw Enrollments'!D329="","",'Raw Enrollments'!D329)</f>
        <v/>
      </c>
      <c r="E329" t="str">
        <f>IF('Raw Enrollments'!E329="","",'Raw Enrollments'!E329)</f>
        <v/>
      </c>
      <c r="F329" t="str">
        <f>IF(B329="","",IF(COUNTIF(#REF!,B329)&gt;0,"Valid","Invalid Student ID"))</f>
        <v/>
      </c>
      <c r="G329" t="str">
        <f>IF(C329="","",IF(COUNTIF('Raw Courses'!$A:$A,C329)&gt;0,"Valid","Invalid Course ID"))</f>
        <v/>
      </c>
      <c r="H329" t="str">
        <f t="shared" si="10"/>
        <v/>
      </c>
      <c r="I329" t="str">
        <f t="shared" si="11"/>
        <v/>
      </c>
    </row>
    <row r="330" spans="1:9" x14ac:dyDescent="0.3">
      <c r="A330" t="str">
        <f>IF('Raw Enrollments'!A330="","",'Raw Enrollments'!A330)</f>
        <v/>
      </c>
      <c r="B330" t="str">
        <f>IF('Raw Enrollments'!B330="","",'Raw Enrollments'!B330)</f>
        <v/>
      </c>
      <c r="C330" t="str">
        <f>IF('Raw Enrollments'!C330="","",'Raw Enrollments'!C330)</f>
        <v/>
      </c>
      <c r="D330" t="str">
        <f>IF('Raw Enrollments'!D330="","",'Raw Enrollments'!D330)</f>
        <v/>
      </c>
      <c r="E330" t="str">
        <f>IF('Raw Enrollments'!E330="","",'Raw Enrollments'!E330)</f>
        <v/>
      </c>
      <c r="F330" t="str">
        <f>IF(B330="","",IF(COUNTIF(#REF!,B330)&gt;0,"Valid","Invalid Student ID"))</f>
        <v/>
      </c>
      <c r="G330" t="str">
        <f>IF(C330="","",IF(COUNTIF('Raw Courses'!$A:$A,C330)&gt;0,"Valid","Invalid Course ID"))</f>
        <v/>
      </c>
      <c r="H330" t="str">
        <f t="shared" si="10"/>
        <v/>
      </c>
      <c r="I330" t="str">
        <f t="shared" si="11"/>
        <v/>
      </c>
    </row>
    <row r="331" spans="1:9" x14ac:dyDescent="0.3">
      <c r="A331" t="str">
        <f>IF('Raw Enrollments'!A331="","",'Raw Enrollments'!A331)</f>
        <v/>
      </c>
      <c r="B331" t="str">
        <f>IF('Raw Enrollments'!B331="","",'Raw Enrollments'!B331)</f>
        <v/>
      </c>
      <c r="C331" t="str">
        <f>IF('Raw Enrollments'!C331="","",'Raw Enrollments'!C331)</f>
        <v/>
      </c>
      <c r="D331" t="str">
        <f>IF('Raw Enrollments'!D331="","",'Raw Enrollments'!D331)</f>
        <v/>
      </c>
      <c r="E331" t="str">
        <f>IF('Raw Enrollments'!E331="","",'Raw Enrollments'!E331)</f>
        <v/>
      </c>
      <c r="F331" t="str">
        <f>IF(B331="","",IF(COUNTIF(#REF!,B331)&gt;0,"Valid","Invalid Student ID"))</f>
        <v/>
      </c>
      <c r="G331" t="str">
        <f>IF(C331="","",IF(COUNTIF('Raw Courses'!$A:$A,C331)&gt;0,"Valid","Invalid Course ID"))</f>
        <v/>
      </c>
      <c r="H331" t="str">
        <f t="shared" si="10"/>
        <v/>
      </c>
      <c r="I331" t="str">
        <f t="shared" si="11"/>
        <v/>
      </c>
    </row>
    <row r="332" spans="1:9" x14ac:dyDescent="0.3">
      <c r="A332" t="str">
        <f>IF('Raw Enrollments'!A332="","",'Raw Enrollments'!A332)</f>
        <v/>
      </c>
      <c r="B332" t="str">
        <f>IF('Raw Enrollments'!B332="","",'Raw Enrollments'!B332)</f>
        <v/>
      </c>
      <c r="C332" t="str">
        <f>IF('Raw Enrollments'!C332="","",'Raw Enrollments'!C332)</f>
        <v/>
      </c>
      <c r="D332" t="str">
        <f>IF('Raw Enrollments'!D332="","",'Raw Enrollments'!D332)</f>
        <v/>
      </c>
      <c r="E332" t="str">
        <f>IF('Raw Enrollments'!E332="","",'Raw Enrollments'!E332)</f>
        <v/>
      </c>
      <c r="F332" t="str">
        <f>IF(B332="","",IF(COUNTIF(#REF!,B332)&gt;0,"Valid","Invalid Student ID"))</f>
        <v/>
      </c>
      <c r="G332" t="str">
        <f>IF(C332="","",IF(COUNTIF('Raw Courses'!$A:$A,C332)&gt;0,"Valid","Invalid Course ID"))</f>
        <v/>
      </c>
      <c r="H332" t="str">
        <f t="shared" si="10"/>
        <v/>
      </c>
      <c r="I332" t="str">
        <f t="shared" si="11"/>
        <v/>
      </c>
    </row>
    <row r="333" spans="1:9" x14ac:dyDescent="0.3">
      <c r="A333" t="str">
        <f>IF('Raw Enrollments'!A333="","",'Raw Enrollments'!A333)</f>
        <v/>
      </c>
      <c r="B333" t="str">
        <f>IF('Raw Enrollments'!B333="","",'Raw Enrollments'!B333)</f>
        <v/>
      </c>
      <c r="C333" t="str">
        <f>IF('Raw Enrollments'!C333="","",'Raw Enrollments'!C333)</f>
        <v/>
      </c>
      <c r="D333" t="str">
        <f>IF('Raw Enrollments'!D333="","",'Raw Enrollments'!D333)</f>
        <v/>
      </c>
      <c r="E333" t="str">
        <f>IF('Raw Enrollments'!E333="","",'Raw Enrollments'!E333)</f>
        <v/>
      </c>
      <c r="F333" t="str">
        <f>IF(B333="","",IF(COUNTIF(#REF!,B333)&gt;0,"Valid","Invalid Student ID"))</f>
        <v/>
      </c>
      <c r="G333" t="str">
        <f>IF(C333="","",IF(COUNTIF('Raw Courses'!$A:$A,C333)&gt;0,"Valid","Invalid Course ID"))</f>
        <v/>
      </c>
      <c r="H333" t="str">
        <f t="shared" si="10"/>
        <v/>
      </c>
      <c r="I333" t="str">
        <f t="shared" si="11"/>
        <v/>
      </c>
    </row>
    <row r="334" spans="1:9" x14ac:dyDescent="0.3">
      <c r="A334" t="str">
        <f>IF('Raw Enrollments'!A334="","",'Raw Enrollments'!A334)</f>
        <v/>
      </c>
      <c r="B334" t="str">
        <f>IF('Raw Enrollments'!B334="","",'Raw Enrollments'!B334)</f>
        <v/>
      </c>
      <c r="C334" t="str">
        <f>IF('Raw Enrollments'!C334="","",'Raw Enrollments'!C334)</f>
        <v/>
      </c>
      <c r="D334" t="str">
        <f>IF('Raw Enrollments'!D334="","",'Raw Enrollments'!D334)</f>
        <v/>
      </c>
      <c r="E334" t="str">
        <f>IF('Raw Enrollments'!E334="","",'Raw Enrollments'!E334)</f>
        <v/>
      </c>
      <c r="F334" t="str">
        <f>IF(B334="","",IF(COUNTIF(#REF!,B334)&gt;0,"Valid","Invalid Student ID"))</f>
        <v/>
      </c>
      <c r="G334" t="str">
        <f>IF(C334="","",IF(COUNTIF('Raw Courses'!$A:$A,C334)&gt;0,"Valid","Invalid Course ID"))</f>
        <v/>
      </c>
      <c r="H334" t="str">
        <f t="shared" si="10"/>
        <v/>
      </c>
      <c r="I334" t="str">
        <f t="shared" si="11"/>
        <v/>
      </c>
    </row>
    <row r="335" spans="1:9" x14ac:dyDescent="0.3">
      <c r="A335" t="str">
        <f>IF('Raw Enrollments'!A335="","",'Raw Enrollments'!A335)</f>
        <v/>
      </c>
      <c r="B335" t="str">
        <f>IF('Raw Enrollments'!B335="","",'Raw Enrollments'!B335)</f>
        <v/>
      </c>
      <c r="C335" t="str">
        <f>IF('Raw Enrollments'!C335="","",'Raw Enrollments'!C335)</f>
        <v/>
      </c>
      <c r="D335" t="str">
        <f>IF('Raw Enrollments'!D335="","",'Raw Enrollments'!D335)</f>
        <v/>
      </c>
      <c r="E335" t="str">
        <f>IF('Raw Enrollments'!E335="","",'Raw Enrollments'!E335)</f>
        <v/>
      </c>
      <c r="F335" t="str">
        <f>IF(B335="","",IF(COUNTIF(#REF!,B335)&gt;0,"Valid","Invalid Student ID"))</f>
        <v/>
      </c>
      <c r="G335" t="str">
        <f>IF(C335="","",IF(COUNTIF('Raw Courses'!$A:$A,C335)&gt;0,"Valid","Invalid Course ID"))</f>
        <v/>
      </c>
      <c r="H335" t="str">
        <f t="shared" si="10"/>
        <v/>
      </c>
      <c r="I335" t="str">
        <f t="shared" si="11"/>
        <v/>
      </c>
    </row>
    <row r="336" spans="1:9" x14ac:dyDescent="0.3">
      <c r="A336" t="str">
        <f>IF('Raw Enrollments'!A336="","",'Raw Enrollments'!A336)</f>
        <v/>
      </c>
      <c r="B336" t="str">
        <f>IF('Raw Enrollments'!B336="","",'Raw Enrollments'!B336)</f>
        <v/>
      </c>
      <c r="C336" t="str">
        <f>IF('Raw Enrollments'!C336="","",'Raw Enrollments'!C336)</f>
        <v/>
      </c>
      <c r="D336" t="str">
        <f>IF('Raw Enrollments'!D336="","",'Raw Enrollments'!D336)</f>
        <v/>
      </c>
      <c r="E336" t="str">
        <f>IF('Raw Enrollments'!E336="","",'Raw Enrollments'!E336)</f>
        <v/>
      </c>
      <c r="F336" t="str">
        <f>IF(B336="","",IF(COUNTIF(#REF!,B336)&gt;0,"Valid","Invalid Student ID"))</f>
        <v/>
      </c>
      <c r="G336" t="str">
        <f>IF(C336="","",IF(COUNTIF('Raw Courses'!$A:$A,C336)&gt;0,"Valid","Invalid Course ID"))</f>
        <v/>
      </c>
      <c r="H336" t="str">
        <f t="shared" si="10"/>
        <v/>
      </c>
      <c r="I336" t="str">
        <f t="shared" si="11"/>
        <v/>
      </c>
    </row>
    <row r="337" spans="1:9" x14ac:dyDescent="0.3">
      <c r="A337" t="str">
        <f>IF('Raw Enrollments'!A337="","",'Raw Enrollments'!A337)</f>
        <v/>
      </c>
      <c r="B337" t="str">
        <f>IF('Raw Enrollments'!B337="","",'Raw Enrollments'!B337)</f>
        <v/>
      </c>
      <c r="C337" t="str">
        <f>IF('Raw Enrollments'!C337="","",'Raw Enrollments'!C337)</f>
        <v/>
      </c>
      <c r="D337" t="str">
        <f>IF('Raw Enrollments'!D337="","",'Raw Enrollments'!D337)</f>
        <v/>
      </c>
      <c r="E337" t="str">
        <f>IF('Raw Enrollments'!E337="","",'Raw Enrollments'!E337)</f>
        <v/>
      </c>
      <c r="F337" t="str">
        <f>IF(B337="","",IF(COUNTIF(#REF!,B337)&gt;0,"Valid","Invalid Student ID"))</f>
        <v/>
      </c>
      <c r="G337" t="str">
        <f>IF(C337="","",IF(COUNTIF('Raw Courses'!$A:$A,C337)&gt;0,"Valid","Invalid Course ID"))</f>
        <v/>
      </c>
      <c r="H337" t="str">
        <f t="shared" si="10"/>
        <v/>
      </c>
      <c r="I337" t="str">
        <f t="shared" si="11"/>
        <v/>
      </c>
    </row>
    <row r="338" spans="1:9" x14ac:dyDescent="0.3">
      <c r="A338" t="str">
        <f>IF('Raw Enrollments'!A338="","",'Raw Enrollments'!A338)</f>
        <v/>
      </c>
      <c r="B338" t="str">
        <f>IF('Raw Enrollments'!B338="","",'Raw Enrollments'!B338)</f>
        <v/>
      </c>
      <c r="C338" t="str">
        <f>IF('Raw Enrollments'!C338="","",'Raw Enrollments'!C338)</f>
        <v/>
      </c>
      <c r="D338" t="str">
        <f>IF('Raw Enrollments'!D338="","",'Raw Enrollments'!D338)</f>
        <v/>
      </c>
      <c r="E338" t="str">
        <f>IF('Raw Enrollments'!E338="","",'Raw Enrollments'!E338)</f>
        <v/>
      </c>
      <c r="F338" t="str">
        <f>IF(B338="","",IF(COUNTIF(#REF!,B338)&gt;0,"Valid","Invalid Student ID"))</f>
        <v/>
      </c>
      <c r="G338" t="str">
        <f>IF(C338="","",IF(COUNTIF('Raw Courses'!$A:$A,C338)&gt;0,"Valid","Invalid Course ID"))</f>
        <v/>
      </c>
      <c r="H338" t="str">
        <f t="shared" si="10"/>
        <v/>
      </c>
      <c r="I338" t="str">
        <f t="shared" si="11"/>
        <v/>
      </c>
    </row>
    <row r="339" spans="1:9" x14ac:dyDescent="0.3">
      <c r="A339" t="str">
        <f>IF('Raw Enrollments'!A339="","",'Raw Enrollments'!A339)</f>
        <v/>
      </c>
      <c r="B339" t="str">
        <f>IF('Raw Enrollments'!B339="","",'Raw Enrollments'!B339)</f>
        <v/>
      </c>
      <c r="C339" t="str">
        <f>IF('Raw Enrollments'!C339="","",'Raw Enrollments'!C339)</f>
        <v/>
      </c>
      <c r="D339" t="str">
        <f>IF('Raw Enrollments'!D339="","",'Raw Enrollments'!D339)</f>
        <v/>
      </c>
      <c r="E339" t="str">
        <f>IF('Raw Enrollments'!E339="","",'Raw Enrollments'!E339)</f>
        <v/>
      </c>
      <c r="F339" t="str">
        <f>IF(B339="","",IF(COUNTIF(#REF!,B339)&gt;0,"Valid","Invalid Student ID"))</f>
        <v/>
      </c>
      <c r="G339" t="str">
        <f>IF(C339="","",IF(COUNTIF('Raw Courses'!$A:$A,C339)&gt;0,"Valid","Invalid Course ID"))</f>
        <v/>
      </c>
      <c r="H339" t="str">
        <f t="shared" si="10"/>
        <v/>
      </c>
      <c r="I339" t="str">
        <f t="shared" si="11"/>
        <v/>
      </c>
    </row>
    <row r="340" spans="1:9" x14ac:dyDescent="0.3">
      <c r="A340" t="str">
        <f>IF('Raw Enrollments'!A340="","",'Raw Enrollments'!A340)</f>
        <v/>
      </c>
      <c r="B340" t="str">
        <f>IF('Raw Enrollments'!B340="","",'Raw Enrollments'!B340)</f>
        <v/>
      </c>
      <c r="C340" t="str">
        <f>IF('Raw Enrollments'!C340="","",'Raw Enrollments'!C340)</f>
        <v/>
      </c>
      <c r="D340" t="str">
        <f>IF('Raw Enrollments'!D340="","",'Raw Enrollments'!D340)</f>
        <v/>
      </c>
      <c r="E340" t="str">
        <f>IF('Raw Enrollments'!E340="","",'Raw Enrollments'!E340)</f>
        <v/>
      </c>
      <c r="F340" t="str">
        <f>IF(B340="","",IF(COUNTIF(#REF!,B340)&gt;0,"Valid","Invalid Student ID"))</f>
        <v/>
      </c>
      <c r="G340" t="str">
        <f>IF(C340="","",IF(COUNTIF('Raw Courses'!$A:$A,C340)&gt;0,"Valid","Invalid Course ID"))</f>
        <v/>
      </c>
      <c r="H340" t="str">
        <f t="shared" si="10"/>
        <v/>
      </c>
      <c r="I340" t="str">
        <f t="shared" si="11"/>
        <v/>
      </c>
    </row>
    <row r="341" spans="1:9" x14ac:dyDescent="0.3">
      <c r="A341" t="str">
        <f>IF('Raw Enrollments'!A341="","",'Raw Enrollments'!A341)</f>
        <v/>
      </c>
      <c r="B341" t="str">
        <f>IF('Raw Enrollments'!B341="","",'Raw Enrollments'!B341)</f>
        <v/>
      </c>
      <c r="C341" t="str">
        <f>IF('Raw Enrollments'!C341="","",'Raw Enrollments'!C341)</f>
        <v/>
      </c>
      <c r="D341" t="str">
        <f>IF('Raw Enrollments'!D341="","",'Raw Enrollments'!D341)</f>
        <v/>
      </c>
      <c r="E341" t="str">
        <f>IF('Raw Enrollments'!E341="","",'Raw Enrollments'!E341)</f>
        <v/>
      </c>
      <c r="F341" t="str">
        <f>IF(B341="","",IF(COUNTIF(#REF!,B341)&gt;0,"Valid","Invalid Student ID"))</f>
        <v/>
      </c>
      <c r="G341" t="str">
        <f>IF(C341="","",IF(COUNTIF('Raw Courses'!$A:$A,C341)&gt;0,"Valid","Invalid Course ID"))</f>
        <v/>
      </c>
      <c r="H341" t="str">
        <f t="shared" si="10"/>
        <v/>
      </c>
      <c r="I341" t="str">
        <f t="shared" si="11"/>
        <v/>
      </c>
    </row>
    <row r="342" spans="1:9" x14ac:dyDescent="0.3">
      <c r="A342" t="str">
        <f>IF('Raw Enrollments'!A342="","",'Raw Enrollments'!A342)</f>
        <v/>
      </c>
      <c r="B342" t="str">
        <f>IF('Raw Enrollments'!B342="","",'Raw Enrollments'!B342)</f>
        <v/>
      </c>
      <c r="C342" t="str">
        <f>IF('Raw Enrollments'!C342="","",'Raw Enrollments'!C342)</f>
        <v/>
      </c>
      <c r="D342" t="str">
        <f>IF('Raw Enrollments'!D342="","",'Raw Enrollments'!D342)</f>
        <v/>
      </c>
      <c r="E342" t="str">
        <f>IF('Raw Enrollments'!E342="","",'Raw Enrollments'!E342)</f>
        <v/>
      </c>
      <c r="F342" t="str">
        <f>IF(B342="","",IF(COUNTIF(#REF!,B342)&gt;0,"Valid","Invalid Student ID"))</f>
        <v/>
      </c>
      <c r="G342" t="str">
        <f>IF(C342="","",IF(COUNTIF('Raw Courses'!$A:$A,C342)&gt;0,"Valid","Invalid Course ID"))</f>
        <v/>
      </c>
      <c r="H342" t="str">
        <f t="shared" si="10"/>
        <v/>
      </c>
      <c r="I342" t="str">
        <f t="shared" si="11"/>
        <v/>
      </c>
    </row>
    <row r="343" spans="1:9" x14ac:dyDescent="0.3">
      <c r="A343" t="str">
        <f>IF('Raw Enrollments'!A343="","",'Raw Enrollments'!A343)</f>
        <v/>
      </c>
      <c r="B343" t="str">
        <f>IF('Raw Enrollments'!B343="","",'Raw Enrollments'!B343)</f>
        <v/>
      </c>
      <c r="C343" t="str">
        <f>IF('Raw Enrollments'!C343="","",'Raw Enrollments'!C343)</f>
        <v/>
      </c>
      <c r="D343" t="str">
        <f>IF('Raw Enrollments'!D343="","",'Raw Enrollments'!D343)</f>
        <v/>
      </c>
      <c r="E343" t="str">
        <f>IF('Raw Enrollments'!E343="","",'Raw Enrollments'!E343)</f>
        <v/>
      </c>
      <c r="F343" t="str">
        <f>IF(B343="","",IF(COUNTIF(#REF!,B343)&gt;0,"Valid","Invalid Student ID"))</f>
        <v/>
      </c>
      <c r="G343" t="str">
        <f>IF(C343="","",IF(COUNTIF('Raw Courses'!$A:$A,C343)&gt;0,"Valid","Invalid Course ID"))</f>
        <v/>
      </c>
      <c r="H343" t="str">
        <f t="shared" si="10"/>
        <v/>
      </c>
      <c r="I343" t="str">
        <f t="shared" si="11"/>
        <v/>
      </c>
    </row>
    <row r="344" spans="1:9" x14ac:dyDescent="0.3">
      <c r="A344" t="str">
        <f>IF('Raw Enrollments'!A344="","",'Raw Enrollments'!A344)</f>
        <v/>
      </c>
      <c r="B344" t="str">
        <f>IF('Raw Enrollments'!B344="","",'Raw Enrollments'!B344)</f>
        <v/>
      </c>
      <c r="C344" t="str">
        <f>IF('Raw Enrollments'!C344="","",'Raw Enrollments'!C344)</f>
        <v/>
      </c>
      <c r="D344" t="str">
        <f>IF('Raw Enrollments'!D344="","",'Raw Enrollments'!D344)</f>
        <v/>
      </c>
      <c r="E344" t="str">
        <f>IF('Raw Enrollments'!E344="","",'Raw Enrollments'!E344)</f>
        <v/>
      </c>
      <c r="F344" t="str">
        <f>IF(B344="","",IF(COUNTIF(#REF!,B344)&gt;0,"Valid","Invalid Student ID"))</f>
        <v/>
      </c>
      <c r="G344" t="str">
        <f>IF(C344="","",IF(COUNTIF('Raw Courses'!$A:$A,C344)&gt;0,"Valid","Invalid Course ID"))</f>
        <v/>
      </c>
      <c r="H344" t="str">
        <f t="shared" si="10"/>
        <v/>
      </c>
      <c r="I344" t="str">
        <f t="shared" si="11"/>
        <v/>
      </c>
    </row>
    <row r="345" spans="1:9" x14ac:dyDescent="0.3">
      <c r="A345" t="str">
        <f>IF('Raw Enrollments'!A345="","",'Raw Enrollments'!A345)</f>
        <v/>
      </c>
      <c r="B345" t="str">
        <f>IF('Raw Enrollments'!B345="","",'Raw Enrollments'!B345)</f>
        <v/>
      </c>
      <c r="C345" t="str">
        <f>IF('Raw Enrollments'!C345="","",'Raw Enrollments'!C345)</f>
        <v/>
      </c>
      <c r="D345" t="str">
        <f>IF('Raw Enrollments'!D345="","",'Raw Enrollments'!D345)</f>
        <v/>
      </c>
      <c r="E345" t="str">
        <f>IF('Raw Enrollments'!E345="","",'Raw Enrollments'!E345)</f>
        <v/>
      </c>
      <c r="F345" t="str">
        <f>IF(B345="","",IF(COUNTIF(#REF!,B345)&gt;0,"Valid","Invalid Student ID"))</f>
        <v/>
      </c>
      <c r="G345" t="str">
        <f>IF(C345="","",IF(COUNTIF('Raw Courses'!$A:$A,C345)&gt;0,"Valid","Invalid Course ID"))</f>
        <v/>
      </c>
      <c r="H345" t="str">
        <f t="shared" si="10"/>
        <v/>
      </c>
      <c r="I345" t="str">
        <f t="shared" si="11"/>
        <v/>
      </c>
    </row>
    <row r="346" spans="1:9" x14ac:dyDescent="0.3">
      <c r="A346" t="str">
        <f>IF('Raw Enrollments'!A346="","",'Raw Enrollments'!A346)</f>
        <v/>
      </c>
      <c r="B346" t="str">
        <f>IF('Raw Enrollments'!B346="","",'Raw Enrollments'!B346)</f>
        <v/>
      </c>
      <c r="C346" t="str">
        <f>IF('Raw Enrollments'!C346="","",'Raw Enrollments'!C346)</f>
        <v/>
      </c>
      <c r="D346" t="str">
        <f>IF('Raw Enrollments'!D346="","",'Raw Enrollments'!D346)</f>
        <v/>
      </c>
      <c r="E346" t="str">
        <f>IF('Raw Enrollments'!E346="","",'Raw Enrollments'!E346)</f>
        <v/>
      </c>
      <c r="F346" t="str">
        <f>IF(B346="","",IF(COUNTIF(#REF!,B346)&gt;0,"Valid","Invalid Student ID"))</f>
        <v/>
      </c>
      <c r="G346" t="str">
        <f>IF(C346="","",IF(COUNTIF('Raw Courses'!$A:$A,C346)&gt;0,"Valid","Invalid Course ID"))</f>
        <v/>
      </c>
      <c r="H346" t="str">
        <f t="shared" si="10"/>
        <v/>
      </c>
      <c r="I346" t="str">
        <f t="shared" si="11"/>
        <v/>
      </c>
    </row>
    <row r="347" spans="1:9" x14ac:dyDescent="0.3">
      <c r="A347" t="str">
        <f>IF('Raw Enrollments'!A347="","",'Raw Enrollments'!A347)</f>
        <v/>
      </c>
      <c r="B347" t="str">
        <f>IF('Raw Enrollments'!B347="","",'Raw Enrollments'!B347)</f>
        <v/>
      </c>
      <c r="C347" t="str">
        <f>IF('Raw Enrollments'!C347="","",'Raw Enrollments'!C347)</f>
        <v/>
      </c>
      <c r="D347" t="str">
        <f>IF('Raw Enrollments'!D347="","",'Raw Enrollments'!D347)</f>
        <v/>
      </c>
      <c r="E347" t="str">
        <f>IF('Raw Enrollments'!E347="","",'Raw Enrollments'!E347)</f>
        <v/>
      </c>
      <c r="F347" t="str">
        <f>IF(B347="","",IF(COUNTIF(#REF!,B347)&gt;0,"Valid","Invalid Student ID"))</f>
        <v/>
      </c>
      <c r="G347" t="str">
        <f>IF(C347="","",IF(COUNTIF('Raw Courses'!$A:$A,C347)&gt;0,"Valid","Invalid Course ID"))</f>
        <v/>
      </c>
      <c r="H347" t="str">
        <f t="shared" si="10"/>
        <v/>
      </c>
      <c r="I347" t="str">
        <f t="shared" si="11"/>
        <v/>
      </c>
    </row>
    <row r="348" spans="1:9" x14ac:dyDescent="0.3">
      <c r="A348" t="str">
        <f>IF('Raw Enrollments'!A348="","",'Raw Enrollments'!A348)</f>
        <v/>
      </c>
      <c r="B348" t="str">
        <f>IF('Raw Enrollments'!B348="","",'Raw Enrollments'!B348)</f>
        <v/>
      </c>
      <c r="C348" t="str">
        <f>IF('Raw Enrollments'!C348="","",'Raw Enrollments'!C348)</f>
        <v/>
      </c>
      <c r="D348" t="str">
        <f>IF('Raw Enrollments'!D348="","",'Raw Enrollments'!D348)</f>
        <v/>
      </c>
      <c r="E348" t="str">
        <f>IF('Raw Enrollments'!E348="","",'Raw Enrollments'!E348)</f>
        <v/>
      </c>
      <c r="F348" t="str">
        <f>IF(B348="","",IF(COUNTIF(#REF!,B348)&gt;0,"Valid","Invalid Student ID"))</f>
        <v/>
      </c>
      <c r="G348" t="str">
        <f>IF(C348="","",IF(COUNTIF('Raw Courses'!$A:$A,C348)&gt;0,"Valid","Invalid Course ID"))</f>
        <v/>
      </c>
      <c r="H348" t="str">
        <f t="shared" si="10"/>
        <v/>
      </c>
      <c r="I348" t="str">
        <f t="shared" si="11"/>
        <v/>
      </c>
    </row>
    <row r="349" spans="1:9" x14ac:dyDescent="0.3">
      <c r="A349" t="str">
        <f>IF('Raw Enrollments'!A349="","",'Raw Enrollments'!A349)</f>
        <v/>
      </c>
      <c r="B349" t="str">
        <f>IF('Raw Enrollments'!B349="","",'Raw Enrollments'!B349)</f>
        <v/>
      </c>
      <c r="C349" t="str">
        <f>IF('Raw Enrollments'!C349="","",'Raw Enrollments'!C349)</f>
        <v/>
      </c>
      <c r="D349" t="str">
        <f>IF('Raw Enrollments'!D349="","",'Raw Enrollments'!D349)</f>
        <v/>
      </c>
      <c r="E349" t="str">
        <f>IF('Raw Enrollments'!E349="","",'Raw Enrollments'!E349)</f>
        <v/>
      </c>
      <c r="F349" t="str">
        <f>IF(B349="","",IF(COUNTIF(#REF!,B349)&gt;0,"Valid","Invalid Student ID"))</f>
        <v/>
      </c>
      <c r="G349" t="str">
        <f>IF(C349="","",IF(COUNTIF('Raw Courses'!$A:$A,C349)&gt;0,"Valid","Invalid Course ID"))</f>
        <v/>
      </c>
      <c r="H349" t="str">
        <f t="shared" si="10"/>
        <v/>
      </c>
      <c r="I349" t="str">
        <f t="shared" si="11"/>
        <v/>
      </c>
    </row>
    <row r="350" spans="1:9" x14ac:dyDescent="0.3">
      <c r="A350" t="str">
        <f>IF('Raw Enrollments'!A350="","",'Raw Enrollments'!A350)</f>
        <v/>
      </c>
      <c r="B350" t="str">
        <f>IF('Raw Enrollments'!B350="","",'Raw Enrollments'!B350)</f>
        <v/>
      </c>
      <c r="C350" t="str">
        <f>IF('Raw Enrollments'!C350="","",'Raw Enrollments'!C350)</f>
        <v/>
      </c>
      <c r="D350" t="str">
        <f>IF('Raw Enrollments'!D350="","",'Raw Enrollments'!D350)</f>
        <v/>
      </c>
      <c r="E350" t="str">
        <f>IF('Raw Enrollments'!E350="","",'Raw Enrollments'!E350)</f>
        <v/>
      </c>
      <c r="F350" t="str">
        <f>IF(B350="","",IF(COUNTIF(#REF!,B350)&gt;0,"Valid","Invalid Student ID"))</f>
        <v/>
      </c>
      <c r="G350" t="str">
        <f>IF(C350="","",IF(COUNTIF('Raw Courses'!$A:$A,C350)&gt;0,"Valid","Invalid Course ID"))</f>
        <v/>
      </c>
      <c r="H350" t="str">
        <f t="shared" si="10"/>
        <v/>
      </c>
      <c r="I350" t="str">
        <f t="shared" si="11"/>
        <v/>
      </c>
    </row>
    <row r="351" spans="1:9" x14ac:dyDescent="0.3">
      <c r="A351" t="str">
        <f>IF('Raw Enrollments'!A351="","",'Raw Enrollments'!A351)</f>
        <v/>
      </c>
      <c r="B351" t="str">
        <f>IF('Raw Enrollments'!B351="","",'Raw Enrollments'!B351)</f>
        <v/>
      </c>
      <c r="C351" t="str">
        <f>IF('Raw Enrollments'!C351="","",'Raw Enrollments'!C351)</f>
        <v/>
      </c>
      <c r="D351" t="str">
        <f>IF('Raw Enrollments'!D351="","",'Raw Enrollments'!D351)</f>
        <v/>
      </c>
      <c r="E351" t="str">
        <f>IF('Raw Enrollments'!E351="","",'Raw Enrollments'!E351)</f>
        <v/>
      </c>
      <c r="F351" t="str">
        <f>IF(B351="","",IF(COUNTIF(#REF!,B351)&gt;0,"Valid","Invalid Student ID"))</f>
        <v/>
      </c>
      <c r="G351" t="str">
        <f>IF(C351="","",IF(COUNTIF('Raw Courses'!$A:$A,C351)&gt;0,"Valid","Invalid Course ID"))</f>
        <v/>
      </c>
      <c r="H351" t="str">
        <f t="shared" si="10"/>
        <v/>
      </c>
      <c r="I351" t="str">
        <f t="shared" si="11"/>
        <v/>
      </c>
    </row>
    <row r="352" spans="1:9" x14ac:dyDescent="0.3">
      <c r="A352" t="str">
        <f>IF('Raw Enrollments'!A352="","",'Raw Enrollments'!A352)</f>
        <v/>
      </c>
      <c r="B352" t="str">
        <f>IF('Raw Enrollments'!B352="","",'Raw Enrollments'!B352)</f>
        <v/>
      </c>
      <c r="C352" t="str">
        <f>IF('Raw Enrollments'!C352="","",'Raw Enrollments'!C352)</f>
        <v/>
      </c>
      <c r="D352" t="str">
        <f>IF('Raw Enrollments'!D352="","",'Raw Enrollments'!D352)</f>
        <v/>
      </c>
      <c r="E352" t="str">
        <f>IF('Raw Enrollments'!E352="","",'Raw Enrollments'!E352)</f>
        <v/>
      </c>
      <c r="F352" t="str">
        <f>IF(B352="","",IF(COUNTIF(#REF!,B352)&gt;0,"Valid","Invalid Student ID"))</f>
        <v/>
      </c>
      <c r="G352" t="str">
        <f>IF(C352="","",IF(COUNTIF('Raw Courses'!$A:$A,C352)&gt;0,"Valid","Invalid Course ID"))</f>
        <v/>
      </c>
      <c r="H352" t="str">
        <f t="shared" si="10"/>
        <v/>
      </c>
      <c r="I352" t="str">
        <f t="shared" si="11"/>
        <v/>
      </c>
    </row>
    <row r="353" spans="1:9" x14ac:dyDescent="0.3">
      <c r="A353" t="str">
        <f>IF('Raw Enrollments'!A353="","",'Raw Enrollments'!A353)</f>
        <v/>
      </c>
      <c r="B353" t="str">
        <f>IF('Raw Enrollments'!B353="","",'Raw Enrollments'!B353)</f>
        <v/>
      </c>
      <c r="C353" t="str">
        <f>IF('Raw Enrollments'!C353="","",'Raw Enrollments'!C353)</f>
        <v/>
      </c>
      <c r="D353" t="str">
        <f>IF('Raw Enrollments'!D353="","",'Raw Enrollments'!D353)</f>
        <v/>
      </c>
      <c r="E353" t="str">
        <f>IF('Raw Enrollments'!E353="","",'Raw Enrollments'!E353)</f>
        <v/>
      </c>
      <c r="F353" t="str">
        <f>IF(B353="","",IF(COUNTIF(#REF!,B353)&gt;0,"Valid","Invalid Student ID"))</f>
        <v/>
      </c>
      <c r="G353" t="str">
        <f>IF(C353="","",IF(COUNTIF('Raw Courses'!$A:$A,C353)&gt;0,"Valid","Invalid Course ID"))</f>
        <v/>
      </c>
      <c r="H353" t="str">
        <f t="shared" si="10"/>
        <v/>
      </c>
      <c r="I353" t="str">
        <f t="shared" si="11"/>
        <v/>
      </c>
    </row>
    <row r="354" spans="1:9" x14ac:dyDescent="0.3">
      <c r="A354" t="str">
        <f>IF('Raw Enrollments'!A354="","",'Raw Enrollments'!A354)</f>
        <v/>
      </c>
      <c r="B354" t="str">
        <f>IF('Raw Enrollments'!B354="","",'Raw Enrollments'!B354)</f>
        <v/>
      </c>
      <c r="C354" t="str">
        <f>IF('Raw Enrollments'!C354="","",'Raw Enrollments'!C354)</f>
        <v/>
      </c>
      <c r="D354" t="str">
        <f>IF('Raw Enrollments'!D354="","",'Raw Enrollments'!D354)</f>
        <v/>
      </c>
      <c r="E354" t="str">
        <f>IF('Raw Enrollments'!E354="","",'Raw Enrollments'!E354)</f>
        <v/>
      </c>
      <c r="F354" t="str">
        <f>IF(B354="","",IF(COUNTIF(#REF!,B354)&gt;0,"Valid","Invalid Student ID"))</f>
        <v/>
      </c>
      <c r="G354" t="str">
        <f>IF(C354="","",IF(COUNTIF('Raw Courses'!$A:$A,C354)&gt;0,"Valid","Invalid Course ID"))</f>
        <v/>
      </c>
      <c r="H354" t="str">
        <f t="shared" si="10"/>
        <v/>
      </c>
      <c r="I354" t="str">
        <f t="shared" si="11"/>
        <v/>
      </c>
    </row>
    <row r="355" spans="1:9" x14ac:dyDescent="0.3">
      <c r="A355" t="str">
        <f>IF('Raw Enrollments'!A355="","",'Raw Enrollments'!A355)</f>
        <v/>
      </c>
      <c r="B355" t="str">
        <f>IF('Raw Enrollments'!B355="","",'Raw Enrollments'!B355)</f>
        <v/>
      </c>
      <c r="C355" t="str">
        <f>IF('Raw Enrollments'!C355="","",'Raw Enrollments'!C355)</f>
        <v/>
      </c>
      <c r="D355" t="str">
        <f>IF('Raw Enrollments'!D355="","",'Raw Enrollments'!D355)</f>
        <v/>
      </c>
      <c r="E355" t="str">
        <f>IF('Raw Enrollments'!E355="","",'Raw Enrollments'!E355)</f>
        <v/>
      </c>
      <c r="F355" t="str">
        <f>IF(B355="","",IF(COUNTIF(#REF!,B355)&gt;0,"Valid","Invalid Student ID"))</f>
        <v/>
      </c>
      <c r="G355" t="str">
        <f>IF(C355="","",IF(COUNTIF('Raw Courses'!$A:$A,C355)&gt;0,"Valid","Invalid Course ID"))</f>
        <v/>
      </c>
      <c r="H355" t="str">
        <f t="shared" si="10"/>
        <v/>
      </c>
      <c r="I355" t="str">
        <f t="shared" si="11"/>
        <v/>
      </c>
    </row>
    <row r="356" spans="1:9" x14ac:dyDescent="0.3">
      <c r="A356" t="str">
        <f>IF('Raw Enrollments'!A356="","",'Raw Enrollments'!A356)</f>
        <v/>
      </c>
      <c r="B356" t="str">
        <f>IF('Raw Enrollments'!B356="","",'Raw Enrollments'!B356)</f>
        <v/>
      </c>
      <c r="C356" t="str">
        <f>IF('Raw Enrollments'!C356="","",'Raw Enrollments'!C356)</f>
        <v/>
      </c>
      <c r="D356" t="str">
        <f>IF('Raw Enrollments'!D356="","",'Raw Enrollments'!D356)</f>
        <v/>
      </c>
      <c r="E356" t="str">
        <f>IF('Raw Enrollments'!E356="","",'Raw Enrollments'!E356)</f>
        <v/>
      </c>
      <c r="F356" t="str">
        <f>IF(B356="","",IF(COUNTIF(#REF!,B356)&gt;0,"Valid","Invalid Student ID"))</f>
        <v/>
      </c>
      <c r="G356" t="str">
        <f>IF(C356="","",IF(COUNTIF('Raw Courses'!$A:$A,C356)&gt;0,"Valid","Invalid Course ID"))</f>
        <v/>
      </c>
      <c r="H356" t="str">
        <f t="shared" si="10"/>
        <v/>
      </c>
      <c r="I356" t="str">
        <f t="shared" si="11"/>
        <v/>
      </c>
    </row>
    <row r="357" spans="1:9" x14ac:dyDescent="0.3">
      <c r="A357" t="str">
        <f>IF('Raw Enrollments'!A357="","",'Raw Enrollments'!A357)</f>
        <v/>
      </c>
      <c r="B357" t="str">
        <f>IF('Raw Enrollments'!B357="","",'Raw Enrollments'!B357)</f>
        <v/>
      </c>
      <c r="C357" t="str">
        <f>IF('Raw Enrollments'!C357="","",'Raw Enrollments'!C357)</f>
        <v/>
      </c>
      <c r="D357" t="str">
        <f>IF('Raw Enrollments'!D357="","",'Raw Enrollments'!D357)</f>
        <v/>
      </c>
      <c r="E357" t="str">
        <f>IF('Raw Enrollments'!E357="","",'Raw Enrollments'!E357)</f>
        <v/>
      </c>
      <c r="F357" t="str">
        <f>IF(B357="","",IF(COUNTIF(#REF!,B357)&gt;0,"Valid","Invalid Student ID"))</f>
        <v/>
      </c>
      <c r="G357" t="str">
        <f>IF(C357="","",IF(COUNTIF('Raw Courses'!$A:$A,C357)&gt;0,"Valid","Invalid Course ID"))</f>
        <v/>
      </c>
      <c r="H357" t="str">
        <f t="shared" si="10"/>
        <v/>
      </c>
      <c r="I357" t="str">
        <f t="shared" si="11"/>
        <v/>
      </c>
    </row>
    <row r="358" spans="1:9" x14ac:dyDescent="0.3">
      <c r="A358" t="str">
        <f>IF('Raw Enrollments'!A358="","",'Raw Enrollments'!A358)</f>
        <v/>
      </c>
      <c r="B358" t="str">
        <f>IF('Raw Enrollments'!B358="","",'Raw Enrollments'!B358)</f>
        <v/>
      </c>
      <c r="C358" t="str">
        <f>IF('Raw Enrollments'!C358="","",'Raw Enrollments'!C358)</f>
        <v/>
      </c>
      <c r="D358" t="str">
        <f>IF('Raw Enrollments'!D358="","",'Raw Enrollments'!D358)</f>
        <v/>
      </c>
      <c r="E358" t="str">
        <f>IF('Raw Enrollments'!E358="","",'Raw Enrollments'!E358)</f>
        <v/>
      </c>
      <c r="F358" t="str">
        <f>IF(B358="","",IF(COUNTIF(#REF!,B358)&gt;0,"Valid","Invalid Student ID"))</f>
        <v/>
      </c>
      <c r="G358" t="str">
        <f>IF(C358="","",IF(COUNTIF('Raw Courses'!$A:$A,C358)&gt;0,"Valid","Invalid Course ID"))</f>
        <v/>
      </c>
      <c r="H358" t="str">
        <f t="shared" si="10"/>
        <v/>
      </c>
      <c r="I358" t="str">
        <f t="shared" si="11"/>
        <v/>
      </c>
    </row>
    <row r="359" spans="1:9" x14ac:dyDescent="0.3">
      <c r="A359" t="str">
        <f>IF('Raw Enrollments'!A359="","",'Raw Enrollments'!A359)</f>
        <v/>
      </c>
      <c r="B359" t="str">
        <f>IF('Raw Enrollments'!B359="","",'Raw Enrollments'!B359)</f>
        <v/>
      </c>
      <c r="C359" t="str">
        <f>IF('Raw Enrollments'!C359="","",'Raw Enrollments'!C359)</f>
        <v/>
      </c>
      <c r="D359" t="str">
        <f>IF('Raw Enrollments'!D359="","",'Raw Enrollments'!D359)</f>
        <v/>
      </c>
      <c r="E359" t="str">
        <f>IF('Raw Enrollments'!E359="","",'Raw Enrollments'!E359)</f>
        <v/>
      </c>
      <c r="F359" t="str">
        <f>IF(B359="","",IF(COUNTIF(#REF!,B359)&gt;0,"Valid","Invalid Student ID"))</f>
        <v/>
      </c>
      <c r="G359" t="str">
        <f>IF(C359="","",IF(COUNTIF('Raw Courses'!$A:$A,C359)&gt;0,"Valid","Invalid Course ID"))</f>
        <v/>
      </c>
      <c r="H359" t="str">
        <f t="shared" si="10"/>
        <v/>
      </c>
      <c r="I359" t="str">
        <f t="shared" si="11"/>
        <v/>
      </c>
    </row>
    <row r="360" spans="1:9" x14ac:dyDescent="0.3">
      <c r="A360" t="str">
        <f>IF('Raw Enrollments'!A360="","",'Raw Enrollments'!A360)</f>
        <v/>
      </c>
      <c r="B360" t="str">
        <f>IF('Raw Enrollments'!B360="","",'Raw Enrollments'!B360)</f>
        <v/>
      </c>
      <c r="C360" t="str">
        <f>IF('Raw Enrollments'!C360="","",'Raw Enrollments'!C360)</f>
        <v/>
      </c>
      <c r="D360" t="str">
        <f>IF('Raw Enrollments'!D360="","",'Raw Enrollments'!D360)</f>
        <v/>
      </c>
      <c r="E360" t="str">
        <f>IF('Raw Enrollments'!E360="","",'Raw Enrollments'!E360)</f>
        <v/>
      </c>
      <c r="F360" t="str">
        <f>IF(B360="","",IF(COUNTIF(#REF!,B360)&gt;0,"Valid","Invalid Student ID"))</f>
        <v/>
      </c>
      <c r="G360" t="str">
        <f>IF(C360="","",IF(COUNTIF('Raw Courses'!$A:$A,C360)&gt;0,"Valid","Invalid Course ID"))</f>
        <v/>
      </c>
      <c r="H360" t="str">
        <f t="shared" si="10"/>
        <v/>
      </c>
      <c r="I360" t="str">
        <f t="shared" si="11"/>
        <v/>
      </c>
    </row>
    <row r="361" spans="1:9" x14ac:dyDescent="0.3">
      <c r="A361" t="str">
        <f>IF('Raw Enrollments'!A361="","",'Raw Enrollments'!A361)</f>
        <v/>
      </c>
      <c r="B361" t="str">
        <f>IF('Raw Enrollments'!B361="","",'Raw Enrollments'!B361)</f>
        <v/>
      </c>
      <c r="C361" t="str">
        <f>IF('Raw Enrollments'!C361="","",'Raw Enrollments'!C361)</f>
        <v/>
      </c>
      <c r="D361" t="str">
        <f>IF('Raw Enrollments'!D361="","",'Raw Enrollments'!D361)</f>
        <v/>
      </c>
      <c r="E361" t="str">
        <f>IF('Raw Enrollments'!E361="","",'Raw Enrollments'!E361)</f>
        <v/>
      </c>
      <c r="F361" t="str">
        <f>IF(B361="","",IF(COUNTIF(#REF!,B361)&gt;0,"Valid","Invalid Student ID"))</f>
        <v/>
      </c>
      <c r="G361" t="str">
        <f>IF(C361="","",IF(COUNTIF('Raw Courses'!$A:$A,C361)&gt;0,"Valid","Invalid Course ID"))</f>
        <v/>
      </c>
      <c r="H361" t="str">
        <f t="shared" si="10"/>
        <v/>
      </c>
      <c r="I361" t="str">
        <f t="shared" si="11"/>
        <v/>
      </c>
    </row>
    <row r="362" spans="1:9" x14ac:dyDescent="0.3">
      <c r="A362" t="str">
        <f>IF('Raw Enrollments'!A362="","",'Raw Enrollments'!A362)</f>
        <v/>
      </c>
      <c r="B362" t="str">
        <f>IF('Raw Enrollments'!B362="","",'Raw Enrollments'!B362)</f>
        <v/>
      </c>
      <c r="C362" t="str">
        <f>IF('Raw Enrollments'!C362="","",'Raw Enrollments'!C362)</f>
        <v/>
      </c>
      <c r="D362" t="str">
        <f>IF('Raw Enrollments'!D362="","",'Raw Enrollments'!D362)</f>
        <v/>
      </c>
      <c r="E362" t="str">
        <f>IF('Raw Enrollments'!E362="","",'Raw Enrollments'!E362)</f>
        <v/>
      </c>
      <c r="F362" t="str">
        <f>IF(B362="","",IF(COUNTIF(#REF!,B362)&gt;0,"Valid","Invalid Student ID"))</f>
        <v/>
      </c>
      <c r="G362" t="str">
        <f>IF(C362="","",IF(COUNTIF('Raw Courses'!$A:$A,C362)&gt;0,"Valid","Invalid Course ID"))</f>
        <v/>
      </c>
      <c r="H362" t="str">
        <f t="shared" si="10"/>
        <v/>
      </c>
      <c r="I362" t="str">
        <f t="shared" si="11"/>
        <v/>
      </c>
    </row>
    <row r="363" spans="1:9" x14ac:dyDescent="0.3">
      <c r="A363" t="str">
        <f>IF('Raw Enrollments'!A363="","",'Raw Enrollments'!A363)</f>
        <v/>
      </c>
      <c r="B363" t="str">
        <f>IF('Raw Enrollments'!B363="","",'Raw Enrollments'!B363)</f>
        <v/>
      </c>
      <c r="C363" t="str">
        <f>IF('Raw Enrollments'!C363="","",'Raw Enrollments'!C363)</f>
        <v/>
      </c>
      <c r="D363" t="str">
        <f>IF('Raw Enrollments'!D363="","",'Raw Enrollments'!D363)</f>
        <v/>
      </c>
      <c r="E363" t="str">
        <f>IF('Raw Enrollments'!E363="","",'Raw Enrollments'!E363)</f>
        <v/>
      </c>
      <c r="F363" t="str">
        <f>IF(B363="","",IF(COUNTIF(#REF!,B363)&gt;0,"Valid","Invalid Student ID"))</f>
        <v/>
      </c>
      <c r="G363" t="str">
        <f>IF(C363="","",IF(COUNTIF('Raw Courses'!$A:$A,C363)&gt;0,"Valid","Invalid Course ID"))</f>
        <v/>
      </c>
      <c r="H363" t="str">
        <f t="shared" si="10"/>
        <v/>
      </c>
      <c r="I363" t="str">
        <f t="shared" si="11"/>
        <v/>
      </c>
    </row>
    <row r="364" spans="1:9" x14ac:dyDescent="0.3">
      <c r="A364" t="str">
        <f>IF('Raw Enrollments'!A364="","",'Raw Enrollments'!A364)</f>
        <v/>
      </c>
      <c r="B364" t="str">
        <f>IF('Raw Enrollments'!B364="","",'Raw Enrollments'!B364)</f>
        <v/>
      </c>
      <c r="C364" t="str">
        <f>IF('Raw Enrollments'!C364="","",'Raw Enrollments'!C364)</f>
        <v/>
      </c>
      <c r="D364" t="str">
        <f>IF('Raw Enrollments'!D364="","",'Raw Enrollments'!D364)</f>
        <v/>
      </c>
      <c r="E364" t="str">
        <f>IF('Raw Enrollments'!E364="","",'Raw Enrollments'!E364)</f>
        <v/>
      </c>
      <c r="F364" t="str">
        <f>IF(B364="","",IF(COUNTIF(#REF!,B364)&gt;0,"Valid","Invalid Student ID"))</f>
        <v/>
      </c>
      <c r="G364" t="str">
        <f>IF(C364="","",IF(COUNTIF('Raw Courses'!$A:$A,C364)&gt;0,"Valid","Invalid Course ID"))</f>
        <v/>
      </c>
      <c r="H364" t="str">
        <f t="shared" si="10"/>
        <v/>
      </c>
      <c r="I364" t="str">
        <f t="shared" si="11"/>
        <v/>
      </c>
    </row>
    <row r="365" spans="1:9" x14ac:dyDescent="0.3">
      <c r="A365" t="str">
        <f>IF('Raw Enrollments'!A365="","",'Raw Enrollments'!A365)</f>
        <v/>
      </c>
      <c r="B365" t="str">
        <f>IF('Raw Enrollments'!B365="","",'Raw Enrollments'!B365)</f>
        <v/>
      </c>
      <c r="C365" t="str">
        <f>IF('Raw Enrollments'!C365="","",'Raw Enrollments'!C365)</f>
        <v/>
      </c>
      <c r="D365" t="str">
        <f>IF('Raw Enrollments'!D365="","",'Raw Enrollments'!D365)</f>
        <v/>
      </c>
      <c r="E365" t="str">
        <f>IF('Raw Enrollments'!E365="","",'Raw Enrollments'!E365)</f>
        <v/>
      </c>
      <c r="F365" t="str">
        <f>IF(B365="","",IF(COUNTIF(#REF!,B365)&gt;0,"Valid","Invalid Student ID"))</f>
        <v/>
      </c>
      <c r="G365" t="str">
        <f>IF(C365="","",IF(COUNTIF('Raw Courses'!$A:$A,C365)&gt;0,"Valid","Invalid Course ID"))</f>
        <v/>
      </c>
      <c r="H365" t="str">
        <f t="shared" si="10"/>
        <v/>
      </c>
      <c r="I365" t="str">
        <f t="shared" si="11"/>
        <v/>
      </c>
    </row>
    <row r="366" spans="1:9" x14ac:dyDescent="0.3">
      <c r="A366" t="str">
        <f>IF('Raw Enrollments'!A366="","",'Raw Enrollments'!A366)</f>
        <v/>
      </c>
      <c r="B366" t="str">
        <f>IF('Raw Enrollments'!B366="","",'Raw Enrollments'!B366)</f>
        <v/>
      </c>
      <c r="C366" t="str">
        <f>IF('Raw Enrollments'!C366="","",'Raw Enrollments'!C366)</f>
        <v/>
      </c>
      <c r="D366" t="str">
        <f>IF('Raw Enrollments'!D366="","",'Raw Enrollments'!D366)</f>
        <v/>
      </c>
      <c r="E366" t="str">
        <f>IF('Raw Enrollments'!E366="","",'Raw Enrollments'!E366)</f>
        <v/>
      </c>
      <c r="F366" t="str">
        <f>IF(B366="","",IF(COUNTIF(#REF!,B366)&gt;0,"Valid","Invalid Student ID"))</f>
        <v/>
      </c>
      <c r="G366" t="str">
        <f>IF(C366="","",IF(COUNTIF('Raw Courses'!$A:$A,C366)&gt;0,"Valid","Invalid Course ID"))</f>
        <v/>
      </c>
      <c r="H366" t="str">
        <f t="shared" si="10"/>
        <v/>
      </c>
      <c r="I366" t="str">
        <f t="shared" si="11"/>
        <v/>
      </c>
    </row>
    <row r="367" spans="1:9" x14ac:dyDescent="0.3">
      <c r="A367" t="str">
        <f>IF('Raw Enrollments'!A367="","",'Raw Enrollments'!A367)</f>
        <v/>
      </c>
      <c r="B367" t="str">
        <f>IF('Raw Enrollments'!B367="","",'Raw Enrollments'!B367)</f>
        <v/>
      </c>
      <c r="C367" t="str">
        <f>IF('Raw Enrollments'!C367="","",'Raw Enrollments'!C367)</f>
        <v/>
      </c>
      <c r="D367" t="str">
        <f>IF('Raw Enrollments'!D367="","",'Raw Enrollments'!D367)</f>
        <v/>
      </c>
      <c r="E367" t="str">
        <f>IF('Raw Enrollments'!E367="","",'Raw Enrollments'!E367)</f>
        <v/>
      </c>
      <c r="F367" t="str">
        <f>IF(B367="","",IF(COUNTIF(#REF!,B367)&gt;0,"Valid","Invalid Student ID"))</f>
        <v/>
      </c>
      <c r="G367" t="str">
        <f>IF(C367="","",IF(COUNTIF('Raw Courses'!$A:$A,C367)&gt;0,"Valid","Invalid Course ID"))</f>
        <v/>
      </c>
      <c r="H367" t="str">
        <f t="shared" si="10"/>
        <v/>
      </c>
      <c r="I367" t="str">
        <f t="shared" si="11"/>
        <v/>
      </c>
    </row>
    <row r="368" spans="1:9" x14ac:dyDescent="0.3">
      <c r="A368" t="str">
        <f>IF('Raw Enrollments'!A368="","",'Raw Enrollments'!A368)</f>
        <v/>
      </c>
      <c r="B368" t="str">
        <f>IF('Raw Enrollments'!B368="","",'Raw Enrollments'!B368)</f>
        <v/>
      </c>
      <c r="C368" t="str">
        <f>IF('Raw Enrollments'!C368="","",'Raw Enrollments'!C368)</f>
        <v/>
      </c>
      <c r="D368" t="str">
        <f>IF('Raw Enrollments'!D368="","",'Raw Enrollments'!D368)</f>
        <v/>
      </c>
      <c r="E368" t="str">
        <f>IF('Raw Enrollments'!E368="","",'Raw Enrollments'!E368)</f>
        <v/>
      </c>
      <c r="F368" t="str">
        <f>IF(B368="","",IF(COUNTIF(#REF!,B368)&gt;0,"Valid","Invalid Student ID"))</f>
        <v/>
      </c>
      <c r="G368" t="str">
        <f>IF(C368="","",IF(COUNTIF('Raw Courses'!$A:$A,C368)&gt;0,"Valid","Invalid Course ID"))</f>
        <v/>
      </c>
      <c r="H368" t="str">
        <f t="shared" si="10"/>
        <v/>
      </c>
      <c r="I368" t="str">
        <f t="shared" si="11"/>
        <v/>
      </c>
    </row>
    <row r="369" spans="1:9" x14ac:dyDescent="0.3">
      <c r="A369" t="str">
        <f>IF('Raw Enrollments'!A369="","",'Raw Enrollments'!A369)</f>
        <v/>
      </c>
      <c r="B369" t="str">
        <f>IF('Raw Enrollments'!B369="","",'Raw Enrollments'!B369)</f>
        <v/>
      </c>
      <c r="C369" t="str">
        <f>IF('Raw Enrollments'!C369="","",'Raw Enrollments'!C369)</f>
        <v/>
      </c>
      <c r="D369" t="str">
        <f>IF('Raw Enrollments'!D369="","",'Raw Enrollments'!D369)</f>
        <v/>
      </c>
      <c r="E369" t="str">
        <f>IF('Raw Enrollments'!E369="","",'Raw Enrollments'!E369)</f>
        <v/>
      </c>
      <c r="F369" t="str">
        <f>IF(B369="","",IF(COUNTIF(#REF!,B369)&gt;0,"Valid","Invalid Student ID"))</f>
        <v/>
      </c>
      <c r="G369" t="str">
        <f>IF(C369="","",IF(COUNTIF('Raw Courses'!$A:$A,C369)&gt;0,"Valid","Invalid Course ID"))</f>
        <v/>
      </c>
      <c r="H369" t="str">
        <f t="shared" si="10"/>
        <v/>
      </c>
      <c r="I369" t="str">
        <f t="shared" si="11"/>
        <v/>
      </c>
    </row>
    <row r="370" spans="1:9" x14ac:dyDescent="0.3">
      <c r="A370" t="str">
        <f>IF('Raw Enrollments'!A370="","",'Raw Enrollments'!A370)</f>
        <v/>
      </c>
      <c r="B370" t="str">
        <f>IF('Raw Enrollments'!B370="","",'Raw Enrollments'!B370)</f>
        <v/>
      </c>
      <c r="C370" t="str">
        <f>IF('Raw Enrollments'!C370="","",'Raw Enrollments'!C370)</f>
        <v/>
      </c>
      <c r="D370" t="str">
        <f>IF('Raw Enrollments'!D370="","",'Raw Enrollments'!D370)</f>
        <v/>
      </c>
      <c r="E370" t="str">
        <f>IF('Raw Enrollments'!E370="","",'Raw Enrollments'!E370)</f>
        <v/>
      </c>
      <c r="F370" t="str">
        <f>IF(B370="","",IF(COUNTIF(#REF!,B370)&gt;0,"Valid","Invalid Student ID"))</f>
        <v/>
      </c>
      <c r="G370" t="str">
        <f>IF(C370="","",IF(COUNTIF('Raw Courses'!$A:$A,C370)&gt;0,"Valid","Invalid Course ID"))</f>
        <v/>
      </c>
      <c r="H370" t="str">
        <f t="shared" si="10"/>
        <v/>
      </c>
      <c r="I370" t="str">
        <f t="shared" si="11"/>
        <v/>
      </c>
    </row>
    <row r="371" spans="1:9" x14ac:dyDescent="0.3">
      <c r="A371" t="str">
        <f>IF('Raw Enrollments'!A371="","",'Raw Enrollments'!A371)</f>
        <v/>
      </c>
      <c r="B371" t="str">
        <f>IF('Raw Enrollments'!B371="","",'Raw Enrollments'!B371)</f>
        <v/>
      </c>
      <c r="C371" t="str">
        <f>IF('Raw Enrollments'!C371="","",'Raw Enrollments'!C371)</f>
        <v/>
      </c>
      <c r="D371" t="str">
        <f>IF('Raw Enrollments'!D371="","",'Raw Enrollments'!D371)</f>
        <v/>
      </c>
      <c r="E371" t="str">
        <f>IF('Raw Enrollments'!E371="","",'Raw Enrollments'!E371)</f>
        <v/>
      </c>
      <c r="F371" t="str">
        <f>IF(B371="","",IF(COUNTIF(#REF!,B371)&gt;0,"Valid","Invalid Student ID"))</f>
        <v/>
      </c>
      <c r="G371" t="str">
        <f>IF(C371="","",IF(COUNTIF('Raw Courses'!$A:$A,C371)&gt;0,"Valid","Invalid Course ID"))</f>
        <v/>
      </c>
      <c r="H371" t="str">
        <f t="shared" si="10"/>
        <v/>
      </c>
      <c r="I371" t="str">
        <f t="shared" si="11"/>
        <v/>
      </c>
    </row>
    <row r="372" spans="1:9" x14ac:dyDescent="0.3">
      <c r="A372" t="str">
        <f>IF('Raw Enrollments'!A372="","",'Raw Enrollments'!A372)</f>
        <v/>
      </c>
      <c r="B372" t="str">
        <f>IF('Raw Enrollments'!B372="","",'Raw Enrollments'!B372)</f>
        <v/>
      </c>
      <c r="C372" t="str">
        <f>IF('Raw Enrollments'!C372="","",'Raw Enrollments'!C372)</f>
        <v/>
      </c>
      <c r="D372" t="str">
        <f>IF('Raw Enrollments'!D372="","",'Raw Enrollments'!D372)</f>
        <v/>
      </c>
      <c r="E372" t="str">
        <f>IF('Raw Enrollments'!E372="","",'Raw Enrollments'!E372)</f>
        <v/>
      </c>
      <c r="F372" t="str">
        <f>IF(B372="","",IF(COUNTIF(#REF!,B372)&gt;0,"Valid","Invalid Student ID"))</f>
        <v/>
      </c>
      <c r="G372" t="str">
        <f>IF(C372="","",IF(COUNTIF('Raw Courses'!$A:$A,C372)&gt;0,"Valid","Invalid Course ID"))</f>
        <v/>
      </c>
      <c r="H372" t="str">
        <f t="shared" si="10"/>
        <v/>
      </c>
      <c r="I372" t="str">
        <f t="shared" si="11"/>
        <v/>
      </c>
    </row>
    <row r="373" spans="1:9" x14ac:dyDescent="0.3">
      <c r="A373" t="str">
        <f>IF('Raw Enrollments'!A373="","",'Raw Enrollments'!A373)</f>
        <v/>
      </c>
      <c r="B373" t="str">
        <f>IF('Raw Enrollments'!B373="","",'Raw Enrollments'!B373)</f>
        <v/>
      </c>
      <c r="C373" t="str">
        <f>IF('Raw Enrollments'!C373="","",'Raw Enrollments'!C373)</f>
        <v/>
      </c>
      <c r="D373" t="str">
        <f>IF('Raw Enrollments'!D373="","",'Raw Enrollments'!D373)</f>
        <v/>
      </c>
      <c r="E373" t="str">
        <f>IF('Raw Enrollments'!E373="","",'Raw Enrollments'!E373)</f>
        <v/>
      </c>
      <c r="F373" t="str">
        <f>IF(B373="","",IF(COUNTIF(#REF!,B373)&gt;0,"Valid","Invalid Student ID"))</f>
        <v/>
      </c>
      <c r="G373" t="str">
        <f>IF(C373="","",IF(COUNTIF('Raw Courses'!$A:$A,C373)&gt;0,"Valid","Invalid Course ID"))</f>
        <v/>
      </c>
      <c r="H373" t="str">
        <f t="shared" si="10"/>
        <v/>
      </c>
      <c r="I373" t="str">
        <f t="shared" si="11"/>
        <v/>
      </c>
    </row>
    <row r="374" spans="1:9" x14ac:dyDescent="0.3">
      <c r="A374" t="str">
        <f>IF('Raw Enrollments'!A374="","",'Raw Enrollments'!A374)</f>
        <v/>
      </c>
      <c r="B374" t="str">
        <f>IF('Raw Enrollments'!B374="","",'Raw Enrollments'!B374)</f>
        <v/>
      </c>
      <c r="C374" t="str">
        <f>IF('Raw Enrollments'!C374="","",'Raw Enrollments'!C374)</f>
        <v/>
      </c>
      <c r="D374" t="str">
        <f>IF('Raw Enrollments'!D374="","",'Raw Enrollments'!D374)</f>
        <v/>
      </c>
      <c r="E374" t="str">
        <f>IF('Raw Enrollments'!E374="","",'Raw Enrollments'!E374)</f>
        <v/>
      </c>
      <c r="F374" t="str">
        <f>IF(B374="","",IF(COUNTIF(#REF!,B374)&gt;0,"Valid","Invalid Student ID"))</f>
        <v/>
      </c>
      <c r="G374" t="str">
        <f>IF(C374="","",IF(COUNTIF('Raw Courses'!$A:$A,C374)&gt;0,"Valid","Invalid Course ID"))</f>
        <v/>
      </c>
      <c r="H374" t="str">
        <f t="shared" si="10"/>
        <v/>
      </c>
      <c r="I374" t="str">
        <f t="shared" si="11"/>
        <v/>
      </c>
    </row>
    <row r="375" spans="1:9" x14ac:dyDescent="0.3">
      <c r="A375" t="str">
        <f>IF('Raw Enrollments'!A375="","",'Raw Enrollments'!A375)</f>
        <v/>
      </c>
      <c r="B375" t="str">
        <f>IF('Raw Enrollments'!B375="","",'Raw Enrollments'!B375)</f>
        <v/>
      </c>
      <c r="C375" t="str">
        <f>IF('Raw Enrollments'!C375="","",'Raw Enrollments'!C375)</f>
        <v/>
      </c>
      <c r="D375" t="str">
        <f>IF('Raw Enrollments'!D375="","",'Raw Enrollments'!D375)</f>
        <v/>
      </c>
      <c r="E375" t="str">
        <f>IF('Raw Enrollments'!E375="","",'Raw Enrollments'!E375)</f>
        <v/>
      </c>
      <c r="F375" t="str">
        <f>IF(B375="","",IF(COUNTIF(#REF!,B375)&gt;0,"Valid","Invalid Student ID"))</f>
        <v/>
      </c>
      <c r="G375" t="str">
        <f>IF(C375="","",IF(COUNTIF('Raw Courses'!$A:$A,C375)&gt;0,"Valid","Invalid Course ID"))</f>
        <v/>
      </c>
      <c r="H375" t="str">
        <f t="shared" si="10"/>
        <v/>
      </c>
      <c r="I375" t="str">
        <f t="shared" si="11"/>
        <v/>
      </c>
    </row>
    <row r="376" spans="1:9" x14ac:dyDescent="0.3">
      <c r="A376" t="str">
        <f>IF('Raw Enrollments'!A376="","",'Raw Enrollments'!A376)</f>
        <v/>
      </c>
      <c r="B376" t="str">
        <f>IF('Raw Enrollments'!B376="","",'Raw Enrollments'!B376)</f>
        <v/>
      </c>
      <c r="C376" t="str">
        <f>IF('Raw Enrollments'!C376="","",'Raw Enrollments'!C376)</f>
        <v/>
      </c>
      <c r="D376" t="str">
        <f>IF('Raw Enrollments'!D376="","",'Raw Enrollments'!D376)</f>
        <v/>
      </c>
      <c r="E376" t="str">
        <f>IF('Raw Enrollments'!E376="","",'Raw Enrollments'!E376)</f>
        <v/>
      </c>
      <c r="F376" t="str">
        <f>IF(B376="","",IF(COUNTIF(#REF!,B376)&gt;0,"Valid","Invalid Student ID"))</f>
        <v/>
      </c>
      <c r="G376" t="str">
        <f>IF(C376="","",IF(COUNTIF('Raw Courses'!$A:$A,C376)&gt;0,"Valid","Invalid Course ID"))</f>
        <v/>
      </c>
      <c r="H376" t="str">
        <f t="shared" si="10"/>
        <v/>
      </c>
      <c r="I376" t="str">
        <f t="shared" si="11"/>
        <v/>
      </c>
    </row>
    <row r="377" spans="1:9" x14ac:dyDescent="0.3">
      <c r="A377" t="str">
        <f>IF('Raw Enrollments'!A377="","",'Raw Enrollments'!A377)</f>
        <v/>
      </c>
      <c r="B377" t="str">
        <f>IF('Raw Enrollments'!B377="","",'Raw Enrollments'!B377)</f>
        <v/>
      </c>
      <c r="C377" t="str">
        <f>IF('Raw Enrollments'!C377="","",'Raw Enrollments'!C377)</f>
        <v/>
      </c>
      <c r="D377" t="str">
        <f>IF('Raw Enrollments'!D377="","",'Raw Enrollments'!D377)</f>
        <v/>
      </c>
      <c r="E377" t="str">
        <f>IF('Raw Enrollments'!E377="","",'Raw Enrollments'!E377)</f>
        <v/>
      </c>
      <c r="F377" t="str">
        <f>IF(B377="","",IF(COUNTIF(#REF!,B377)&gt;0,"Valid","Invalid Student ID"))</f>
        <v/>
      </c>
      <c r="G377" t="str">
        <f>IF(C377="","",IF(COUNTIF('Raw Courses'!$A:$A,C377)&gt;0,"Valid","Invalid Course ID"))</f>
        <v/>
      </c>
      <c r="H377" t="str">
        <f t="shared" si="10"/>
        <v/>
      </c>
      <c r="I377" t="str">
        <f t="shared" si="11"/>
        <v/>
      </c>
    </row>
    <row r="378" spans="1:9" x14ac:dyDescent="0.3">
      <c r="A378" t="str">
        <f>IF('Raw Enrollments'!A378="","",'Raw Enrollments'!A378)</f>
        <v/>
      </c>
      <c r="B378" t="str">
        <f>IF('Raw Enrollments'!B378="","",'Raw Enrollments'!B378)</f>
        <v/>
      </c>
      <c r="C378" t="str">
        <f>IF('Raw Enrollments'!C378="","",'Raw Enrollments'!C378)</f>
        <v/>
      </c>
      <c r="D378" t="str">
        <f>IF('Raw Enrollments'!D378="","",'Raw Enrollments'!D378)</f>
        <v/>
      </c>
      <c r="E378" t="str">
        <f>IF('Raw Enrollments'!E378="","",'Raw Enrollments'!E378)</f>
        <v/>
      </c>
      <c r="F378" t="str">
        <f>IF(B378="","",IF(COUNTIF(#REF!,B378)&gt;0,"Valid","Invalid Student ID"))</f>
        <v/>
      </c>
      <c r="G378" t="str">
        <f>IF(C378="","",IF(COUNTIF('Raw Courses'!$A:$A,C378)&gt;0,"Valid","Invalid Course ID"))</f>
        <v/>
      </c>
      <c r="H378" t="str">
        <f t="shared" si="10"/>
        <v/>
      </c>
      <c r="I378" t="str">
        <f t="shared" si="11"/>
        <v/>
      </c>
    </row>
    <row r="379" spans="1:9" x14ac:dyDescent="0.3">
      <c r="A379" t="str">
        <f>IF('Raw Enrollments'!A379="","",'Raw Enrollments'!A379)</f>
        <v/>
      </c>
      <c r="B379" t="str">
        <f>IF('Raw Enrollments'!B379="","",'Raw Enrollments'!B379)</f>
        <v/>
      </c>
      <c r="C379" t="str">
        <f>IF('Raw Enrollments'!C379="","",'Raw Enrollments'!C379)</f>
        <v/>
      </c>
      <c r="D379" t="str">
        <f>IF('Raw Enrollments'!D379="","",'Raw Enrollments'!D379)</f>
        <v/>
      </c>
      <c r="E379" t="str">
        <f>IF('Raw Enrollments'!E379="","",'Raw Enrollments'!E379)</f>
        <v/>
      </c>
      <c r="F379" t="str">
        <f>IF(B379="","",IF(COUNTIF(#REF!,B379)&gt;0,"Valid","Invalid Student ID"))</f>
        <v/>
      </c>
      <c r="G379" t="str">
        <f>IF(C379="","",IF(COUNTIF('Raw Courses'!$A:$A,C379)&gt;0,"Valid","Invalid Course ID"))</f>
        <v/>
      </c>
      <c r="H379" t="str">
        <f t="shared" si="10"/>
        <v/>
      </c>
      <c r="I379" t="str">
        <f t="shared" si="11"/>
        <v/>
      </c>
    </row>
    <row r="380" spans="1:9" x14ac:dyDescent="0.3">
      <c r="A380" t="str">
        <f>IF('Raw Enrollments'!A380="","",'Raw Enrollments'!A380)</f>
        <v/>
      </c>
      <c r="B380" t="str">
        <f>IF('Raw Enrollments'!B380="","",'Raw Enrollments'!B380)</f>
        <v/>
      </c>
      <c r="C380" t="str">
        <f>IF('Raw Enrollments'!C380="","",'Raw Enrollments'!C380)</f>
        <v/>
      </c>
      <c r="D380" t="str">
        <f>IF('Raw Enrollments'!D380="","",'Raw Enrollments'!D380)</f>
        <v/>
      </c>
      <c r="E380" t="str">
        <f>IF('Raw Enrollments'!E380="","",'Raw Enrollments'!E380)</f>
        <v/>
      </c>
      <c r="F380" t="str">
        <f>IF(B380="","",IF(COUNTIF(#REF!,B380)&gt;0,"Valid","Invalid Student ID"))</f>
        <v/>
      </c>
      <c r="G380" t="str">
        <f>IF(C380="","",IF(COUNTIF('Raw Courses'!$A:$A,C380)&gt;0,"Valid","Invalid Course ID"))</f>
        <v/>
      </c>
      <c r="H380" t="str">
        <f t="shared" si="10"/>
        <v/>
      </c>
      <c r="I380" t="str">
        <f t="shared" si="11"/>
        <v/>
      </c>
    </row>
    <row r="381" spans="1:9" x14ac:dyDescent="0.3">
      <c r="A381" t="str">
        <f>IF('Raw Enrollments'!A381="","",'Raw Enrollments'!A381)</f>
        <v/>
      </c>
      <c r="B381" t="str">
        <f>IF('Raw Enrollments'!B381="","",'Raw Enrollments'!B381)</f>
        <v/>
      </c>
      <c r="C381" t="str">
        <f>IF('Raw Enrollments'!C381="","",'Raw Enrollments'!C381)</f>
        <v/>
      </c>
      <c r="D381" t="str">
        <f>IF('Raw Enrollments'!D381="","",'Raw Enrollments'!D381)</f>
        <v/>
      </c>
      <c r="E381" t="str">
        <f>IF('Raw Enrollments'!E381="","",'Raw Enrollments'!E381)</f>
        <v/>
      </c>
      <c r="F381" t="str">
        <f>IF(B381="","",IF(COUNTIF(#REF!,B381)&gt;0,"Valid","Invalid Student ID"))</f>
        <v/>
      </c>
      <c r="G381" t="str">
        <f>IF(C381="","",IF(COUNTIF('Raw Courses'!$A:$A,C381)&gt;0,"Valid","Invalid Course ID"))</f>
        <v/>
      </c>
      <c r="H381" t="str">
        <f t="shared" si="10"/>
        <v/>
      </c>
      <c r="I381" t="str">
        <f t="shared" si="11"/>
        <v/>
      </c>
    </row>
    <row r="382" spans="1:9" x14ac:dyDescent="0.3">
      <c r="A382" t="str">
        <f>IF('Raw Enrollments'!A382="","",'Raw Enrollments'!A382)</f>
        <v/>
      </c>
      <c r="B382" t="str">
        <f>IF('Raw Enrollments'!B382="","",'Raw Enrollments'!B382)</f>
        <v/>
      </c>
      <c r="C382" t="str">
        <f>IF('Raw Enrollments'!C382="","",'Raw Enrollments'!C382)</f>
        <v/>
      </c>
      <c r="D382" t="str">
        <f>IF('Raw Enrollments'!D382="","",'Raw Enrollments'!D382)</f>
        <v/>
      </c>
      <c r="E382" t="str">
        <f>IF('Raw Enrollments'!E382="","",'Raw Enrollments'!E382)</f>
        <v/>
      </c>
      <c r="F382" t="str">
        <f>IF(B382="","",IF(COUNTIF(#REF!,B382)&gt;0,"Valid","Invalid Student ID"))</f>
        <v/>
      </c>
      <c r="G382" t="str">
        <f>IF(C382="","",IF(COUNTIF('Raw Courses'!$A:$A,C382)&gt;0,"Valid","Invalid Course ID"))</f>
        <v/>
      </c>
      <c r="H382" t="str">
        <f t="shared" si="10"/>
        <v/>
      </c>
      <c r="I382" t="str">
        <f t="shared" si="11"/>
        <v/>
      </c>
    </row>
    <row r="383" spans="1:9" x14ac:dyDescent="0.3">
      <c r="A383" t="str">
        <f>IF('Raw Enrollments'!A383="","",'Raw Enrollments'!A383)</f>
        <v/>
      </c>
      <c r="B383" t="str">
        <f>IF('Raw Enrollments'!B383="","",'Raw Enrollments'!B383)</f>
        <v/>
      </c>
      <c r="C383" t="str">
        <f>IF('Raw Enrollments'!C383="","",'Raw Enrollments'!C383)</f>
        <v/>
      </c>
      <c r="D383" t="str">
        <f>IF('Raw Enrollments'!D383="","",'Raw Enrollments'!D383)</f>
        <v/>
      </c>
      <c r="E383" t="str">
        <f>IF('Raw Enrollments'!E383="","",'Raw Enrollments'!E383)</f>
        <v/>
      </c>
      <c r="F383" t="str">
        <f>IF(B383="","",IF(COUNTIF(#REF!,B383)&gt;0,"Valid","Invalid Student ID"))</f>
        <v/>
      </c>
      <c r="G383" t="str">
        <f>IF(C383="","",IF(COUNTIF('Raw Courses'!$A:$A,C383)&gt;0,"Valid","Invalid Course ID"))</f>
        <v/>
      </c>
      <c r="H383" t="str">
        <f t="shared" si="10"/>
        <v/>
      </c>
      <c r="I383" t="str">
        <f t="shared" si="11"/>
        <v/>
      </c>
    </row>
    <row r="384" spans="1:9" x14ac:dyDescent="0.3">
      <c r="A384" t="str">
        <f>IF('Raw Enrollments'!A384="","",'Raw Enrollments'!A384)</f>
        <v/>
      </c>
      <c r="B384" t="str">
        <f>IF('Raw Enrollments'!B384="","",'Raw Enrollments'!B384)</f>
        <v/>
      </c>
      <c r="C384" t="str">
        <f>IF('Raw Enrollments'!C384="","",'Raw Enrollments'!C384)</f>
        <v/>
      </c>
      <c r="D384" t="str">
        <f>IF('Raw Enrollments'!D384="","",'Raw Enrollments'!D384)</f>
        <v/>
      </c>
      <c r="E384" t="str">
        <f>IF('Raw Enrollments'!E384="","",'Raw Enrollments'!E384)</f>
        <v/>
      </c>
      <c r="F384" t="str">
        <f>IF(B384="","",IF(COUNTIF(#REF!,B384)&gt;0,"Valid","Invalid Student ID"))</f>
        <v/>
      </c>
      <c r="G384" t="str">
        <f>IF(C384="","",IF(COUNTIF('Raw Courses'!$A:$A,C384)&gt;0,"Valid","Invalid Course ID"))</f>
        <v/>
      </c>
      <c r="H384" t="str">
        <f t="shared" si="10"/>
        <v/>
      </c>
      <c r="I384" t="str">
        <f t="shared" si="11"/>
        <v/>
      </c>
    </row>
    <row r="385" spans="1:9" x14ac:dyDescent="0.3">
      <c r="A385" t="str">
        <f>IF('Raw Enrollments'!A385="","",'Raw Enrollments'!A385)</f>
        <v/>
      </c>
      <c r="B385" t="str">
        <f>IF('Raw Enrollments'!B385="","",'Raw Enrollments'!B385)</f>
        <v/>
      </c>
      <c r="C385" t="str">
        <f>IF('Raw Enrollments'!C385="","",'Raw Enrollments'!C385)</f>
        <v/>
      </c>
      <c r="D385" t="str">
        <f>IF('Raw Enrollments'!D385="","",'Raw Enrollments'!D385)</f>
        <v/>
      </c>
      <c r="E385" t="str">
        <f>IF('Raw Enrollments'!E385="","",'Raw Enrollments'!E385)</f>
        <v/>
      </c>
      <c r="F385" t="str">
        <f>IF(B385="","",IF(COUNTIF(#REF!,B385)&gt;0,"Valid","Invalid Student ID"))</f>
        <v/>
      </c>
      <c r="G385" t="str">
        <f>IF(C385="","",IF(COUNTIF('Raw Courses'!$A:$A,C385)&gt;0,"Valid","Invalid Course ID"))</f>
        <v/>
      </c>
      <c r="H385" t="str">
        <f t="shared" si="10"/>
        <v/>
      </c>
      <c r="I385" t="str">
        <f t="shared" si="11"/>
        <v/>
      </c>
    </row>
    <row r="386" spans="1:9" x14ac:dyDescent="0.3">
      <c r="A386" t="str">
        <f>IF('Raw Enrollments'!A386="","",'Raw Enrollments'!A386)</f>
        <v/>
      </c>
      <c r="B386" t="str">
        <f>IF('Raw Enrollments'!B386="","",'Raw Enrollments'!B386)</f>
        <v/>
      </c>
      <c r="C386" t="str">
        <f>IF('Raw Enrollments'!C386="","",'Raw Enrollments'!C386)</f>
        <v/>
      </c>
      <c r="D386" t="str">
        <f>IF('Raw Enrollments'!D386="","",'Raw Enrollments'!D386)</f>
        <v/>
      </c>
      <c r="E386" t="str">
        <f>IF('Raw Enrollments'!E386="","",'Raw Enrollments'!E386)</f>
        <v/>
      </c>
      <c r="F386" t="str">
        <f>IF(B386="","",IF(COUNTIF(#REF!,B386)&gt;0,"Valid","Invalid Student ID"))</f>
        <v/>
      </c>
      <c r="G386" t="str">
        <f>IF(C386="","",IF(COUNTIF('Raw Courses'!$A:$A,C386)&gt;0,"Valid","Invalid Course ID"))</f>
        <v/>
      </c>
      <c r="H386" t="str">
        <f t="shared" si="10"/>
        <v/>
      </c>
      <c r="I386" t="str">
        <f t="shared" si="11"/>
        <v/>
      </c>
    </row>
    <row r="387" spans="1:9" x14ac:dyDescent="0.3">
      <c r="A387" t="str">
        <f>IF('Raw Enrollments'!A387="","",'Raw Enrollments'!A387)</f>
        <v/>
      </c>
      <c r="B387" t="str">
        <f>IF('Raw Enrollments'!B387="","",'Raw Enrollments'!B387)</f>
        <v/>
      </c>
      <c r="C387" t="str">
        <f>IF('Raw Enrollments'!C387="","",'Raw Enrollments'!C387)</f>
        <v/>
      </c>
      <c r="D387" t="str">
        <f>IF('Raw Enrollments'!D387="","",'Raw Enrollments'!D387)</f>
        <v/>
      </c>
      <c r="E387" t="str">
        <f>IF('Raw Enrollments'!E387="","",'Raw Enrollments'!E387)</f>
        <v/>
      </c>
      <c r="F387" t="str">
        <f>IF(B387="","",IF(COUNTIF(#REF!,B387)&gt;0,"Valid","Invalid Student ID"))</f>
        <v/>
      </c>
      <c r="G387" t="str">
        <f>IF(C387="","",IF(COUNTIF('Raw Courses'!$A:$A,C387)&gt;0,"Valid","Invalid Course ID"))</f>
        <v/>
      </c>
      <c r="H387" t="str">
        <f t="shared" si="10"/>
        <v/>
      </c>
      <c r="I387" t="str">
        <f t="shared" si="11"/>
        <v/>
      </c>
    </row>
    <row r="388" spans="1:9" x14ac:dyDescent="0.3">
      <c r="A388" t="str">
        <f>IF('Raw Enrollments'!A388="","",'Raw Enrollments'!A388)</f>
        <v/>
      </c>
      <c r="B388" t="str">
        <f>IF('Raw Enrollments'!B388="","",'Raw Enrollments'!B388)</f>
        <v/>
      </c>
      <c r="C388" t="str">
        <f>IF('Raw Enrollments'!C388="","",'Raw Enrollments'!C388)</f>
        <v/>
      </c>
      <c r="D388" t="str">
        <f>IF('Raw Enrollments'!D388="","",'Raw Enrollments'!D388)</f>
        <v/>
      </c>
      <c r="E388" t="str">
        <f>IF('Raw Enrollments'!E388="","",'Raw Enrollments'!E388)</f>
        <v/>
      </c>
      <c r="F388" t="str">
        <f>IF(B388="","",IF(COUNTIF(#REF!,B388)&gt;0,"Valid","Invalid Student ID"))</f>
        <v/>
      </c>
      <c r="G388" t="str">
        <f>IF(C388="","",IF(COUNTIF('Raw Courses'!$A:$A,C388)&gt;0,"Valid","Invalid Course ID"))</f>
        <v/>
      </c>
      <c r="H388" t="str">
        <f t="shared" si="10"/>
        <v/>
      </c>
      <c r="I388" t="str">
        <f t="shared" si="11"/>
        <v/>
      </c>
    </row>
    <row r="389" spans="1:9" x14ac:dyDescent="0.3">
      <c r="A389" t="str">
        <f>IF('Raw Enrollments'!A389="","",'Raw Enrollments'!A389)</f>
        <v/>
      </c>
      <c r="B389" t="str">
        <f>IF('Raw Enrollments'!B389="","",'Raw Enrollments'!B389)</f>
        <v/>
      </c>
      <c r="C389" t="str">
        <f>IF('Raw Enrollments'!C389="","",'Raw Enrollments'!C389)</f>
        <v/>
      </c>
      <c r="D389" t="str">
        <f>IF('Raw Enrollments'!D389="","",'Raw Enrollments'!D389)</f>
        <v/>
      </c>
      <c r="E389" t="str">
        <f>IF('Raw Enrollments'!E389="","",'Raw Enrollments'!E389)</f>
        <v/>
      </c>
      <c r="F389" t="str">
        <f>IF(B389="","",IF(COUNTIF(#REF!,B389)&gt;0,"Valid","Invalid Student ID"))</f>
        <v/>
      </c>
      <c r="G389" t="str">
        <f>IF(C389="","",IF(COUNTIF('Raw Courses'!$A:$A,C389)&gt;0,"Valid","Invalid Course ID"))</f>
        <v/>
      </c>
      <c r="H389" t="str">
        <f t="shared" ref="H389:H452" si="12">IF(A389="","",IF(COUNTIF($A$5:$A$504,A389)&gt;1,"Duplicate","Unique"))</f>
        <v/>
      </c>
      <c r="I389" t="str">
        <f t="shared" ref="I389:I452" si="13">IF(A389="","",IF(OR(F389="Invalid Student ID",G389="Invalid Course ID",H389="Duplicate",D389="",E389=""),"Review","Pass"))</f>
        <v/>
      </c>
    </row>
    <row r="390" spans="1:9" x14ac:dyDescent="0.3">
      <c r="A390" t="str">
        <f>IF('Raw Enrollments'!A390="","",'Raw Enrollments'!A390)</f>
        <v/>
      </c>
      <c r="B390" t="str">
        <f>IF('Raw Enrollments'!B390="","",'Raw Enrollments'!B390)</f>
        <v/>
      </c>
      <c r="C390" t="str">
        <f>IF('Raw Enrollments'!C390="","",'Raw Enrollments'!C390)</f>
        <v/>
      </c>
      <c r="D390" t="str">
        <f>IF('Raw Enrollments'!D390="","",'Raw Enrollments'!D390)</f>
        <v/>
      </c>
      <c r="E390" t="str">
        <f>IF('Raw Enrollments'!E390="","",'Raw Enrollments'!E390)</f>
        <v/>
      </c>
      <c r="F390" t="str">
        <f>IF(B390="","",IF(COUNTIF(#REF!,B390)&gt;0,"Valid","Invalid Student ID"))</f>
        <v/>
      </c>
      <c r="G390" t="str">
        <f>IF(C390="","",IF(COUNTIF('Raw Courses'!$A:$A,C390)&gt;0,"Valid","Invalid Course ID"))</f>
        <v/>
      </c>
      <c r="H390" t="str">
        <f t="shared" si="12"/>
        <v/>
      </c>
      <c r="I390" t="str">
        <f t="shared" si="13"/>
        <v/>
      </c>
    </row>
    <row r="391" spans="1:9" x14ac:dyDescent="0.3">
      <c r="A391" t="str">
        <f>IF('Raw Enrollments'!A391="","",'Raw Enrollments'!A391)</f>
        <v/>
      </c>
      <c r="B391" t="str">
        <f>IF('Raw Enrollments'!B391="","",'Raw Enrollments'!B391)</f>
        <v/>
      </c>
      <c r="C391" t="str">
        <f>IF('Raw Enrollments'!C391="","",'Raw Enrollments'!C391)</f>
        <v/>
      </c>
      <c r="D391" t="str">
        <f>IF('Raw Enrollments'!D391="","",'Raw Enrollments'!D391)</f>
        <v/>
      </c>
      <c r="E391" t="str">
        <f>IF('Raw Enrollments'!E391="","",'Raw Enrollments'!E391)</f>
        <v/>
      </c>
      <c r="F391" t="str">
        <f>IF(B391="","",IF(COUNTIF(#REF!,B391)&gt;0,"Valid","Invalid Student ID"))</f>
        <v/>
      </c>
      <c r="G391" t="str">
        <f>IF(C391="","",IF(COUNTIF('Raw Courses'!$A:$A,C391)&gt;0,"Valid","Invalid Course ID"))</f>
        <v/>
      </c>
      <c r="H391" t="str">
        <f t="shared" si="12"/>
        <v/>
      </c>
      <c r="I391" t="str">
        <f t="shared" si="13"/>
        <v/>
      </c>
    </row>
    <row r="392" spans="1:9" x14ac:dyDescent="0.3">
      <c r="A392" t="str">
        <f>IF('Raw Enrollments'!A392="","",'Raw Enrollments'!A392)</f>
        <v/>
      </c>
      <c r="B392" t="str">
        <f>IF('Raw Enrollments'!B392="","",'Raw Enrollments'!B392)</f>
        <v/>
      </c>
      <c r="C392" t="str">
        <f>IF('Raw Enrollments'!C392="","",'Raw Enrollments'!C392)</f>
        <v/>
      </c>
      <c r="D392" t="str">
        <f>IF('Raw Enrollments'!D392="","",'Raw Enrollments'!D392)</f>
        <v/>
      </c>
      <c r="E392" t="str">
        <f>IF('Raw Enrollments'!E392="","",'Raw Enrollments'!E392)</f>
        <v/>
      </c>
      <c r="F392" t="str">
        <f>IF(B392="","",IF(COUNTIF(#REF!,B392)&gt;0,"Valid","Invalid Student ID"))</f>
        <v/>
      </c>
      <c r="G392" t="str">
        <f>IF(C392="","",IF(COUNTIF('Raw Courses'!$A:$A,C392)&gt;0,"Valid","Invalid Course ID"))</f>
        <v/>
      </c>
      <c r="H392" t="str">
        <f t="shared" si="12"/>
        <v/>
      </c>
      <c r="I392" t="str">
        <f t="shared" si="13"/>
        <v/>
      </c>
    </row>
    <row r="393" spans="1:9" x14ac:dyDescent="0.3">
      <c r="A393" t="str">
        <f>IF('Raw Enrollments'!A393="","",'Raw Enrollments'!A393)</f>
        <v/>
      </c>
      <c r="B393" t="str">
        <f>IF('Raw Enrollments'!B393="","",'Raw Enrollments'!B393)</f>
        <v/>
      </c>
      <c r="C393" t="str">
        <f>IF('Raw Enrollments'!C393="","",'Raw Enrollments'!C393)</f>
        <v/>
      </c>
      <c r="D393" t="str">
        <f>IF('Raw Enrollments'!D393="","",'Raw Enrollments'!D393)</f>
        <v/>
      </c>
      <c r="E393" t="str">
        <f>IF('Raw Enrollments'!E393="","",'Raw Enrollments'!E393)</f>
        <v/>
      </c>
      <c r="F393" t="str">
        <f>IF(B393="","",IF(COUNTIF(#REF!,B393)&gt;0,"Valid","Invalid Student ID"))</f>
        <v/>
      </c>
      <c r="G393" t="str">
        <f>IF(C393="","",IF(COUNTIF('Raw Courses'!$A:$A,C393)&gt;0,"Valid","Invalid Course ID"))</f>
        <v/>
      </c>
      <c r="H393" t="str">
        <f t="shared" si="12"/>
        <v/>
      </c>
      <c r="I393" t="str">
        <f t="shared" si="13"/>
        <v/>
      </c>
    </row>
    <row r="394" spans="1:9" x14ac:dyDescent="0.3">
      <c r="A394" t="str">
        <f>IF('Raw Enrollments'!A394="","",'Raw Enrollments'!A394)</f>
        <v/>
      </c>
      <c r="B394" t="str">
        <f>IF('Raw Enrollments'!B394="","",'Raw Enrollments'!B394)</f>
        <v/>
      </c>
      <c r="C394" t="str">
        <f>IF('Raw Enrollments'!C394="","",'Raw Enrollments'!C394)</f>
        <v/>
      </c>
      <c r="D394" t="str">
        <f>IF('Raw Enrollments'!D394="","",'Raw Enrollments'!D394)</f>
        <v/>
      </c>
      <c r="E394" t="str">
        <f>IF('Raw Enrollments'!E394="","",'Raw Enrollments'!E394)</f>
        <v/>
      </c>
      <c r="F394" t="str">
        <f>IF(B394="","",IF(COUNTIF(#REF!,B394)&gt;0,"Valid","Invalid Student ID"))</f>
        <v/>
      </c>
      <c r="G394" t="str">
        <f>IF(C394="","",IF(COUNTIF('Raw Courses'!$A:$A,C394)&gt;0,"Valid","Invalid Course ID"))</f>
        <v/>
      </c>
      <c r="H394" t="str">
        <f t="shared" si="12"/>
        <v/>
      </c>
      <c r="I394" t="str">
        <f t="shared" si="13"/>
        <v/>
      </c>
    </row>
    <row r="395" spans="1:9" x14ac:dyDescent="0.3">
      <c r="A395" t="str">
        <f>IF('Raw Enrollments'!A395="","",'Raw Enrollments'!A395)</f>
        <v/>
      </c>
      <c r="B395" t="str">
        <f>IF('Raw Enrollments'!B395="","",'Raw Enrollments'!B395)</f>
        <v/>
      </c>
      <c r="C395" t="str">
        <f>IF('Raw Enrollments'!C395="","",'Raw Enrollments'!C395)</f>
        <v/>
      </c>
      <c r="D395" t="str">
        <f>IF('Raw Enrollments'!D395="","",'Raw Enrollments'!D395)</f>
        <v/>
      </c>
      <c r="E395" t="str">
        <f>IF('Raw Enrollments'!E395="","",'Raw Enrollments'!E395)</f>
        <v/>
      </c>
      <c r="F395" t="str">
        <f>IF(B395="","",IF(COUNTIF(#REF!,B395)&gt;0,"Valid","Invalid Student ID"))</f>
        <v/>
      </c>
      <c r="G395" t="str">
        <f>IF(C395="","",IF(COUNTIF('Raw Courses'!$A:$A,C395)&gt;0,"Valid","Invalid Course ID"))</f>
        <v/>
      </c>
      <c r="H395" t="str">
        <f t="shared" si="12"/>
        <v/>
      </c>
      <c r="I395" t="str">
        <f t="shared" si="13"/>
        <v/>
      </c>
    </row>
    <row r="396" spans="1:9" x14ac:dyDescent="0.3">
      <c r="A396" t="str">
        <f>IF('Raw Enrollments'!A396="","",'Raw Enrollments'!A396)</f>
        <v/>
      </c>
      <c r="B396" t="str">
        <f>IF('Raw Enrollments'!B396="","",'Raw Enrollments'!B396)</f>
        <v/>
      </c>
      <c r="C396" t="str">
        <f>IF('Raw Enrollments'!C396="","",'Raw Enrollments'!C396)</f>
        <v/>
      </c>
      <c r="D396" t="str">
        <f>IF('Raw Enrollments'!D396="","",'Raw Enrollments'!D396)</f>
        <v/>
      </c>
      <c r="E396" t="str">
        <f>IF('Raw Enrollments'!E396="","",'Raw Enrollments'!E396)</f>
        <v/>
      </c>
      <c r="F396" t="str">
        <f>IF(B396="","",IF(COUNTIF(#REF!,B396)&gt;0,"Valid","Invalid Student ID"))</f>
        <v/>
      </c>
      <c r="G396" t="str">
        <f>IF(C396="","",IF(COUNTIF('Raw Courses'!$A:$A,C396)&gt;0,"Valid","Invalid Course ID"))</f>
        <v/>
      </c>
      <c r="H396" t="str">
        <f t="shared" si="12"/>
        <v/>
      </c>
      <c r="I396" t="str">
        <f t="shared" si="13"/>
        <v/>
      </c>
    </row>
    <row r="397" spans="1:9" x14ac:dyDescent="0.3">
      <c r="A397" t="str">
        <f>IF('Raw Enrollments'!A397="","",'Raw Enrollments'!A397)</f>
        <v/>
      </c>
      <c r="B397" t="str">
        <f>IF('Raw Enrollments'!B397="","",'Raw Enrollments'!B397)</f>
        <v/>
      </c>
      <c r="C397" t="str">
        <f>IF('Raw Enrollments'!C397="","",'Raw Enrollments'!C397)</f>
        <v/>
      </c>
      <c r="D397" t="str">
        <f>IF('Raw Enrollments'!D397="","",'Raw Enrollments'!D397)</f>
        <v/>
      </c>
      <c r="E397" t="str">
        <f>IF('Raw Enrollments'!E397="","",'Raw Enrollments'!E397)</f>
        <v/>
      </c>
      <c r="F397" t="str">
        <f>IF(B397="","",IF(COUNTIF(#REF!,B397)&gt;0,"Valid","Invalid Student ID"))</f>
        <v/>
      </c>
      <c r="G397" t="str">
        <f>IF(C397="","",IF(COUNTIF('Raw Courses'!$A:$A,C397)&gt;0,"Valid","Invalid Course ID"))</f>
        <v/>
      </c>
      <c r="H397" t="str">
        <f t="shared" si="12"/>
        <v/>
      </c>
      <c r="I397" t="str">
        <f t="shared" si="13"/>
        <v/>
      </c>
    </row>
    <row r="398" spans="1:9" x14ac:dyDescent="0.3">
      <c r="A398" t="str">
        <f>IF('Raw Enrollments'!A398="","",'Raw Enrollments'!A398)</f>
        <v/>
      </c>
      <c r="B398" t="str">
        <f>IF('Raw Enrollments'!B398="","",'Raw Enrollments'!B398)</f>
        <v/>
      </c>
      <c r="C398" t="str">
        <f>IF('Raw Enrollments'!C398="","",'Raw Enrollments'!C398)</f>
        <v/>
      </c>
      <c r="D398" t="str">
        <f>IF('Raw Enrollments'!D398="","",'Raw Enrollments'!D398)</f>
        <v/>
      </c>
      <c r="E398" t="str">
        <f>IF('Raw Enrollments'!E398="","",'Raw Enrollments'!E398)</f>
        <v/>
      </c>
      <c r="F398" t="str">
        <f>IF(B398="","",IF(COUNTIF(#REF!,B398)&gt;0,"Valid","Invalid Student ID"))</f>
        <v/>
      </c>
      <c r="G398" t="str">
        <f>IF(C398="","",IF(COUNTIF('Raw Courses'!$A:$A,C398)&gt;0,"Valid","Invalid Course ID"))</f>
        <v/>
      </c>
      <c r="H398" t="str">
        <f t="shared" si="12"/>
        <v/>
      </c>
      <c r="I398" t="str">
        <f t="shared" si="13"/>
        <v/>
      </c>
    </row>
    <row r="399" spans="1:9" x14ac:dyDescent="0.3">
      <c r="A399" t="str">
        <f>IF('Raw Enrollments'!A399="","",'Raw Enrollments'!A399)</f>
        <v/>
      </c>
      <c r="B399" t="str">
        <f>IF('Raw Enrollments'!B399="","",'Raw Enrollments'!B399)</f>
        <v/>
      </c>
      <c r="C399" t="str">
        <f>IF('Raw Enrollments'!C399="","",'Raw Enrollments'!C399)</f>
        <v/>
      </c>
      <c r="D399" t="str">
        <f>IF('Raw Enrollments'!D399="","",'Raw Enrollments'!D399)</f>
        <v/>
      </c>
      <c r="E399" t="str">
        <f>IF('Raw Enrollments'!E399="","",'Raw Enrollments'!E399)</f>
        <v/>
      </c>
      <c r="F399" t="str">
        <f>IF(B399="","",IF(COUNTIF(#REF!,B399)&gt;0,"Valid","Invalid Student ID"))</f>
        <v/>
      </c>
      <c r="G399" t="str">
        <f>IF(C399="","",IF(COUNTIF('Raw Courses'!$A:$A,C399)&gt;0,"Valid","Invalid Course ID"))</f>
        <v/>
      </c>
      <c r="H399" t="str">
        <f t="shared" si="12"/>
        <v/>
      </c>
      <c r="I399" t="str">
        <f t="shared" si="13"/>
        <v/>
      </c>
    </row>
    <row r="400" spans="1:9" x14ac:dyDescent="0.3">
      <c r="A400" t="str">
        <f>IF('Raw Enrollments'!A400="","",'Raw Enrollments'!A400)</f>
        <v/>
      </c>
      <c r="B400" t="str">
        <f>IF('Raw Enrollments'!B400="","",'Raw Enrollments'!B400)</f>
        <v/>
      </c>
      <c r="C400" t="str">
        <f>IF('Raw Enrollments'!C400="","",'Raw Enrollments'!C400)</f>
        <v/>
      </c>
      <c r="D400" t="str">
        <f>IF('Raw Enrollments'!D400="","",'Raw Enrollments'!D400)</f>
        <v/>
      </c>
      <c r="E400" t="str">
        <f>IF('Raw Enrollments'!E400="","",'Raw Enrollments'!E400)</f>
        <v/>
      </c>
      <c r="F400" t="str">
        <f>IF(B400="","",IF(COUNTIF(#REF!,B400)&gt;0,"Valid","Invalid Student ID"))</f>
        <v/>
      </c>
      <c r="G400" t="str">
        <f>IF(C400="","",IF(COUNTIF('Raw Courses'!$A:$A,C400)&gt;0,"Valid","Invalid Course ID"))</f>
        <v/>
      </c>
      <c r="H400" t="str">
        <f t="shared" si="12"/>
        <v/>
      </c>
      <c r="I400" t="str">
        <f t="shared" si="13"/>
        <v/>
      </c>
    </row>
    <row r="401" spans="1:9" x14ac:dyDescent="0.3">
      <c r="A401" t="str">
        <f>IF('Raw Enrollments'!A401="","",'Raw Enrollments'!A401)</f>
        <v/>
      </c>
      <c r="B401" t="str">
        <f>IF('Raw Enrollments'!B401="","",'Raw Enrollments'!B401)</f>
        <v/>
      </c>
      <c r="C401" t="str">
        <f>IF('Raw Enrollments'!C401="","",'Raw Enrollments'!C401)</f>
        <v/>
      </c>
      <c r="D401" t="str">
        <f>IF('Raw Enrollments'!D401="","",'Raw Enrollments'!D401)</f>
        <v/>
      </c>
      <c r="E401" t="str">
        <f>IF('Raw Enrollments'!E401="","",'Raw Enrollments'!E401)</f>
        <v/>
      </c>
      <c r="F401" t="str">
        <f>IF(B401="","",IF(COUNTIF(#REF!,B401)&gt;0,"Valid","Invalid Student ID"))</f>
        <v/>
      </c>
      <c r="G401" t="str">
        <f>IF(C401="","",IF(COUNTIF('Raw Courses'!$A:$A,C401)&gt;0,"Valid","Invalid Course ID"))</f>
        <v/>
      </c>
      <c r="H401" t="str">
        <f t="shared" si="12"/>
        <v/>
      </c>
      <c r="I401" t="str">
        <f t="shared" si="13"/>
        <v/>
      </c>
    </row>
    <row r="402" spans="1:9" x14ac:dyDescent="0.3">
      <c r="A402" t="str">
        <f>IF('Raw Enrollments'!A402="","",'Raw Enrollments'!A402)</f>
        <v/>
      </c>
      <c r="B402" t="str">
        <f>IF('Raw Enrollments'!B402="","",'Raw Enrollments'!B402)</f>
        <v/>
      </c>
      <c r="C402" t="str">
        <f>IF('Raw Enrollments'!C402="","",'Raw Enrollments'!C402)</f>
        <v/>
      </c>
      <c r="D402" t="str">
        <f>IF('Raw Enrollments'!D402="","",'Raw Enrollments'!D402)</f>
        <v/>
      </c>
      <c r="E402" t="str">
        <f>IF('Raw Enrollments'!E402="","",'Raw Enrollments'!E402)</f>
        <v/>
      </c>
      <c r="F402" t="str">
        <f>IF(B402="","",IF(COUNTIF(#REF!,B402)&gt;0,"Valid","Invalid Student ID"))</f>
        <v/>
      </c>
      <c r="G402" t="str">
        <f>IF(C402="","",IF(COUNTIF('Raw Courses'!$A:$A,C402)&gt;0,"Valid","Invalid Course ID"))</f>
        <v/>
      </c>
      <c r="H402" t="str">
        <f t="shared" si="12"/>
        <v/>
      </c>
      <c r="I402" t="str">
        <f t="shared" si="13"/>
        <v/>
      </c>
    </row>
    <row r="403" spans="1:9" x14ac:dyDescent="0.3">
      <c r="A403" t="str">
        <f>IF('Raw Enrollments'!A403="","",'Raw Enrollments'!A403)</f>
        <v/>
      </c>
      <c r="B403" t="str">
        <f>IF('Raw Enrollments'!B403="","",'Raw Enrollments'!B403)</f>
        <v/>
      </c>
      <c r="C403" t="str">
        <f>IF('Raw Enrollments'!C403="","",'Raw Enrollments'!C403)</f>
        <v/>
      </c>
      <c r="D403" t="str">
        <f>IF('Raw Enrollments'!D403="","",'Raw Enrollments'!D403)</f>
        <v/>
      </c>
      <c r="E403" t="str">
        <f>IF('Raw Enrollments'!E403="","",'Raw Enrollments'!E403)</f>
        <v/>
      </c>
      <c r="F403" t="str">
        <f>IF(B403="","",IF(COUNTIF(#REF!,B403)&gt;0,"Valid","Invalid Student ID"))</f>
        <v/>
      </c>
      <c r="G403" t="str">
        <f>IF(C403="","",IF(COUNTIF('Raw Courses'!$A:$A,C403)&gt;0,"Valid","Invalid Course ID"))</f>
        <v/>
      </c>
      <c r="H403" t="str">
        <f t="shared" si="12"/>
        <v/>
      </c>
      <c r="I403" t="str">
        <f t="shared" si="13"/>
        <v/>
      </c>
    </row>
    <row r="404" spans="1:9" x14ac:dyDescent="0.3">
      <c r="A404" t="str">
        <f>IF('Raw Enrollments'!A404="","",'Raw Enrollments'!A404)</f>
        <v/>
      </c>
      <c r="B404" t="str">
        <f>IF('Raw Enrollments'!B404="","",'Raw Enrollments'!B404)</f>
        <v/>
      </c>
      <c r="C404" t="str">
        <f>IF('Raw Enrollments'!C404="","",'Raw Enrollments'!C404)</f>
        <v/>
      </c>
      <c r="D404" t="str">
        <f>IF('Raw Enrollments'!D404="","",'Raw Enrollments'!D404)</f>
        <v/>
      </c>
      <c r="E404" t="str">
        <f>IF('Raw Enrollments'!E404="","",'Raw Enrollments'!E404)</f>
        <v/>
      </c>
      <c r="F404" t="str">
        <f>IF(B404="","",IF(COUNTIF(#REF!,B404)&gt;0,"Valid","Invalid Student ID"))</f>
        <v/>
      </c>
      <c r="G404" t="str">
        <f>IF(C404="","",IF(COUNTIF('Raw Courses'!$A:$A,C404)&gt;0,"Valid","Invalid Course ID"))</f>
        <v/>
      </c>
      <c r="H404" t="str">
        <f t="shared" si="12"/>
        <v/>
      </c>
      <c r="I404" t="str">
        <f t="shared" si="13"/>
        <v/>
      </c>
    </row>
    <row r="405" spans="1:9" x14ac:dyDescent="0.3">
      <c r="A405" t="str">
        <f>IF('Raw Enrollments'!A405="","",'Raw Enrollments'!A405)</f>
        <v/>
      </c>
      <c r="B405" t="str">
        <f>IF('Raw Enrollments'!B405="","",'Raw Enrollments'!B405)</f>
        <v/>
      </c>
      <c r="C405" t="str">
        <f>IF('Raw Enrollments'!C405="","",'Raw Enrollments'!C405)</f>
        <v/>
      </c>
      <c r="D405" t="str">
        <f>IF('Raw Enrollments'!D405="","",'Raw Enrollments'!D405)</f>
        <v/>
      </c>
      <c r="E405" t="str">
        <f>IF('Raw Enrollments'!E405="","",'Raw Enrollments'!E405)</f>
        <v/>
      </c>
      <c r="F405" t="str">
        <f>IF(B405="","",IF(COUNTIF(#REF!,B405)&gt;0,"Valid","Invalid Student ID"))</f>
        <v/>
      </c>
      <c r="G405" t="str">
        <f>IF(C405="","",IF(COUNTIF('Raw Courses'!$A:$A,C405)&gt;0,"Valid","Invalid Course ID"))</f>
        <v/>
      </c>
      <c r="H405" t="str">
        <f t="shared" si="12"/>
        <v/>
      </c>
      <c r="I405" t="str">
        <f t="shared" si="13"/>
        <v/>
      </c>
    </row>
    <row r="406" spans="1:9" x14ac:dyDescent="0.3">
      <c r="A406" t="str">
        <f>IF('Raw Enrollments'!A406="","",'Raw Enrollments'!A406)</f>
        <v/>
      </c>
      <c r="B406" t="str">
        <f>IF('Raw Enrollments'!B406="","",'Raw Enrollments'!B406)</f>
        <v/>
      </c>
      <c r="C406" t="str">
        <f>IF('Raw Enrollments'!C406="","",'Raw Enrollments'!C406)</f>
        <v/>
      </c>
      <c r="D406" t="str">
        <f>IF('Raw Enrollments'!D406="","",'Raw Enrollments'!D406)</f>
        <v/>
      </c>
      <c r="E406" t="str">
        <f>IF('Raw Enrollments'!E406="","",'Raw Enrollments'!E406)</f>
        <v/>
      </c>
      <c r="F406" t="str">
        <f>IF(B406="","",IF(COUNTIF(#REF!,B406)&gt;0,"Valid","Invalid Student ID"))</f>
        <v/>
      </c>
      <c r="G406" t="str">
        <f>IF(C406="","",IF(COUNTIF('Raw Courses'!$A:$A,C406)&gt;0,"Valid","Invalid Course ID"))</f>
        <v/>
      </c>
      <c r="H406" t="str">
        <f t="shared" si="12"/>
        <v/>
      </c>
      <c r="I406" t="str">
        <f t="shared" si="13"/>
        <v/>
      </c>
    </row>
    <row r="407" spans="1:9" x14ac:dyDescent="0.3">
      <c r="A407" t="str">
        <f>IF('Raw Enrollments'!A407="","",'Raw Enrollments'!A407)</f>
        <v/>
      </c>
      <c r="B407" t="str">
        <f>IF('Raw Enrollments'!B407="","",'Raw Enrollments'!B407)</f>
        <v/>
      </c>
      <c r="C407" t="str">
        <f>IF('Raw Enrollments'!C407="","",'Raw Enrollments'!C407)</f>
        <v/>
      </c>
      <c r="D407" t="str">
        <f>IF('Raw Enrollments'!D407="","",'Raw Enrollments'!D407)</f>
        <v/>
      </c>
      <c r="E407" t="str">
        <f>IF('Raw Enrollments'!E407="","",'Raw Enrollments'!E407)</f>
        <v/>
      </c>
      <c r="F407" t="str">
        <f>IF(B407="","",IF(COUNTIF(#REF!,B407)&gt;0,"Valid","Invalid Student ID"))</f>
        <v/>
      </c>
      <c r="G407" t="str">
        <f>IF(C407="","",IF(COUNTIF('Raw Courses'!$A:$A,C407)&gt;0,"Valid","Invalid Course ID"))</f>
        <v/>
      </c>
      <c r="H407" t="str">
        <f t="shared" si="12"/>
        <v/>
      </c>
      <c r="I407" t="str">
        <f t="shared" si="13"/>
        <v/>
      </c>
    </row>
    <row r="408" spans="1:9" x14ac:dyDescent="0.3">
      <c r="A408" t="str">
        <f>IF('Raw Enrollments'!A408="","",'Raw Enrollments'!A408)</f>
        <v/>
      </c>
      <c r="B408" t="str">
        <f>IF('Raw Enrollments'!B408="","",'Raw Enrollments'!B408)</f>
        <v/>
      </c>
      <c r="C408" t="str">
        <f>IF('Raw Enrollments'!C408="","",'Raw Enrollments'!C408)</f>
        <v/>
      </c>
      <c r="D408" t="str">
        <f>IF('Raw Enrollments'!D408="","",'Raw Enrollments'!D408)</f>
        <v/>
      </c>
      <c r="E408" t="str">
        <f>IF('Raw Enrollments'!E408="","",'Raw Enrollments'!E408)</f>
        <v/>
      </c>
      <c r="F408" t="str">
        <f>IF(B408="","",IF(COUNTIF(#REF!,B408)&gt;0,"Valid","Invalid Student ID"))</f>
        <v/>
      </c>
      <c r="G408" t="str">
        <f>IF(C408="","",IF(COUNTIF('Raw Courses'!$A:$A,C408)&gt;0,"Valid","Invalid Course ID"))</f>
        <v/>
      </c>
      <c r="H408" t="str">
        <f t="shared" si="12"/>
        <v/>
      </c>
      <c r="I408" t="str">
        <f t="shared" si="13"/>
        <v/>
      </c>
    </row>
    <row r="409" spans="1:9" x14ac:dyDescent="0.3">
      <c r="A409" t="str">
        <f>IF('Raw Enrollments'!A409="","",'Raw Enrollments'!A409)</f>
        <v/>
      </c>
      <c r="B409" t="str">
        <f>IF('Raw Enrollments'!B409="","",'Raw Enrollments'!B409)</f>
        <v/>
      </c>
      <c r="C409" t="str">
        <f>IF('Raw Enrollments'!C409="","",'Raw Enrollments'!C409)</f>
        <v/>
      </c>
      <c r="D409" t="str">
        <f>IF('Raw Enrollments'!D409="","",'Raw Enrollments'!D409)</f>
        <v/>
      </c>
      <c r="E409" t="str">
        <f>IF('Raw Enrollments'!E409="","",'Raw Enrollments'!E409)</f>
        <v/>
      </c>
      <c r="F409" t="str">
        <f>IF(B409="","",IF(COUNTIF(#REF!,B409)&gt;0,"Valid","Invalid Student ID"))</f>
        <v/>
      </c>
      <c r="G409" t="str">
        <f>IF(C409="","",IF(COUNTIF('Raw Courses'!$A:$A,C409)&gt;0,"Valid","Invalid Course ID"))</f>
        <v/>
      </c>
      <c r="H409" t="str">
        <f t="shared" si="12"/>
        <v/>
      </c>
      <c r="I409" t="str">
        <f t="shared" si="13"/>
        <v/>
      </c>
    </row>
    <row r="410" spans="1:9" x14ac:dyDescent="0.3">
      <c r="A410" t="str">
        <f>IF('Raw Enrollments'!A410="","",'Raw Enrollments'!A410)</f>
        <v/>
      </c>
      <c r="B410" t="str">
        <f>IF('Raw Enrollments'!B410="","",'Raw Enrollments'!B410)</f>
        <v/>
      </c>
      <c r="C410" t="str">
        <f>IF('Raw Enrollments'!C410="","",'Raw Enrollments'!C410)</f>
        <v/>
      </c>
      <c r="D410" t="str">
        <f>IF('Raw Enrollments'!D410="","",'Raw Enrollments'!D410)</f>
        <v/>
      </c>
      <c r="E410" t="str">
        <f>IF('Raw Enrollments'!E410="","",'Raw Enrollments'!E410)</f>
        <v/>
      </c>
      <c r="F410" t="str">
        <f>IF(B410="","",IF(COUNTIF(#REF!,B410)&gt;0,"Valid","Invalid Student ID"))</f>
        <v/>
      </c>
      <c r="G410" t="str">
        <f>IF(C410="","",IF(COUNTIF('Raw Courses'!$A:$A,C410)&gt;0,"Valid","Invalid Course ID"))</f>
        <v/>
      </c>
      <c r="H410" t="str">
        <f t="shared" si="12"/>
        <v/>
      </c>
      <c r="I410" t="str">
        <f t="shared" si="13"/>
        <v/>
      </c>
    </row>
    <row r="411" spans="1:9" x14ac:dyDescent="0.3">
      <c r="A411" t="str">
        <f>IF('Raw Enrollments'!A411="","",'Raw Enrollments'!A411)</f>
        <v/>
      </c>
      <c r="B411" t="str">
        <f>IF('Raw Enrollments'!B411="","",'Raw Enrollments'!B411)</f>
        <v/>
      </c>
      <c r="C411" t="str">
        <f>IF('Raw Enrollments'!C411="","",'Raw Enrollments'!C411)</f>
        <v/>
      </c>
      <c r="D411" t="str">
        <f>IF('Raw Enrollments'!D411="","",'Raw Enrollments'!D411)</f>
        <v/>
      </c>
      <c r="E411" t="str">
        <f>IF('Raw Enrollments'!E411="","",'Raw Enrollments'!E411)</f>
        <v/>
      </c>
      <c r="F411" t="str">
        <f>IF(B411="","",IF(COUNTIF(#REF!,B411)&gt;0,"Valid","Invalid Student ID"))</f>
        <v/>
      </c>
      <c r="G411" t="str">
        <f>IF(C411="","",IF(COUNTIF('Raw Courses'!$A:$A,C411)&gt;0,"Valid","Invalid Course ID"))</f>
        <v/>
      </c>
      <c r="H411" t="str">
        <f t="shared" si="12"/>
        <v/>
      </c>
      <c r="I411" t="str">
        <f t="shared" si="13"/>
        <v/>
      </c>
    </row>
    <row r="412" spans="1:9" x14ac:dyDescent="0.3">
      <c r="A412" t="str">
        <f>IF('Raw Enrollments'!A412="","",'Raw Enrollments'!A412)</f>
        <v/>
      </c>
      <c r="B412" t="str">
        <f>IF('Raw Enrollments'!B412="","",'Raw Enrollments'!B412)</f>
        <v/>
      </c>
      <c r="C412" t="str">
        <f>IF('Raw Enrollments'!C412="","",'Raw Enrollments'!C412)</f>
        <v/>
      </c>
      <c r="D412" t="str">
        <f>IF('Raw Enrollments'!D412="","",'Raw Enrollments'!D412)</f>
        <v/>
      </c>
      <c r="E412" t="str">
        <f>IF('Raw Enrollments'!E412="","",'Raw Enrollments'!E412)</f>
        <v/>
      </c>
      <c r="F412" t="str">
        <f>IF(B412="","",IF(COUNTIF(#REF!,B412)&gt;0,"Valid","Invalid Student ID"))</f>
        <v/>
      </c>
      <c r="G412" t="str">
        <f>IF(C412="","",IF(COUNTIF('Raw Courses'!$A:$A,C412)&gt;0,"Valid","Invalid Course ID"))</f>
        <v/>
      </c>
      <c r="H412" t="str">
        <f t="shared" si="12"/>
        <v/>
      </c>
      <c r="I412" t="str">
        <f t="shared" si="13"/>
        <v/>
      </c>
    </row>
    <row r="413" spans="1:9" x14ac:dyDescent="0.3">
      <c r="A413" t="str">
        <f>IF('Raw Enrollments'!A413="","",'Raw Enrollments'!A413)</f>
        <v/>
      </c>
      <c r="B413" t="str">
        <f>IF('Raw Enrollments'!B413="","",'Raw Enrollments'!B413)</f>
        <v/>
      </c>
      <c r="C413" t="str">
        <f>IF('Raw Enrollments'!C413="","",'Raw Enrollments'!C413)</f>
        <v/>
      </c>
      <c r="D413" t="str">
        <f>IF('Raw Enrollments'!D413="","",'Raw Enrollments'!D413)</f>
        <v/>
      </c>
      <c r="E413" t="str">
        <f>IF('Raw Enrollments'!E413="","",'Raw Enrollments'!E413)</f>
        <v/>
      </c>
      <c r="F413" t="str">
        <f>IF(B413="","",IF(COUNTIF(#REF!,B413)&gt;0,"Valid","Invalid Student ID"))</f>
        <v/>
      </c>
      <c r="G413" t="str">
        <f>IF(C413="","",IF(COUNTIF('Raw Courses'!$A:$A,C413)&gt;0,"Valid","Invalid Course ID"))</f>
        <v/>
      </c>
      <c r="H413" t="str">
        <f t="shared" si="12"/>
        <v/>
      </c>
      <c r="I413" t="str">
        <f t="shared" si="13"/>
        <v/>
      </c>
    </row>
    <row r="414" spans="1:9" x14ac:dyDescent="0.3">
      <c r="A414" t="str">
        <f>IF('Raw Enrollments'!A414="","",'Raw Enrollments'!A414)</f>
        <v/>
      </c>
      <c r="B414" t="str">
        <f>IF('Raw Enrollments'!B414="","",'Raw Enrollments'!B414)</f>
        <v/>
      </c>
      <c r="C414" t="str">
        <f>IF('Raw Enrollments'!C414="","",'Raw Enrollments'!C414)</f>
        <v/>
      </c>
      <c r="D414" t="str">
        <f>IF('Raw Enrollments'!D414="","",'Raw Enrollments'!D414)</f>
        <v/>
      </c>
      <c r="E414" t="str">
        <f>IF('Raw Enrollments'!E414="","",'Raw Enrollments'!E414)</f>
        <v/>
      </c>
      <c r="F414" t="str">
        <f>IF(B414="","",IF(COUNTIF(#REF!,B414)&gt;0,"Valid","Invalid Student ID"))</f>
        <v/>
      </c>
      <c r="G414" t="str">
        <f>IF(C414="","",IF(COUNTIF('Raw Courses'!$A:$A,C414)&gt;0,"Valid","Invalid Course ID"))</f>
        <v/>
      </c>
      <c r="H414" t="str">
        <f t="shared" si="12"/>
        <v/>
      </c>
      <c r="I414" t="str">
        <f t="shared" si="13"/>
        <v/>
      </c>
    </row>
    <row r="415" spans="1:9" x14ac:dyDescent="0.3">
      <c r="A415" t="str">
        <f>IF('Raw Enrollments'!A415="","",'Raw Enrollments'!A415)</f>
        <v/>
      </c>
      <c r="B415" t="str">
        <f>IF('Raw Enrollments'!B415="","",'Raw Enrollments'!B415)</f>
        <v/>
      </c>
      <c r="C415" t="str">
        <f>IF('Raw Enrollments'!C415="","",'Raw Enrollments'!C415)</f>
        <v/>
      </c>
      <c r="D415" t="str">
        <f>IF('Raw Enrollments'!D415="","",'Raw Enrollments'!D415)</f>
        <v/>
      </c>
      <c r="E415" t="str">
        <f>IF('Raw Enrollments'!E415="","",'Raw Enrollments'!E415)</f>
        <v/>
      </c>
      <c r="F415" t="str">
        <f>IF(B415="","",IF(COUNTIF(#REF!,B415)&gt;0,"Valid","Invalid Student ID"))</f>
        <v/>
      </c>
      <c r="G415" t="str">
        <f>IF(C415="","",IF(COUNTIF('Raw Courses'!$A:$A,C415)&gt;0,"Valid","Invalid Course ID"))</f>
        <v/>
      </c>
      <c r="H415" t="str">
        <f t="shared" si="12"/>
        <v/>
      </c>
      <c r="I415" t="str">
        <f t="shared" si="13"/>
        <v/>
      </c>
    </row>
    <row r="416" spans="1:9" x14ac:dyDescent="0.3">
      <c r="A416" t="str">
        <f>IF('Raw Enrollments'!A416="","",'Raw Enrollments'!A416)</f>
        <v/>
      </c>
      <c r="B416" t="str">
        <f>IF('Raw Enrollments'!B416="","",'Raw Enrollments'!B416)</f>
        <v/>
      </c>
      <c r="C416" t="str">
        <f>IF('Raw Enrollments'!C416="","",'Raw Enrollments'!C416)</f>
        <v/>
      </c>
      <c r="D416" t="str">
        <f>IF('Raw Enrollments'!D416="","",'Raw Enrollments'!D416)</f>
        <v/>
      </c>
      <c r="E416" t="str">
        <f>IF('Raw Enrollments'!E416="","",'Raw Enrollments'!E416)</f>
        <v/>
      </c>
      <c r="F416" t="str">
        <f>IF(B416="","",IF(COUNTIF(#REF!,B416)&gt;0,"Valid","Invalid Student ID"))</f>
        <v/>
      </c>
      <c r="G416" t="str">
        <f>IF(C416="","",IF(COUNTIF('Raw Courses'!$A:$A,C416)&gt;0,"Valid","Invalid Course ID"))</f>
        <v/>
      </c>
      <c r="H416" t="str">
        <f t="shared" si="12"/>
        <v/>
      </c>
      <c r="I416" t="str">
        <f t="shared" si="13"/>
        <v/>
      </c>
    </row>
    <row r="417" spans="1:9" x14ac:dyDescent="0.3">
      <c r="A417" t="str">
        <f>IF('Raw Enrollments'!A417="","",'Raw Enrollments'!A417)</f>
        <v/>
      </c>
      <c r="B417" t="str">
        <f>IF('Raw Enrollments'!B417="","",'Raw Enrollments'!B417)</f>
        <v/>
      </c>
      <c r="C417" t="str">
        <f>IF('Raw Enrollments'!C417="","",'Raw Enrollments'!C417)</f>
        <v/>
      </c>
      <c r="D417" t="str">
        <f>IF('Raw Enrollments'!D417="","",'Raw Enrollments'!D417)</f>
        <v/>
      </c>
      <c r="E417" t="str">
        <f>IF('Raw Enrollments'!E417="","",'Raw Enrollments'!E417)</f>
        <v/>
      </c>
      <c r="F417" t="str">
        <f>IF(B417="","",IF(COUNTIF(#REF!,B417)&gt;0,"Valid","Invalid Student ID"))</f>
        <v/>
      </c>
      <c r="G417" t="str">
        <f>IF(C417="","",IF(COUNTIF('Raw Courses'!$A:$A,C417)&gt;0,"Valid","Invalid Course ID"))</f>
        <v/>
      </c>
      <c r="H417" t="str">
        <f t="shared" si="12"/>
        <v/>
      </c>
      <c r="I417" t="str">
        <f t="shared" si="13"/>
        <v/>
      </c>
    </row>
    <row r="418" spans="1:9" x14ac:dyDescent="0.3">
      <c r="A418" t="str">
        <f>IF('Raw Enrollments'!A418="","",'Raw Enrollments'!A418)</f>
        <v/>
      </c>
      <c r="B418" t="str">
        <f>IF('Raw Enrollments'!B418="","",'Raw Enrollments'!B418)</f>
        <v/>
      </c>
      <c r="C418" t="str">
        <f>IF('Raw Enrollments'!C418="","",'Raw Enrollments'!C418)</f>
        <v/>
      </c>
      <c r="D418" t="str">
        <f>IF('Raw Enrollments'!D418="","",'Raw Enrollments'!D418)</f>
        <v/>
      </c>
      <c r="E418" t="str">
        <f>IF('Raw Enrollments'!E418="","",'Raw Enrollments'!E418)</f>
        <v/>
      </c>
      <c r="F418" t="str">
        <f>IF(B418="","",IF(COUNTIF(#REF!,B418)&gt;0,"Valid","Invalid Student ID"))</f>
        <v/>
      </c>
      <c r="G418" t="str">
        <f>IF(C418="","",IF(COUNTIF('Raw Courses'!$A:$A,C418)&gt;0,"Valid","Invalid Course ID"))</f>
        <v/>
      </c>
      <c r="H418" t="str">
        <f t="shared" si="12"/>
        <v/>
      </c>
      <c r="I418" t="str">
        <f t="shared" si="13"/>
        <v/>
      </c>
    </row>
    <row r="419" spans="1:9" x14ac:dyDescent="0.3">
      <c r="A419" t="str">
        <f>IF('Raw Enrollments'!A419="","",'Raw Enrollments'!A419)</f>
        <v/>
      </c>
      <c r="B419" t="str">
        <f>IF('Raw Enrollments'!B419="","",'Raw Enrollments'!B419)</f>
        <v/>
      </c>
      <c r="C419" t="str">
        <f>IF('Raw Enrollments'!C419="","",'Raw Enrollments'!C419)</f>
        <v/>
      </c>
      <c r="D419" t="str">
        <f>IF('Raw Enrollments'!D419="","",'Raw Enrollments'!D419)</f>
        <v/>
      </c>
      <c r="E419" t="str">
        <f>IF('Raw Enrollments'!E419="","",'Raw Enrollments'!E419)</f>
        <v/>
      </c>
      <c r="F419" t="str">
        <f>IF(B419="","",IF(COUNTIF(#REF!,B419)&gt;0,"Valid","Invalid Student ID"))</f>
        <v/>
      </c>
      <c r="G419" t="str">
        <f>IF(C419="","",IF(COUNTIF('Raw Courses'!$A:$A,C419)&gt;0,"Valid","Invalid Course ID"))</f>
        <v/>
      </c>
      <c r="H419" t="str">
        <f t="shared" si="12"/>
        <v/>
      </c>
      <c r="I419" t="str">
        <f t="shared" si="13"/>
        <v/>
      </c>
    </row>
    <row r="420" spans="1:9" x14ac:dyDescent="0.3">
      <c r="A420" t="str">
        <f>IF('Raw Enrollments'!A420="","",'Raw Enrollments'!A420)</f>
        <v/>
      </c>
      <c r="B420" t="str">
        <f>IF('Raw Enrollments'!B420="","",'Raw Enrollments'!B420)</f>
        <v/>
      </c>
      <c r="C420" t="str">
        <f>IF('Raw Enrollments'!C420="","",'Raw Enrollments'!C420)</f>
        <v/>
      </c>
      <c r="D420" t="str">
        <f>IF('Raw Enrollments'!D420="","",'Raw Enrollments'!D420)</f>
        <v/>
      </c>
      <c r="E420" t="str">
        <f>IF('Raw Enrollments'!E420="","",'Raw Enrollments'!E420)</f>
        <v/>
      </c>
      <c r="F420" t="str">
        <f>IF(B420="","",IF(COUNTIF(#REF!,B420)&gt;0,"Valid","Invalid Student ID"))</f>
        <v/>
      </c>
      <c r="G420" t="str">
        <f>IF(C420="","",IF(COUNTIF('Raw Courses'!$A:$A,C420)&gt;0,"Valid","Invalid Course ID"))</f>
        <v/>
      </c>
      <c r="H420" t="str">
        <f t="shared" si="12"/>
        <v/>
      </c>
      <c r="I420" t="str">
        <f t="shared" si="13"/>
        <v/>
      </c>
    </row>
    <row r="421" spans="1:9" x14ac:dyDescent="0.3">
      <c r="A421" t="str">
        <f>IF('Raw Enrollments'!A421="","",'Raw Enrollments'!A421)</f>
        <v/>
      </c>
      <c r="B421" t="str">
        <f>IF('Raw Enrollments'!B421="","",'Raw Enrollments'!B421)</f>
        <v/>
      </c>
      <c r="C421" t="str">
        <f>IF('Raw Enrollments'!C421="","",'Raw Enrollments'!C421)</f>
        <v/>
      </c>
      <c r="D421" t="str">
        <f>IF('Raw Enrollments'!D421="","",'Raw Enrollments'!D421)</f>
        <v/>
      </c>
      <c r="E421" t="str">
        <f>IF('Raw Enrollments'!E421="","",'Raw Enrollments'!E421)</f>
        <v/>
      </c>
      <c r="F421" t="str">
        <f>IF(B421="","",IF(COUNTIF(#REF!,B421)&gt;0,"Valid","Invalid Student ID"))</f>
        <v/>
      </c>
      <c r="G421" t="str">
        <f>IF(C421="","",IF(COUNTIF('Raw Courses'!$A:$A,C421)&gt;0,"Valid","Invalid Course ID"))</f>
        <v/>
      </c>
      <c r="H421" t="str">
        <f t="shared" si="12"/>
        <v/>
      </c>
      <c r="I421" t="str">
        <f t="shared" si="13"/>
        <v/>
      </c>
    </row>
    <row r="422" spans="1:9" x14ac:dyDescent="0.3">
      <c r="A422" t="str">
        <f>IF('Raw Enrollments'!A422="","",'Raw Enrollments'!A422)</f>
        <v/>
      </c>
      <c r="B422" t="str">
        <f>IF('Raw Enrollments'!B422="","",'Raw Enrollments'!B422)</f>
        <v/>
      </c>
      <c r="C422" t="str">
        <f>IF('Raw Enrollments'!C422="","",'Raw Enrollments'!C422)</f>
        <v/>
      </c>
      <c r="D422" t="str">
        <f>IF('Raw Enrollments'!D422="","",'Raw Enrollments'!D422)</f>
        <v/>
      </c>
      <c r="E422" t="str">
        <f>IF('Raw Enrollments'!E422="","",'Raw Enrollments'!E422)</f>
        <v/>
      </c>
      <c r="F422" t="str">
        <f>IF(B422="","",IF(COUNTIF(#REF!,B422)&gt;0,"Valid","Invalid Student ID"))</f>
        <v/>
      </c>
      <c r="G422" t="str">
        <f>IF(C422="","",IF(COUNTIF('Raw Courses'!$A:$A,C422)&gt;0,"Valid","Invalid Course ID"))</f>
        <v/>
      </c>
      <c r="H422" t="str">
        <f t="shared" si="12"/>
        <v/>
      </c>
      <c r="I422" t="str">
        <f t="shared" si="13"/>
        <v/>
      </c>
    </row>
    <row r="423" spans="1:9" x14ac:dyDescent="0.3">
      <c r="A423" t="str">
        <f>IF('Raw Enrollments'!A423="","",'Raw Enrollments'!A423)</f>
        <v/>
      </c>
      <c r="B423" t="str">
        <f>IF('Raw Enrollments'!B423="","",'Raw Enrollments'!B423)</f>
        <v/>
      </c>
      <c r="C423" t="str">
        <f>IF('Raw Enrollments'!C423="","",'Raw Enrollments'!C423)</f>
        <v/>
      </c>
      <c r="D423" t="str">
        <f>IF('Raw Enrollments'!D423="","",'Raw Enrollments'!D423)</f>
        <v/>
      </c>
      <c r="E423" t="str">
        <f>IF('Raw Enrollments'!E423="","",'Raw Enrollments'!E423)</f>
        <v/>
      </c>
      <c r="F423" t="str">
        <f>IF(B423="","",IF(COUNTIF(#REF!,B423)&gt;0,"Valid","Invalid Student ID"))</f>
        <v/>
      </c>
      <c r="G423" t="str">
        <f>IF(C423="","",IF(COUNTIF('Raw Courses'!$A:$A,C423)&gt;0,"Valid","Invalid Course ID"))</f>
        <v/>
      </c>
      <c r="H423" t="str">
        <f t="shared" si="12"/>
        <v/>
      </c>
      <c r="I423" t="str">
        <f t="shared" si="13"/>
        <v/>
      </c>
    </row>
    <row r="424" spans="1:9" x14ac:dyDescent="0.3">
      <c r="A424" t="str">
        <f>IF('Raw Enrollments'!A424="","",'Raw Enrollments'!A424)</f>
        <v/>
      </c>
      <c r="B424" t="str">
        <f>IF('Raw Enrollments'!B424="","",'Raw Enrollments'!B424)</f>
        <v/>
      </c>
      <c r="C424" t="str">
        <f>IF('Raw Enrollments'!C424="","",'Raw Enrollments'!C424)</f>
        <v/>
      </c>
      <c r="D424" t="str">
        <f>IF('Raw Enrollments'!D424="","",'Raw Enrollments'!D424)</f>
        <v/>
      </c>
      <c r="E424" t="str">
        <f>IF('Raw Enrollments'!E424="","",'Raw Enrollments'!E424)</f>
        <v/>
      </c>
      <c r="F424" t="str">
        <f>IF(B424="","",IF(COUNTIF(#REF!,B424)&gt;0,"Valid","Invalid Student ID"))</f>
        <v/>
      </c>
      <c r="G424" t="str">
        <f>IF(C424="","",IF(COUNTIF('Raw Courses'!$A:$A,C424)&gt;0,"Valid","Invalid Course ID"))</f>
        <v/>
      </c>
      <c r="H424" t="str">
        <f t="shared" si="12"/>
        <v/>
      </c>
      <c r="I424" t="str">
        <f t="shared" si="13"/>
        <v/>
      </c>
    </row>
    <row r="425" spans="1:9" x14ac:dyDescent="0.3">
      <c r="A425" t="str">
        <f>IF('Raw Enrollments'!A425="","",'Raw Enrollments'!A425)</f>
        <v/>
      </c>
      <c r="B425" t="str">
        <f>IF('Raw Enrollments'!B425="","",'Raw Enrollments'!B425)</f>
        <v/>
      </c>
      <c r="C425" t="str">
        <f>IF('Raw Enrollments'!C425="","",'Raw Enrollments'!C425)</f>
        <v/>
      </c>
      <c r="D425" t="str">
        <f>IF('Raw Enrollments'!D425="","",'Raw Enrollments'!D425)</f>
        <v/>
      </c>
      <c r="E425" t="str">
        <f>IF('Raw Enrollments'!E425="","",'Raw Enrollments'!E425)</f>
        <v/>
      </c>
      <c r="F425" t="str">
        <f>IF(B425="","",IF(COUNTIF(#REF!,B425)&gt;0,"Valid","Invalid Student ID"))</f>
        <v/>
      </c>
      <c r="G425" t="str">
        <f>IF(C425="","",IF(COUNTIF('Raw Courses'!$A:$A,C425)&gt;0,"Valid","Invalid Course ID"))</f>
        <v/>
      </c>
      <c r="H425" t="str">
        <f t="shared" si="12"/>
        <v/>
      </c>
      <c r="I425" t="str">
        <f t="shared" si="13"/>
        <v/>
      </c>
    </row>
    <row r="426" spans="1:9" x14ac:dyDescent="0.3">
      <c r="A426" t="str">
        <f>IF('Raw Enrollments'!A426="","",'Raw Enrollments'!A426)</f>
        <v/>
      </c>
      <c r="B426" t="str">
        <f>IF('Raw Enrollments'!B426="","",'Raw Enrollments'!B426)</f>
        <v/>
      </c>
      <c r="C426" t="str">
        <f>IF('Raw Enrollments'!C426="","",'Raw Enrollments'!C426)</f>
        <v/>
      </c>
      <c r="D426" t="str">
        <f>IF('Raw Enrollments'!D426="","",'Raw Enrollments'!D426)</f>
        <v/>
      </c>
      <c r="E426" t="str">
        <f>IF('Raw Enrollments'!E426="","",'Raw Enrollments'!E426)</f>
        <v/>
      </c>
      <c r="F426" t="str">
        <f>IF(B426="","",IF(COUNTIF(#REF!,B426)&gt;0,"Valid","Invalid Student ID"))</f>
        <v/>
      </c>
      <c r="G426" t="str">
        <f>IF(C426="","",IF(COUNTIF('Raw Courses'!$A:$A,C426)&gt;0,"Valid","Invalid Course ID"))</f>
        <v/>
      </c>
      <c r="H426" t="str">
        <f t="shared" si="12"/>
        <v/>
      </c>
      <c r="I426" t="str">
        <f t="shared" si="13"/>
        <v/>
      </c>
    </row>
    <row r="427" spans="1:9" x14ac:dyDescent="0.3">
      <c r="A427" t="str">
        <f>IF('Raw Enrollments'!A427="","",'Raw Enrollments'!A427)</f>
        <v/>
      </c>
      <c r="B427" t="str">
        <f>IF('Raw Enrollments'!B427="","",'Raw Enrollments'!B427)</f>
        <v/>
      </c>
      <c r="C427" t="str">
        <f>IF('Raw Enrollments'!C427="","",'Raw Enrollments'!C427)</f>
        <v/>
      </c>
      <c r="D427" t="str">
        <f>IF('Raw Enrollments'!D427="","",'Raw Enrollments'!D427)</f>
        <v/>
      </c>
      <c r="E427" t="str">
        <f>IF('Raw Enrollments'!E427="","",'Raw Enrollments'!E427)</f>
        <v/>
      </c>
      <c r="F427" t="str">
        <f>IF(B427="","",IF(COUNTIF(#REF!,B427)&gt;0,"Valid","Invalid Student ID"))</f>
        <v/>
      </c>
      <c r="G427" t="str">
        <f>IF(C427="","",IF(COUNTIF('Raw Courses'!$A:$A,C427)&gt;0,"Valid","Invalid Course ID"))</f>
        <v/>
      </c>
      <c r="H427" t="str">
        <f t="shared" si="12"/>
        <v/>
      </c>
      <c r="I427" t="str">
        <f t="shared" si="13"/>
        <v/>
      </c>
    </row>
    <row r="428" spans="1:9" x14ac:dyDescent="0.3">
      <c r="A428" t="str">
        <f>IF('Raw Enrollments'!A428="","",'Raw Enrollments'!A428)</f>
        <v/>
      </c>
      <c r="B428" t="str">
        <f>IF('Raw Enrollments'!B428="","",'Raw Enrollments'!B428)</f>
        <v/>
      </c>
      <c r="C428" t="str">
        <f>IF('Raw Enrollments'!C428="","",'Raw Enrollments'!C428)</f>
        <v/>
      </c>
      <c r="D428" t="str">
        <f>IF('Raw Enrollments'!D428="","",'Raw Enrollments'!D428)</f>
        <v/>
      </c>
      <c r="E428" t="str">
        <f>IF('Raw Enrollments'!E428="","",'Raw Enrollments'!E428)</f>
        <v/>
      </c>
      <c r="F428" t="str">
        <f>IF(B428="","",IF(COUNTIF(#REF!,B428)&gt;0,"Valid","Invalid Student ID"))</f>
        <v/>
      </c>
      <c r="G428" t="str">
        <f>IF(C428="","",IF(COUNTIF('Raw Courses'!$A:$A,C428)&gt;0,"Valid","Invalid Course ID"))</f>
        <v/>
      </c>
      <c r="H428" t="str">
        <f t="shared" si="12"/>
        <v/>
      </c>
      <c r="I428" t="str">
        <f t="shared" si="13"/>
        <v/>
      </c>
    </row>
    <row r="429" spans="1:9" x14ac:dyDescent="0.3">
      <c r="A429" t="str">
        <f>IF('Raw Enrollments'!A429="","",'Raw Enrollments'!A429)</f>
        <v/>
      </c>
      <c r="B429" t="str">
        <f>IF('Raw Enrollments'!B429="","",'Raw Enrollments'!B429)</f>
        <v/>
      </c>
      <c r="C429" t="str">
        <f>IF('Raw Enrollments'!C429="","",'Raw Enrollments'!C429)</f>
        <v/>
      </c>
      <c r="D429" t="str">
        <f>IF('Raw Enrollments'!D429="","",'Raw Enrollments'!D429)</f>
        <v/>
      </c>
      <c r="E429" t="str">
        <f>IF('Raw Enrollments'!E429="","",'Raw Enrollments'!E429)</f>
        <v/>
      </c>
      <c r="F429" t="str">
        <f>IF(B429="","",IF(COUNTIF(#REF!,B429)&gt;0,"Valid","Invalid Student ID"))</f>
        <v/>
      </c>
      <c r="G429" t="str">
        <f>IF(C429="","",IF(COUNTIF('Raw Courses'!$A:$A,C429)&gt;0,"Valid","Invalid Course ID"))</f>
        <v/>
      </c>
      <c r="H429" t="str">
        <f t="shared" si="12"/>
        <v/>
      </c>
      <c r="I429" t="str">
        <f t="shared" si="13"/>
        <v/>
      </c>
    </row>
    <row r="430" spans="1:9" x14ac:dyDescent="0.3">
      <c r="A430" t="str">
        <f>IF('Raw Enrollments'!A430="","",'Raw Enrollments'!A430)</f>
        <v/>
      </c>
      <c r="B430" t="str">
        <f>IF('Raw Enrollments'!B430="","",'Raw Enrollments'!B430)</f>
        <v/>
      </c>
      <c r="C430" t="str">
        <f>IF('Raw Enrollments'!C430="","",'Raw Enrollments'!C430)</f>
        <v/>
      </c>
      <c r="D430" t="str">
        <f>IF('Raw Enrollments'!D430="","",'Raw Enrollments'!D430)</f>
        <v/>
      </c>
      <c r="E430" t="str">
        <f>IF('Raw Enrollments'!E430="","",'Raw Enrollments'!E430)</f>
        <v/>
      </c>
      <c r="F430" t="str">
        <f>IF(B430="","",IF(COUNTIF(#REF!,B430)&gt;0,"Valid","Invalid Student ID"))</f>
        <v/>
      </c>
      <c r="G430" t="str">
        <f>IF(C430="","",IF(COUNTIF('Raw Courses'!$A:$A,C430)&gt;0,"Valid","Invalid Course ID"))</f>
        <v/>
      </c>
      <c r="H430" t="str">
        <f t="shared" si="12"/>
        <v/>
      </c>
      <c r="I430" t="str">
        <f t="shared" si="13"/>
        <v/>
      </c>
    </row>
    <row r="431" spans="1:9" x14ac:dyDescent="0.3">
      <c r="A431" t="str">
        <f>IF('Raw Enrollments'!A431="","",'Raw Enrollments'!A431)</f>
        <v/>
      </c>
      <c r="B431" t="str">
        <f>IF('Raw Enrollments'!B431="","",'Raw Enrollments'!B431)</f>
        <v/>
      </c>
      <c r="C431" t="str">
        <f>IF('Raw Enrollments'!C431="","",'Raw Enrollments'!C431)</f>
        <v/>
      </c>
      <c r="D431" t="str">
        <f>IF('Raw Enrollments'!D431="","",'Raw Enrollments'!D431)</f>
        <v/>
      </c>
      <c r="E431" t="str">
        <f>IF('Raw Enrollments'!E431="","",'Raw Enrollments'!E431)</f>
        <v/>
      </c>
      <c r="F431" t="str">
        <f>IF(B431="","",IF(COUNTIF(#REF!,B431)&gt;0,"Valid","Invalid Student ID"))</f>
        <v/>
      </c>
      <c r="G431" t="str">
        <f>IF(C431="","",IF(COUNTIF('Raw Courses'!$A:$A,C431)&gt;0,"Valid","Invalid Course ID"))</f>
        <v/>
      </c>
      <c r="H431" t="str">
        <f t="shared" si="12"/>
        <v/>
      </c>
      <c r="I431" t="str">
        <f t="shared" si="13"/>
        <v/>
      </c>
    </row>
    <row r="432" spans="1:9" x14ac:dyDescent="0.3">
      <c r="A432" t="str">
        <f>IF('Raw Enrollments'!A432="","",'Raw Enrollments'!A432)</f>
        <v/>
      </c>
      <c r="B432" t="str">
        <f>IF('Raw Enrollments'!B432="","",'Raw Enrollments'!B432)</f>
        <v/>
      </c>
      <c r="C432" t="str">
        <f>IF('Raw Enrollments'!C432="","",'Raw Enrollments'!C432)</f>
        <v/>
      </c>
      <c r="D432" t="str">
        <f>IF('Raw Enrollments'!D432="","",'Raw Enrollments'!D432)</f>
        <v/>
      </c>
      <c r="E432" t="str">
        <f>IF('Raw Enrollments'!E432="","",'Raw Enrollments'!E432)</f>
        <v/>
      </c>
      <c r="F432" t="str">
        <f>IF(B432="","",IF(COUNTIF(#REF!,B432)&gt;0,"Valid","Invalid Student ID"))</f>
        <v/>
      </c>
      <c r="G432" t="str">
        <f>IF(C432="","",IF(COUNTIF('Raw Courses'!$A:$A,C432)&gt;0,"Valid","Invalid Course ID"))</f>
        <v/>
      </c>
      <c r="H432" t="str">
        <f t="shared" si="12"/>
        <v/>
      </c>
      <c r="I432" t="str">
        <f t="shared" si="13"/>
        <v/>
      </c>
    </row>
    <row r="433" spans="1:9" x14ac:dyDescent="0.3">
      <c r="A433" t="str">
        <f>IF('Raw Enrollments'!A433="","",'Raw Enrollments'!A433)</f>
        <v/>
      </c>
      <c r="B433" t="str">
        <f>IF('Raw Enrollments'!B433="","",'Raw Enrollments'!B433)</f>
        <v/>
      </c>
      <c r="C433" t="str">
        <f>IF('Raw Enrollments'!C433="","",'Raw Enrollments'!C433)</f>
        <v/>
      </c>
      <c r="D433" t="str">
        <f>IF('Raw Enrollments'!D433="","",'Raw Enrollments'!D433)</f>
        <v/>
      </c>
      <c r="E433" t="str">
        <f>IF('Raw Enrollments'!E433="","",'Raw Enrollments'!E433)</f>
        <v/>
      </c>
      <c r="F433" t="str">
        <f>IF(B433="","",IF(COUNTIF(#REF!,B433)&gt;0,"Valid","Invalid Student ID"))</f>
        <v/>
      </c>
      <c r="G433" t="str">
        <f>IF(C433="","",IF(COUNTIF('Raw Courses'!$A:$A,C433)&gt;0,"Valid","Invalid Course ID"))</f>
        <v/>
      </c>
      <c r="H433" t="str">
        <f t="shared" si="12"/>
        <v/>
      </c>
      <c r="I433" t="str">
        <f t="shared" si="13"/>
        <v/>
      </c>
    </row>
    <row r="434" spans="1:9" x14ac:dyDescent="0.3">
      <c r="A434" t="str">
        <f>IF('Raw Enrollments'!A434="","",'Raw Enrollments'!A434)</f>
        <v/>
      </c>
      <c r="B434" t="str">
        <f>IF('Raw Enrollments'!B434="","",'Raw Enrollments'!B434)</f>
        <v/>
      </c>
      <c r="C434" t="str">
        <f>IF('Raw Enrollments'!C434="","",'Raw Enrollments'!C434)</f>
        <v/>
      </c>
      <c r="D434" t="str">
        <f>IF('Raw Enrollments'!D434="","",'Raw Enrollments'!D434)</f>
        <v/>
      </c>
      <c r="E434" t="str">
        <f>IF('Raw Enrollments'!E434="","",'Raw Enrollments'!E434)</f>
        <v/>
      </c>
      <c r="F434" t="str">
        <f>IF(B434="","",IF(COUNTIF(#REF!,B434)&gt;0,"Valid","Invalid Student ID"))</f>
        <v/>
      </c>
      <c r="G434" t="str">
        <f>IF(C434="","",IF(COUNTIF('Raw Courses'!$A:$A,C434)&gt;0,"Valid","Invalid Course ID"))</f>
        <v/>
      </c>
      <c r="H434" t="str">
        <f t="shared" si="12"/>
        <v/>
      </c>
      <c r="I434" t="str">
        <f t="shared" si="13"/>
        <v/>
      </c>
    </row>
    <row r="435" spans="1:9" x14ac:dyDescent="0.3">
      <c r="A435" t="str">
        <f>IF('Raw Enrollments'!A435="","",'Raw Enrollments'!A435)</f>
        <v/>
      </c>
      <c r="B435" t="str">
        <f>IF('Raw Enrollments'!B435="","",'Raw Enrollments'!B435)</f>
        <v/>
      </c>
      <c r="C435" t="str">
        <f>IF('Raw Enrollments'!C435="","",'Raw Enrollments'!C435)</f>
        <v/>
      </c>
      <c r="D435" t="str">
        <f>IF('Raw Enrollments'!D435="","",'Raw Enrollments'!D435)</f>
        <v/>
      </c>
      <c r="E435" t="str">
        <f>IF('Raw Enrollments'!E435="","",'Raw Enrollments'!E435)</f>
        <v/>
      </c>
      <c r="F435" t="str">
        <f>IF(B435="","",IF(COUNTIF(#REF!,B435)&gt;0,"Valid","Invalid Student ID"))</f>
        <v/>
      </c>
      <c r="G435" t="str">
        <f>IF(C435="","",IF(COUNTIF('Raw Courses'!$A:$A,C435)&gt;0,"Valid","Invalid Course ID"))</f>
        <v/>
      </c>
      <c r="H435" t="str">
        <f t="shared" si="12"/>
        <v/>
      </c>
      <c r="I435" t="str">
        <f t="shared" si="13"/>
        <v/>
      </c>
    </row>
    <row r="436" spans="1:9" x14ac:dyDescent="0.3">
      <c r="A436" t="str">
        <f>IF('Raw Enrollments'!A436="","",'Raw Enrollments'!A436)</f>
        <v/>
      </c>
      <c r="B436" t="str">
        <f>IF('Raw Enrollments'!B436="","",'Raw Enrollments'!B436)</f>
        <v/>
      </c>
      <c r="C436" t="str">
        <f>IF('Raw Enrollments'!C436="","",'Raw Enrollments'!C436)</f>
        <v/>
      </c>
      <c r="D436" t="str">
        <f>IF('Raw Enrollments'!D436="","",'Raw Enrollments'!D436)</f>
        <v/>
      </c>
      <c r="E436" t="str">
        <f>IF('Raw Enrollments'!E436="","",'Raw Enrollments'!E436)</f>
        <v/>
      </c>
      <c r="F436" t="str">
        <f>IF(B436="","",IF(COUNTIF(#REF!,B436)&gt;0,"Valid","Invalid Student ID"))</f>
        <v/>
      </c>
      <c r="G436" t="str">
        <f>IF(C436="","",IF(COUNTIF('Raw Courses'!$A:$A,C436)&gt;0,"Valid","Invalid Course ID"))</f>
        <v/>
      </c>
      <c r="H436" t="str">
        <f t="shared" si="12"/>
        <v/>
      </c>
      <c r="I436" t="str">
        <f t="shared" si="13"/>
        <v/>
      </c>
    </row>
    <row r="437" spans="1:9" x14ac:dyDescent="0.3">
      <c r="A437" t="str">
        <f>IF('Raw Enrollments'!A437="","",'Raw Enrollments'!A437)</f>
        <v/>
      </c>
      <c r="B437" t="str">
        <f>IF('Raw Enrollments'!B437="","",'Raw Enrollments'!B437)</f>
        <v/>
      </c>
      <c r="C437" t="str">
        <f>IF('Raw Enrollments'!C437="","",'Raw Enrollments'!C437)</f>
        <v/>
      </c>
      <c r="D437" t="str">
        <f>IF('Raw Enrollments'!D437="","",'Raw Enrollments'!D437)</f>
        <v/>
      </c>
      <c r="E437" t="str">
        <f>IF('Raw Enrollments'!E437="","",'Raw Enrollments'!E437)</f>
        <v/>
      </c>
      <c r="F437" t="str">
        <f>IF(B437="","",IF(COUNTIF(#REF!,B437)&gt;0,"Valid","Invalid Student ID"))</f>
        <v/>
      </c>
      <c r="G437" t="str">
        <f>IF(C437="","",IF(COUNTIF('Raw Courses'!$A:$A,C437)&gt;0,"Valid","Invalid Course ID"))</f>
        <v/>
      </c>
      <c r="H437" t="str">
        <f t="shared" si="12"/>
        <v/>
      </c>
      <c r="I437" t="str">
        <f t="shared" si="13"/>
        <v/>
      </c>
    </row>
    <row r="438" spans="1:9" x14ac:dyDescent="0.3">
      <c r="A438" t="str">
        <f>IF('Raw Enrollments'!A438="","",'Raw Enrollments'!A438)</f>
        <v/>
      </c>
      <c r="B438" t="str">
        <f>IF('Raw Enrollments'!B438="","",'Raw Enrollments'!B438)</f>
        <v/>
      </c>
      <c r="C438" t="str">
        <f>IF('Raw Enrollments'!C438="","",'Raw Enrollments'!C438)</f>
        <v/>
      </c>
      <c r="D438" t="str">
        <f>IF('Raw Enrollments'!D438="","",'Raw Enrollments'!D438)</f>
        <v/>
      </c>
      <c r="E438" t="str">
        <f>IF('Raw Enrollments'!E438="","",'Raw Enrollments'!E438)</f>
        <v/>
      </c>
      <c r="F438" t="str">
        <f>IF(B438="","",IF(COUNTIF(#REF!,B438)&gt;0,"Valid","Invalid Student ID"))</f>
        <v/>
      </c>
      <c r="G438" t="str">
        <f>IF(C438="","",IF(COUNTIF('Raw Courses'!$A:$A,C438)&gt;0,"Valid","Invalid Course ID"))</f>
        <v/>
      </c>
      <c r="H438" t="str">
        <f t="shared" si="12"/>
        <v/>
      </c>
      <c r="I438" t="str">
        <f t="shared" si="13"/>
        <v/>
      </c>
    </row>
    <row r="439" spans="1:9" x14ac:dyDescent="0.3">
      <c r="A439" t="str">
        <f>IF('Raw Enrollments'!A439="","",'Raw Enrollments'!A439)</f>
        <v/>
      </c>
      <c r="B439" t="str">
        <f>IF('Raw Enrollments'!B439="","",'Raw Enrollments'!B439)</f>
        <v/>
      </c>
      <c r="C439" t="str">
        <f>IF('Raw Enrollments'!C439="","",'Raw Enrollments'!C439)</f>
        <v/>
      </c>
      <c r="D439" t="str">
        <f>IF('Raw Enrollments'!D439="","",'Raw Enrollments'!D439)</f>
        <v/>
      </c>
      <c r="E439" t="str">
        <f>IF('Raw Enrollments'!E439="","",'Raw Enrollments'!E439)</f>
        <v/>
      </c>
      <c r="F439" t="str">
        <f>IF(B439="","",IF(COUNTIF(#REF!,B439)&gt;0,"Valid","Invalid Student ID"))</f>
        <v/>
      </c>
      <c r="G439" t="str">
        <f>IF(C439="","",IF(COUNTIF('Raw Courses'!$A:$A,C439)&gt;0,"Valid","Invalid Course ID"))</f>
        <v/>
      </c>
      <c r="H439" t="str">
        <f t="shared" si="12"/>
        <v/>
      </c>
      <c r="I439" t="str">
        <f t="shared" si="13"/>
        <v/>
      </c>
    </row>
    <row r="440" spans="1:9" x14ac:dyDescent="0.3">
      <c r="A440" t="str">
        <f>IF('Raw Enrollments'!A440="","",'Raw Enrollments'!A440)</f>
        <v/>
      </c>
      <c r="B440" t="str">
        <f>IF('Raw Enrollments'!B440="","",'Raw Enrollments'!B440)</f>
        <v/>
      </c>
      <c r="C440" t="str">
        <f>IF('Raw Enrollments'!C440="","",'Raw Enrollments'!C440)</f>
        <v/>
      </c>
      <c r="D440" t="str">
        <f>IF('Raw Enrollments'!D440="","",'Raw Enrollments'!D440)</f>
        <v/>
      </c>
      <c r="E440" t="str">
        <f>IF('Raw Enrollments'!E440="","",'Raw Enrollments'!E440)</f>
        <v/>
      </c>
      <c r="F440" t="str">
        <f>IF(B440="","",IF(COUNTIF(#REF!,B440)&gt;0,"Valid","Invalid Student ID"))</f>
        <v/>
      </c>
      <c r="G440" t="str">
        <f>IF(C440="","",IF(COUNTIF('Raw Courses'!$A:$A,C440)&gt;0,"Valid","Invalid Course ID"))</f>
        <v/>
      </c>
      <c r="H440" t="str">
        <f t="shared" si="12"/>
        <v/>
      </c>
      <c r="I440" t="str">
        <f t="shared" si="13"/>
        <v/>
      </c>
    </row>
    <row r="441" spans="1:9" x14ac:dyDescent="0.3">
      <c r="A441" t="str">
        <f>IF('Raw Enrollments'!A441="","",'Raw Enrollments'!A441)</f>
        <v/>
      </c>
      <c r="B441" t="str">
        <f>IF('Raw Enrollments'!B441="","",'Raw Enrollments'!B441)</f>
        <v/>
      </c>
      <c r="C441" t="str">
        <f>IF('Raw Enrollments'!C441="","",'Raw Enrollments'!C441)</f>
        <v/>
      </c>
      <c r="D441" t="str">
        <f>IF('Raw Enrollments'!D441="","",'Raw Enrollments'!D441)</f>
        <v/>
      </c>
      <c r="E441" t="str">
        <f>IF('Raw Enrollments'!E441="","",'Raw Enrollments'!E441)</f>
        <v/>
      </c>
      <c r="F441" t="str">
        <f>IF(B441="","",IF(COUNTIF(#REF!,B441)&gt;0,"Valid","Invalid Student ID"))</f>
        <v/>
      </c>
      <c r="G441" t="str">
        <f>IF(C441="","",IF(COUNTIF('Raw Courses'!$A:$A,C441)&gt;0,"Valid","Invalid Course ID"))</f>
        <v/>
      </c>
      <c r="H441" t="str">
        <f t="shared" si="12"/>
        <v/>
      </c>
      <c r="I441" t="str">
        <f t="shared" si="13"/>
        <v/>
      </c>
    </row>
    <row r="442" spans="1:9" x14ac:dyDescent="0.3">
      <c r="A442" t="str">
        <f>IF('Raw Enrollments'!A442="","",'Raw Enrollments'!A442)</f>
        <v/>
      </c>
      <c r="B442" t="str">
        <f>IF('Raw Enrollments'!B442="","",'Raw Enrollments'!B442)</f>
        <v/>
      </c>
      <c r="C442" t="str">
        <f>IF('Raw Enrollments'!C442="","",'Raw Enrollments'!C442)</f>
        <v/>
      </c>
      <c r="D442" t="str">
        <f>IF('Raw Enrollments'!D442="","",'Raw Enrollments'!D442)</f>
        <v/>
      </c>
      <c r="E442" t="str">
        <f>IF('Raw Enrollments'!E442="","",'Raw Enrollments'!E442)</f>
        <v/>
      </c>
      <c r="F442" t="str">
        <f>IF(B442="","",IF(COUNTIF(#REF!,B442)&gt;0,"Valid","Invalid Student ID"))</f>
        <v/>
      </c>
      <c r="G442" t="str">
        <f>IF(C442="","",IF(COUNTIF('Raw Courses'!$A:$A,C442)&gt;0,"Valid","Invalid Course ID"))</f>
        <v/>
      </c>
      <c r="H442" t="str">
        <f t="shared" si="12"/>
        <v/>
      </c>
      <c r="I442" t="str">
        <f t="shared" si="13"/>
        <v/>
      </c>
    </row>
    <row r="443" spans="1:9" x14ac:dyDescent="0.3">
      <c r="A443" t="str">
        <f>IF('Raw Enrollments'!A443="","",'Raw Enrollments'!A443)</f>
        <v/>
      </c>
      <c r="B443" t="str">
        <f>IF('Raw Enrollments'!B443="","",'Raw Enrollments'!B443)</f>
        <v/>
      </c>
      <c r="C443" t="str">
        <f>IF('Raw Enrollments'!C443="","",'Raw Enrollments'!C443)</f>
        <v/>
      </c>
      <c r="D443" t="str">
        <f>IF('Raw Enrollments'!D443="","",'Raw Enrollments'!D443)</f>
        <v/>
      </c>
      <c r="E443" t="str">
        <f>IF('Raw Enrollments'!E443="","",'Raw Enrollments'!E443)</f>
        <v/>
      </c>
      <c r="F443" t="str">
        <f>IF(B443="","",IF(COUNTIF(#REF!,B443)&gt;0,"Valid","Invalid Student ID"))</f>
        <v/>
      </c>
      <c r="G443" t="str">
        <f>IF(C443="","",IF(COUNTIF('Raw Courses'!$A:$A,C443)&gt;0,"Valid","Invalid Course ID"))</f>
        <v/>
      </c>
      <c r="H443" t="str">
        <f t="shared" si="12"/>
        <v/>
      </c>
      <c r="I443" t="str">
        <f t="shared" si="13"/>
        <v/>
      </c>
    </row>
    <row r="444" spans="1:9" x14ac:dyDescent="0.3">
      <c r="A444" t="str">
        <f>IF('Raw Enrollments'!A444="","",'Raw Enrollments'!A444)</f>
        <v/>
      </c>
      <c r="B444" t="str">
        <f>IF('Raw Enrollments'!B444="","",'Raw Enrollments'!B444)</f>
        <v/>
      </c>
      <c r="C444" t="str">
        <f>IF('Raw Enrollments'!C444="","",'Raw Enrollments'!C444)</f>
        <v/>
      </c>
      <c r="D444" t="str">
        <f>IF('Raw Enrollments'!D444="","",'Raw Enrollments'!D444)</f>
        <v/>
      </c>
      <c r="E444" t="str">
        <f>IF('Raw Enrollments'!E444="","",'Raw Enrollments'!E444)</f>
        <v/>
      </c>
      <c r="F444" t="str">
        <f>IF(B444="","",IF(COUNTIF(#REF!,B444)&gt;0,"Valid","Invalid Student ID"))</f>
        <v/>
      </c>
      <c r="G444" t="str">
        <f>IF(C444="","",IF(COUNTIF('Raw Courses'!$A:$A,C444)&gt;0,"Valid","Invalid Course ID"))</f>
        <v/>
      </c>
      <c r="H444" t="str">
        <f t="shared" si="12"/>
        <v/>
      </c>
      <c r="I444" t="str">
        <f t="shared" si="13"/>
        <v/>
      </c>
    </row>
    <row r="445" spans="1:9" x14ac:dyDescent="0.3">
      <c r="A445" t="str">
        <f>IF('Raw Enrollments'!A445="","",'Raw Enrollments'!A445)</f>
        <v/>
      </c>
      <c r="B445" t="str">
        <f>IF('Raw Enrollments'!B445="","",'Raw Enrollments'!B445)</f>
        <v/>
      </c>
      <c r="C445" t="str">
        <f>IF('Raw Enrollments'!C445="","",'Raw Enrollments'!C445)</f>
        <v/>
      </c>
      <c r="D445" t="str">
        <f>IF('Raw Enrollments'!D445="","",'Raw Enrollments'!D445)</f>
        <v/>
      </c>
      <c r="E445" t="str">
        <f>IF('Raw Enrollments'!E445="","",'Raw Enrollments'!E445)</f>
        <v/>
      </c>
      <c r="F445" t="str">
        <f>IF(B445="","",IF(COUNTIF(#REF!,B445)&gt;0,"Valid","Invalid Student ID"))</f>
        <v/>
      </c>
      <c r="G445" t="str">
        <f>IF(C445="","",IF(COUNTIF('Raw Courses'!$A:$A,C445)&gt;0,"Valid","Invalid Course ID"))</f>
        <v/>
      </c>
      <c r="H445" t="str">
        <f t="shared" si="12"/>
        <v/>
      </c>
      <c r="I445" t="str">
        <f t="shared" si="13"/>
        <v/>
      </c>
    </row>
    <row r="446" spans="1:9" x14ac:dyDescent="0.3">
      <c r="A446" t="str">
        <f>IF('Raw Enrollments'!A446="","",'Raw Enrollments'!A446)</f>
        <v/>
      </c>
      <c r="B446" t="str">
        <f>IF('Raw Enrollments'!B446="","",'Raw Enrollments'!B446)</f>
        <v/>
      </c>
      <c r="C446" t="str">
        <f>IF('Raw Enrollments'!C446="","",'Raw Enrollments'!C446)</f>
        <v/>
      </c>
      <c r="D446" t="str">
        <f>IF('Raw Enrollments'!D446="","",'Raw Enrollments'!D446)</f>
        <v/>
      </c>
      <c r="E446" t="str">
        <f>IF('Raw Enrollments'!E446="","",'Raw Enrollments'!E446)</f>
        <v/>
      </c>
      <c r="F446" t="str">
        <f>IF(B446="","",IF(COUNTIF(#REF!,B446)&gt;0,"Valid","Invalid Student ID"))</f>
        <v/>
      </c>
      <c r="G446" t="str">
        <f>IF(C446="","",IF(COUNTIF('Raw Courses'!$A:$A,C446)&gt;0,"Valid","Invalid Course ID"))</f>
        <v/>
      </c>
      <c r="H446" t="str">
        <f t="shared" si="12"/>
        <v/>
      </c>
      <c r="I446" t="str">
        <f t="shared" si="13"/>
        <v/>
      </c>
    </row>
    <row r="447" spans="1:9" x14ac:dyDescent="0.3">
      <c r="A447" t="str">
        <f>IF('Raw Enrollments'!A447="","",'Raw Enrollments'!A447)</f>
        <v/>
      </c>
      <c r="B447" t="str">
        <f>IF('Raw Enrollments'!B447="","",'Raw Enrollments'!B447)</f>
        <v/>
      </c>
      <c r="C447" t="str">
        <f>IF('Raw Enrollments'!C447="","",'Raw Enrollments'!C447)</f>
        <v/>
      </c>
      <c r="D447" t="str">
        <f>IF('Raw Enrollments'!D447="","",'Raw Enrollments'!D447)</f>
        <v/>
      </c>
      <c r="E447" t="str">
        <f>IF('Raw Enrollments'!E447="","",'Raw Enrollments'!E447)</f>
        <v/>
      </c>
      <c r="F447" t="str">
        <f>IF(B447="","",IF(COUNTIF(#REF!,B447)&gt;0,"Valid","Invalid Student ID"))</f>
        <v/>
      </c>
      <c r="G447" t="str">
        <f>IF(C447="","",IF(COUNTIF('Raw Courses'!$A:$A,C447)&gt;0,"Valid","Invalid Course ID"))</f>
        <v/>
      </c>
      <c r="H447" t="str">
        <f t="shared" si="12"/>
        <v/>
      </c>
      <c r="I447" t="str">
        <f t="shared" si="13"/>
        <v/>
      </c>
    </row>
    <row r="448" spans="1:9" x14ac:dyDescent="0.3">
      <c r="A448" t="str">
        <f>IF('Raw Enrollments'!A448="","",'Raw Enrollments'!A448)</f>
        <v/>
      </c>
      <c r="B448" t="str">
        <f>IF('Raw Enrollments'!B448="","",'Raw Enrollments'!B448)</f>
        <v/>
      </c>
      <c r="C448" t="str">
        <f>IF('Raw Enrollments'!C448="","",'Raw Enrollments'!C448)</f>
        <v/>
      </c>
      <c r="D448" t="str">
        <f>IF('Raw Enrollments'!D448="","",'Raw Enrollments'!D448)</f>
        <v/>
      </c>
      <c r="E448" t="str">
        <f>IF('Raw Enrollments'!E448="","",'Raw Enrollments'!E448)</f>
        <v/>
      </c>
      <c r="F448" t="str">
        <f>IF(B448="","",IF(COUNTIF(#REF!,B448)&gt;0,"Valid","Invalid Student ID"))</f>
        <v/>
      </c>
      <c r="G448" t="str">
        <f>IF(C448="","",IF(COUNTIF('Raw Courses'!$A:$A,C448)&gt;0,"Valid","Invalid Course ID"))</f>
        <v/>
      </c>
      <c r="H448" t="str">
        <f t="shared" si="12"/>
        <v/>
      </c>
      <c r="I448" t="str">
        <f t="shared" si="13"/>
        <v/>
      </c>
    </row>
    <row r="449" spans="1:9" x14ac:dyDescent="0.3">
      <c r="A449" t="str">
        <f>IF('Raw Enrollments'!A449="","",'Raw Enrollments'!A449)</f>
        <v/>
      </c>
      <c r="B449" t="str">
        <f>IF('Raw Enrollments'!B449="","",'Raw Enrollments'!B449)</f>
        <v/>
      </c>
      <c r="C449" t="str">
        <f>IF('Raw Enrollments'!C449="","",'Raw Enrollments'!C449)</f>
        <v/>
      </c>
      <c r="D449" t="str">
        <f>IF('Raw Enrollments'!D449="","",'Raw Enrollments'!D449)</f>
        <v/>
      </c>
      <c r="E449" t="str">
        <f>IF('Raw Enrollments'!E449="","",'Raw Enrollments'!E449)</f>
        <v/>
      </c>
      <c r="F449" t="str">
        <f>IF(B449="","",IF(COUNTIF(#REF!,B449)&gt;0,"Valid","Invalid Student ID"))</f>
        <v/>
      </c>
      <c r="G449" t="str">
        <f>IF(C449="","",IF(COUNTIF('Raw Courses'!$A:$A,C449)&gt;0,"Valid","Invalid Course ID"))</f>
        <v/>
      </c>
      <c r="H449" t="str">
        <f t="shared" si="12"/>
        <v/>
      </c>
      <c r="I449" t="str">
        <f t="shared" si="13"/>
        <v/>
      </c>
    </row>
    <row r="450" spans="1:9" x14ac:dyDescent="0.3">
      <c r="A450" t="str">
        <f>IF('Raw Enrollments'!A450="","",'Raw Enrollments'!A450)</f>
        <v/>
      </c>
      <c r="B450" t="str">
        <f>IF('Raw Enrollments'!B450="","",'Raw Enrollments'!B450)</f>
        <v/>
      </c>
      <c r="C450" t="str">
        <f>IF('Raw Enrollments'!C450="","",'Raw Enrollments'!C450)</f>
        <v/>
      </c>
      <c r="D450" t="str">
        <f>IF('Raw Enrollments'!D450="","",'Raw Enrollments'!D450)</f>
        <v/>
      </c>
      <c r="E450" t="str">
        <f>IF('Raw Enrollments'!E450="","",'Raw Enrollments'!E450)</f>
        <v/>
      </c>
      <c r="F450" t="str">
        <f>IF(B450="","",IF(COUNTIF(#REF!,B450)&gt;0,"Valid","Invalid Student ID"))</f>
        <v/>
      </c>
      <c r="G450" t="str">
        <f>IF(C450="","",IF(COUNTIF('Raw Courses'!$A:$A,C450)&gt;0,"Valid","Invalid Course ID"))</f>
        <v/>
      </c>
      <c r="H450" t="str">
        <f t="shared" si="12"/>
        <v/>
      </c>
      <c r="I450" t="str">
        <f t="shared" si="13"/>
        <v/>
      </c>
    </row>
    <row r="451" spans="1:9" x14ac:dyDescent="0.3">
      <c r="A451" t="str">
        <f>IF('Raw Enrollments'!A451="","",'Raw Enrollments'!A451)</f>
        <v/>
      </c>
      <c r="B451" t="str">
        <f>IF('Raw Enrollments'!B451="","",'Raw Enrollments'!B451)</f>
        <v/>
      </c>
      <c r="C451" t="str">
        <f>IF('Raw Enrollments'!C451="","",'Raw Enrollments'!C451)</f>
        <v/>
      </c>
      <c r="D451" t="str">
        <f>IF('Raw Enrollments'!D451="","",'Raw Enrollments'!D451)</f>
        <v/>
      </c>
      <c r="E451" t="str">
        <f>IF('Raw Enrollments'!E451="","",'Raw Enrollments'!E451)</f>
        <v/>
      </c>
      <c r="F451" t="str">
        <f>IF(B451="","",IF(COUNTIF(#REF!,B451)&gt;0,"Valid","Invalid Student ID"))</f>
        <v/>
      </c>
      <c r="G451" t="str">
        <f>IF(C451="","",IF(COUNTIF('Raw Courses'!$A:$A,C451)&gt;0,"Valid","Invalid Course ID"))</f>
        <v/>
      </c>
      <c r="H451" t="str">
        <f t="shared" si="12"/>
        <v/>
      </c>
      <c r="I451" t="str">
        <f t="shared" si="13"/>
        <v/>
      </c>
    </row>
    <row r="452" spans="1:9" x14ac:dyDescent="0.3">
      <c r="A452" t="str">
        <f>IF('Raw Enrollments'!A452="","",'Raw Enrollments'!A452)</f>
        <v/>
      </c>
      <c r="B452" t="str">
        <f>IF('Raw Enrollments'!B452="","",'Raw Enrollments'!B452)</f>
        <v/>
      </c>
      <c r="C452" t="str">
        <f>IF('Raw Enrollments'!C452="","",'Raw Enrollments'!C452)</f>
        <v/>
      </c>
      <c r="D452" t="str">
        <f>IF('Raw Enrollments'!D452="","",'Raw Enrollments'!D452)</f>
        <v/>
      </c>
      <c r="E452" t="str">
        <f>IF('Raw Enrollments'!E452="","",'Raw Enrollments'!E452)</f>
        <v/>
      </c>
      <c r="F452" t="str">
        <f>IF(B452="","",IF(COUNTIF(#REF!,B452)&gt;0,"Valid","Invalid Student ID"))</f>
        <v/>
      </c>
      <c r="G452" t="str">
        <f>IF(C452="","",IF(COUNTIF('Raw Courses'!$A:$A,C452)&gt;0,"Valid","Invalid Course ID"))</f>
        <v/>
      </c>
      <c r="H452" t="str">
        <f t="shared" si="12"/>
        <v/>
      </c>
      <c r="I452" t="str">
        <f t="shared" si="13"/>
        <v/>
      </c>
    </row>
    <row r="453" spans="1:9" x14ac:dyDescent="0.3">
      <c r="A453" t="str">
        <f>IF('Raw Enrollments'!A453="","",'Raw Enrollments'!A453)</f>
        <v/>
      </c>
      <c r="B453" t="str">
        <f>IF('Raw Enrollments'!B453="","",'Raw Enrollments'!B453)</f>
        <v/>
      </c>
      <c r="C453" t="str">
        <f>IF('Raw Enrollments'!C453="","",'Raw Enrollments'!C453)</f>
        <v/>
      </c>
      <c r="D453" t="str">
        <f>IF('Raw Enrollments'!D453="","",'Raw Enrollments'!D453)</f>
        <v/>
      </c>
      <c r="E453" t="str">
        <f>IF('Raw Enrollments'!E453="","",'Raw Enrollments'!E453)</f>
        <v/>
      </c>
      <c r="F453" t="str">
        <f>IF(B453="","",IF(COUNTIF(#REF!,B453)&gt;0,"Valid","Invalid Student ID"))</f>
        <v/>
      </c>
      <c r="G453" t="str">
        <f>IF(C453="","",IF(COUNTIF('Raw Courses'!$A:$A,C453)&gt;0,"Valid","Invalid Course ID"))</f>
        <v/>
      </c>
      <c r="H453" t="str">
        <f t="shared" ref="H453:H504" si="14">IF(A453="","",IF(COUNTIF($A$5:$A$504,A453)&gt;1,"Duplicate","Unique"))</f>
        <v/>
      </c>
      <c r="I453" t="str">
        <f t="shared" ref="I453:I516" si="15">IF(A453="","",IF(OR(F453="Invalid Student ID",G453="Invalid Course ID",H453="Duplicate",D453="",E453=""),"Review","Pass"))</f>
        <v/>
      </c>
    </row>
    <row r="454" spans="1:9" x14ac:dyDescent="0.3">
      <c r="A454" t="str">
        <f>IF('Raw Enrollments'!A454="","",'Raw Enrollments'!A454)</f>
        <v/>
      </c>
      <c r="B454" t="str">
        <f>IF('Raw Enrollments'!B454="","",'Raw Enrollments'!B454)</f>
        <v/>
      </c>
      <c r="C454" t="str">
        <f>IF('Raw Enrollments'!C454="","",'Raw Enrollments'!C454)</f>
        <v/>
      </c>
      <c r="D454" t="str">
        <f>IF('Raw Enrollments'!D454="","",'Raw Enrollments'!D454)</f>
        <v/>
      </c>
      <c r="E454" t="str">
        <f>IF('Raw Enrollments'!E454="","",'Raw Enrollments'!E454)</f>
        <v/>
      </c>
      <c r="F454" t="str">
        <f>IF(B454="","",IF(COUNTIF(#REF!,B454)&gt;0,"Valid","Invalid Student ID"))</f>
        <v/>
      </c>
      <c r="G454" t="str">
        <f>IF(C454="","",IF(COUNTIF('Raw Courses'!$A:$A,C454)&gt;0,"Valid","Invalid Course ID"))</f>
        <v/>
      </c>
      <c r="H454" t="str">
        <f t="shared" si="14"/>
        <v/>
      </c>
      <c r="I454" t="str">
        <f t="shared" si="15"/>
        <v/>
      </c>
    </row>
    <row r="455" spans="1:9" x14ac:dyDescent="0.3">
      <c r="A455" t="str">
        <f>IF('Raw Enrollments'!A455="","",'Raw Enrollments'!A455)</f>
        <v/>
      </c>
      <c r="B455" t="str">
        <f>IF('Raw Enrollments'!B455="","",'Raw Enrollments'!B455)</f>
        <v/>
      </c>
      <c r="C455" t="str">
        <f>IF('Raw Enrollments'!C455="","",'Raw Enrollments'!C455)</f>
        <v/>
      </c>
      <c r="D455" t="str">
        <f>IF('Raw Enrollments'!D455="","",'Raw Enrollments'!D455)</f>
        <v/>
      </c>
      <c r="E455" t="str">
        <f>IF('Raw Enrollments'!E455="","",'Raw Enrollments'!E455)</f>
        <v/>
      </c>
      <c r="F455" t="str">
        <f>IF(B455="","",IF(COUNTIF(#REF!,B455)&gt;0,"Valid","Invalid Student ID"))</f>
        <v/>
      </c>
      <c r="G455" t="str">
        <f>IF(C455="","",IF(COUNTIF('Raw Courses'!$A:$A,C455)&gt;0,"Valid","Invalid Course ID"))</f>
        <v/>
      </c>
      <c r="H455" t="str">
        <f t="shared" si="14"/>
        <v/>
      </c>
      <c r="I455" t="str">
        <f t="shared" si="15"/>
        <v/>
      </c>
    </row>
    <row r="456" spans="1:9" x14ac:dyDescent="0.3">
      <c r="A456" t="str">
        <f>IF('Raw Enrollments'!A456="","",'Raw Enrollments'!A456)</f>
        <v/>
      </c>
      <c r="B456" t="str">
        <f>IF('Raw Enrollments'!B456="","",'Raw Enrollments'!B456)</f>
        <v/>
      </c>
      <c r="C456" t="str">
        <f>IF('Raw Enrollments'!C456="","",'Raw Enrollments'!C456)</f>
        <v/>
      </c>
      <c r="D456" t="str">
        <f>IF('Raw Enrollments'!D456="","",'Raw Enrollments'!D456)</f>
        <v/>
      </c>
      <c r="E456" t="str">
        <f>IF('Raw Enrollments'!E456="","",'Raw Enrollments'!E456)</f>
        <v/>
      </c>
      <c r="F456" t="str">
        <f>IF(B456="","",IF(COUNTIF(#REF!,B456)&gt;0,"Valid","Invalid Student ID"))</f>
        <v/>
      </c>
      <c r="G456" t="str">
        <f>IF(C456="","",IF(COUNTIF('Raw Courses'!$A:$A,C456)&gt;0,"Valid","Invalid Course ID"))</f>
        <v/>
      </c>
      <c r="H456" t="str">
        <f t="shared" si="14"/>
        <v/>
      </c>
      <c r="I456" t="str">
        <f t="shared" si="15"/>
        <v/>
      </c>
    </row>
    <row r="457" spans="1:9" x14ac:dyDescent="0.3">
      <c r="A457" t="str">
        <f>IF('Raw Enrollments'!A457="","",'Raw Enrollments'!A457)</f>
        <v/>
      </c>
      <c r="B457" t="str">
        <f>IF('Raw Enrollments'!B457="","",'Raw Enrollments'!B457)</f>
        <v/>
      </c>
      <c r="C457" t="str">
        <f>IF('Raw Enrollments'!C457="","",'Raw Enrollments'!C457)</f>
        <v/>
      </c>
      <c r="D457" t="str">
        <f>IF('Raw Enrollments'!D457="","",'Raw Enrollments'!D457)</f>
        <v/>
      </c>
      <c r="E457" t="str">
        <f>IF('Raw Enrollments'!E457="","",'Raw Enrollments'!E457)</f>
        <v/>
      </c>
      <c r="F457" t="str">
        <f>IF(B457="","",IF(COUNTIF(#REF!,B457)&gt;0,"Valid","Invalid Student ID"))</f>
        <v/>
      </c>
      <c r="G457" t="str">
        <f>IF(C457="","",IF(COUNTIF('Raw Courses'!$A:$A,C457)&gt;0,"Valid","Invalid Course ID"))</f>
        <v/>
      </c>
      <c r="H457" t="str">
        <f t="shared" si="14"/>
        <v/>
      </c>
      <c r="I457" t="str">
        <f t="shared" si="15"/>
        <v/>
      </c>
    </row>
    <row r="458" spans="1:9" x14ac:dyDescent="0.3">
      <c r="A458" t="str">
        <f>IF('Raw Enrollments'!A458="","",'Raw Enrollments'!A458)</f>
        <v/>
      </c>
      <c r="B458" t="str">
        <f>IF('Raw Enrollments'!B458="","",'Raw Enrollments'!B458)</f>
        <v/>
      </c>
      <c r="C458" t="str">
        <f>IF('Raw Enrollments'!C458="","",'Raw Enrollments'!C458)</f>
        <v/>
      </c>
      <c r="D458" t="str">
        <f>IF('Raw Enrollments'!D458="","",'Raw Enrollments'!D458)</f>
        <v/>
      </c>
      <c r="E458" t="str">
        <f>IF('Raw Enrollments'!E458="","",'Raw Enrollments'!E458)</f>
        <v/>
      </c>
      <c r="F458" t="str">
        <f>IF(B458="","",IF(COUNTIF(#REF!,B458)&gt;0,"Valid","Invalid Student ID"))</f>
        <v/>
      </c>
      <c r="G458" t="str">
        <f>IF(C458="","",IF(COUNTIF('Raw Courses'!$A:$A,C458)&gt;0,"Valid","Invalid Course ID"))</f>
        <v/>
      </c>
      <c r="H458" t="str">
        <f t="shared" si="14"/>
        <v/>
      </c>
      <c r="I458" t="str">
        <f t="shared" si="15"/>
        <v/>
      </c>
    </row>
    <row r="459" spans="1:9" x14ac:dyDescent="0.3">
      <c r="A459" t="str">
        <f>IF('Raw Enrollments'!A459="","",'Raw Enrollments'!A459)</f>
        <v/>
      </c>
      <c r="B459" t="str">
        <f>IF('Raw Enrollments'!B459="","",'Raw Enrollments'!B459)</f>
        <v/>
      </c>
      <c r="C459" t="str">
        <f>IF('Raw Enrollments'!C459="","",'Raw Enrollments'!C459)</f>
        <v/>
      </c>
      <c r="D459" t="str">
        <f>IF('Raw Enrollments'!D459="","",'Raw Enrollments'!D459)</f>
        <v/>
      </c>
      <c r="E459" t="str">
        <f>IF('Raw Enrollments'!E459="","",'Raw Enrollments'!E459)</f>
        <v/>
      </c>
      <c r="F459" t="str">
        <f>IF(B459="","",IF(COUNTIF(#REF!,B459)&gt;0,"Valid","Invalid Student ID"))</f>
        <v/>
      </c>
      <c r="G459" t="str">
        <f>IF(C459="","",IF(COUNTIF('Raw Courses'!$A:$A,C459)&gt;0,"Valid","Invalid Course ID"))</f>
        <v/>
      </c>
      <c r="H459" t="str">
        <f t="shared" si="14"/>
        <v/>
      </c>
      <c r="I459" t="str">
        <f t="shared" si="15"/>
        <v/>
      </c>
    </row>
    <row r="460" spans="1:9" x14ac:dyDescent="0.3">
      <c r="A460" t="str">
        <f>IF('Raw Enrollments'!A460="","",'Raw Enrollments'!A460)</f>
        <v/>
      </c>
      <c r="B460" t="str">
        <f>IF('Raw Enrollments'!B460="","",'Raw Enrollments'!B460)</f>
        <v/>
      </c>
      <c r="C460" t="str">
        <f>IF('Raw Enrollments'!C460="","",'Raw Enrollments'!C460)</f>
        <v/>
      </c>
      <c r="D460" t="str">
        <f>IF('Raw Enrollments'!D460="","",'Raw Enrollments'!D460)</f>
        <v/>
      </c>
      <c r="E460" t="str">
        <f>IF('Raw Enrollments'!E460="","",'Raw Enrollments'!E460)</f>
        <v/>
      </c>
      <c r="F460" t="str">
        <f>IF(B460="","",IF(COUNTIF(#REF!,B460)&gt;0,"Valid","Invalid Student ID"))</f>
        <v/>
      </c>
      <c r="G460" t="str">
        <f>IF(C460="","",IF(COUNTIF('Raw Courses'!$A:$A,C460)&gt;0,"Valid","Invalid Course ID"))</f>
        <v/>
      </c>
      <c r="H460" t="str">
        <f t="shared" si="14"/>
        <v/>
      </c>
      <c r="I460" t="str">
        <f t="shared" si="15"/>
        <v/>
      </c>
    </row>
    <row r="461" spans="1:9" x14ac:dyDescent="0.3">
      <c r="A461" t="str">
        <f>IF('Raw Enrollments'!A461="","",'Raw Enrollments'!A461)</f>
        <v/>
      </c>
      <c r="B461" t="str">
        <f>IF('Raw Enrollments'!B461="","",'Raw Enrollments'!B461)</f>
        <v/>
      </c>
      <c r="C461" t="str">
        <f>IF('Raw Enrollments'!C461="","",'Raw Enrollments'!C461)</f>
        <v/>
      </c>
      <c r="D461" t="str">
        <f>IF('Raw Enrollments'!D461="","",'Raw Enrollments'!D461)</f>
        <v/>
      </c>
      <c r="E461" t="str">
        <f>IF('Raw Enrollments'!E461="","",'Raw Enrollments'!E461)</f>
        <v/>
      </c>
      <c r="F461" t="str">
        <f>IF(B461="","",IF(COUNTIF(#REF!,B461)&gt;0,"Valid","Invalid Student ID"))</f>
        <v/>
      </c>
      <c r="G461" t="str">
        <f>IF(C461="","",IF(COUNTIF('Raw Courses'!$A:$A,C461)&gt;0,"Valid","Invalid Course ID"))</f>
        <v/>
      </c>
      <c r="H461" t="str">
        <f t="shared" si="14"/>
        <v/>
      </c>
      <c r="I461" t="str">
        <f t="shared" si="15"/>
        <v/>
      </c>
    </row>
    <row r="462" spans="1:9" x14ac:dyDescent="0.3">
      <c r="A462" t="str">
        <f>IF('Raw Enrollments'!A462="","",'Raw Enrollments'!A462)</f>
        <v/>
      </c>
      <c r="B462" t="str">
        <f>IF('Raw Enrollments'!B462="","",'Raw Enrollments'!B462)</f>
        <v/>
      </c>
      <c r="C462" t="str">
        <f>IF('Raw Enrollments'!C462="","",'Raw Enrollments'!C462)</f>
        <v/>
      </c>
      <c r="D462" t="str">
        <f>IF('Raw Enrollments'!D462="","",'Raw Enrollments'!D462)</f>
        <v/>
      </c>
      <c r="E462" t="str">
        <f>IF('Raw Enrollments'!E462="","",'Raw Enrollments'!E462)</f>
        <v/>
      </c>
      <c r="F462" t="str">
        <f>IF(B462="","",IF(COUNTIF(#REF!,B462)&gt;0,"Valid","Invalid Student ID"))</f>
        <v/>
      </c>
      <c r="G462" t="str">
        <f>IF(C462="","",IF(COUNTIF('Raw Courses'!$A:$A,C462)&gt;0,"Valid","Invalid Course ID"))</f>
        <v/>
      </c>
      <c r="H462" t="str">
        <f t="shared" si="14"/>
        <v/>
      </c>
      <c r="I462" t="str">
        <f t="shared" si="15"/>
        <v/>
      </c>
    </row>
    <row r="463" spans="1:9" x14ac:dyDescent="0.3">
      <c r="A463" t="str">
        <f>IF('Raw Enrollments'!A463="","",'Raw Enrollments'!A463)</f>
        <v/>
      </c>
      <c r="B463" t="str">
        <f>IF('Raw Enrollments'!B463="","",'Raw Enrollments'!B463)</f>
        <v/>
      </c>
      <c r="C463" t="str">
        <f>IF('Raw Enrollments'!C463="","",'Raw Enrollments'!C463)</f>
        <v/>
      </c>
      <c r="D463" t="str">
        <f>IF('Raw Enrollments'!D463="","",'Raw Enrollments'!D463)</f>
        <v/>
      </c>
      <c r="E463" t="str">
        <f>IF('Raw Enrollments'!E463="","",'Raw Enrollments'!E463)</f>
        <v/>
      </c>
      <c r="F463" t="str">
        <f>IF(B463="","",IF(COUNTIF(#REF!,B463)&gt;0,"Valid","Invalid Student ID"))</f>
        <v/>
      </c>
      <c r="G463" t="str">
        <f>IF(C463="","",IF(COUNTIF('Raw Courses'!$A:$A,C463)&gt;0,"Valid","Invalid Course ID"))</f>
        <v/>
      </c>
      <c r="H463" t="str">
        <f t="shared" si="14"/>
        <v/>
      </c>
      <c r="I463" t="str">
        <f t="shared" si="15"/>
        <v/>
      </c>
    </row>
    <row r="464" spans="1:9" x14ac:dyDescent="0.3">
      <c r="A464" t="str">
        <f>IF('Raw Enrollments'!A464="","",'Raw Enrollments'!A464)</f>
        <v/>
      </c>
      <c r="B464" t="str">
        <f>IF('Raw Enrollments'!B464="","",'Raw Enrollments'!B464)</f>
        <v/>
      </c>
      <c r="C464" t="str">
        <f>IF('Raw Enrollments'!C464="","",'Raw Enrollments'!C464)</f>
        <v/>
      </c>
      <c r="D464" t="str">
        <f>IF('Raw Enrollments'!D464="","",'Raw Enrollments'!D464)</f>
        <v/>
      </c>
      <c r="E464" t="str">
        <f>IF('Raw Enrollments'!E464="","",'Raw Enrollments'!E464)</f>
        <v/>
      </c>
      <c r="F464" t="str">
        <f>IF(B464="","",IF(COUNTIF(#REF!,B464)&gt;0,"Valid","Invalid Student ID"))</f>
        <v/>
      </c>
      <c r="G464" t="str">
        <f>IF(C464="","",IF(COUNTIF('Raw Courses'!$A:$A,C464)&gt;0,"Valid","Invalid Course ID"))</f>
        <v/>
      </c>
      <c r="H464" t="str">
        <f t="shared" si="14"/>
        <v/>
      </c>
      <c r="I464" t="str">
        <f t="shared" si="15"/>
        <v/>
      </c>
    </row>
    <row r="465" spans="1:9" x14ac:dyDescent="0.3">
      <c r="A465" t="str">
        <f>IF('Raw Enrollments'!A465="","",'Raw Enrollments'!A465)</f>
        <v/>
      </c>
      <c r="B465" t="str">
        <f>IF('Raw Enrollments'!B465="","",'Raw Enrollments'!B465)</f>
        <v/>
      </c>
      <c r="C465" t="str">
        <f>IF('Raw Enrollments'!C465="","",'Raw Enrollments'!C465)</f>
        <v/>
      </c>
      <c r="D465" t="str">
        <f>IF('Raw Enrollments'!D465="","",'Raw Enrollments'!D465)</f>
        <v/>
      </c>
      <c r="E465" t="str">
        <f>IF('Raw Enrollments'!E465="","",'Raw Enrollments'!E465)</f>
        <v/>
      </c>
      <c r="F465" t="str">
        <f>IF(B465="","",IF(COUNTIF(#REF!,B465)&gt;0,"Valid","Invalid Student ID"))</f>
        <v/>
      </c>
      <c r="G465" t="str">
        <f>IF(C465="","",IF(COUNTIF('Raw Courses'!$A:$A,C465)&gt;0,"Valid","Invalid Course ID"))</f>
        <v/>
      </c>
      <c r="H465" t="str">
        <f t="shared" si="14"/>
        <v/>
      </c>
      <c r="I465" t="str">
        <f t="shared" si="15"/>
        <v/>
      </c>
    </row>
    <row r="466" spans="1:9" x14ac:dyDescent="0.3">
      <c r="A466" t="str">
        <f>IF('Raw Enrollments'!A466="","",'Raw Enrollments'!A466)</f>
        <v/>
      </c>
      <c r="B466" t="str">
        <f>IF('Raw Enrollments'!B466="","",'Raw Enrollments'!B466)</f>
        <v/>
      </c>
      <c r="C466" t="str">
        <f>IF('Raw Enrollments'!C466="","",'Raw Enrollments'!C466)</f>
        <v/>
      </c>
      <c r="D466" t="str">
        <f>IF('Raw Enrollments'!D466="","",'Raw Enrollments'!D466)</f>
        <v/>
      </c>
      <c r="E466" t="str">
        <f>IF('Raw Enrollments'!E466="","",'Raw Enrollments'!E466)</f>
        <v/>
      </c>
      <c r="F466" t="str">
        <f>IF(B466="","",IF(COUNTIF(#REF!,B466)&gt;0,"Valid","Invalid Student ID"))</f>
        <v/>
      </c>
      <c r="G466" t="str">
        <f>IF(C466="","",IF(COUNTIF('Raw Courses'!$A:$A,C466)&gt;0,"Valid","Invalid Course ID"))</f>
        <v/>
      </c>
      <c r="H466" t="str">
        <f t="shared" si="14"/>
        <v/>
      </c>
      <c r="I466" t="str">
        <f t="shared" si="15"/>
        <v/>
      </c>
    </row>
    <row r="467" spans="1:9" x14ac:dyDescent="0.3">
      <c r="A467" t="str">
        <f>IF('Raw Enrollments'!A467="","",'Raw Enrollments'!A467)</f>
        <v/>
      </c>
      <c r="B467" t="str">
        <f>IF('Raw Enrollments'!B467="","",'Raw Enrollments'!B467)</f>
        <v/>
      </c>
      <c r="C467" t="str">
        <f>IF('Raw Enrollments'!C467="","",'Raw Enrollments'!C467)</f>
        <v/>
      </c>
      <c r="D467" t="str">
        <f>IF('Raw Enrollments'!D467="","",'Raw Enrollments'!D467)</f>
        <v/>
      </c>
      <c r="E467" t="str">
        <f>IF('Raw Enrollments'!E467="","",'Raw Enrollments'!E467)</f>
        <v/>
      </c>
      <c r="F467" t="str">
        <f>IF(B467="","",IF(COUNTIF(#REF!,B467)&gt;0,"Valid","Invalid Student ID"))</f>
        <v/>
      </c>
      <c r="G467" t="str">
        <f>IF(C467="","",IF(COUNTIF('Raw Courses'!$A:$A,C467)&gt;0,"Valid","Invalid Course ID"))</f>
        <v/>
      </c>
      <c r="H467" t="str">
        <f t="shared" si="14"/>
        <v/>
      </c>
      <c r="I467" t="str">
        <f t="shared" si="15"/>
        <v/>
      </c>
    </row>
    <row r="468" spans="1:9" x14ac:dyDescent="0.3">
      <c r="A468" t="str">
        <f>IF('Raw Enrollments'!A468="","",'Raw Enrollments'!A468)</f>
        <v/>
      </c>
      <c r="B468" t="str">
        <f>IF('Raw Enrollments'!B468="","",'Raw Enrollments'!B468)</f>
        <v/>
      </c>
      <c r="C468" t="str">
        <f>IF('Raw Enrollments'!C468="","",'Raw Enrollments'!C468)</f>
        <v/>
      </c>
      <c r="D468" t="str">
        <f>IF('Raw Enrollments'!D468="","",'Raw Enrollments'!D468)</f>
        <v/>
      </c>
      <c r="E468" t="str">
        <f>IF('Raw Enrollments'!E468="","",'Raw Enrollments'!E468)</f>
        <v/>
      </c>
      <c r="F468" t="str">
        <f>IF(B468="","",IF(COUNTIF(#REF!,B468)&gt;0,"Valid","Invalid Student ID"))</f>
        <v/>
      </c>
      <c r="G468" t="str">
        <f>IF(C468="","",IF(COUNTIF('Raw Courses'!$A:$A,C468)&gt;0,"Valid","Invalid Course ID"))</f>
        <v/>
      </c>
      <c r="H468" t="str">
        <f t="shared" si="14"/>
        <v/>
      </c>
      <c r="I468" t="str">
        <f t="shared" si="15"/>
        <v/>
      </c>
    </row>
    <row r="469" spans="1:9" x14ac:dyDescent="0.3">
      <c r="A469" t="str">
        <f>IF('Raw Enrollments'!A469="","",'Raw Enrollments'!A469)</f>
        <v/>
      </c>
      <c r="B469" t="str">
        <f>IF('Raw Enrollments'!B469="","",'Raw Enrollments'!B469)</f>
        <v/>
      </c>
      <c r="C469" t="str">
        <f>IF('Raw Enrollments'!C469="","",'Raw Enrollments'!C469)</f>
        <v/>
      </c>
      <c r="D469" t="str">
        <f>IF('Raw Enrollments'!D469="","",'Raw Enrollments'!D469)</f>
        <v/>
      </c>
      <c r="E469" t="str">
        <f>IF('Raw Enrollments'!E469="","",'Raw Enrollments'!E469)</f>
        <v/>
      </c>
      <c r="F469" t="str">
        <f>IF(B469="","",IF(COUNTIF(#REF!,B469)&gt;0,"Valid","Invalid Student ID"))</f>
        <v/>
      </c>
      <c r="G469" t="str">
        <f>IF(C469="","",IF(COUNTIF('Raw Courses'!$A:$A,C469)&gt;0,"Valid","Invalid Course ID"))</f>
        <v/>
      </c>
      <c r="H469" t="str">
        <f t="shared" si="14"/>
        <v/>
      </c>
      <c r="I469" t="str">
        <f t="shared" si="15"/>
        <v/>
      </c>
    </row>
    <row r="470" spans="1:9" x14ac:dyDescent="0.3">
      <c r="A470" t="str">
        <f>IF('Raw Enrollments'!A470="","",'Raw Enrollments'!A470)</f>
        <v/>
      </c>
      <c r="B470" t="str">
        <f>IF('Raw Enrollments'!B470="","",'Raw Enrollments'!B470)</f>
        <v/>
      </c>
      <c r="C470" t="str">
        <f>IF('Raw Enrollments'!C470="","",'Raw Enrollments'!C470)</f>
        <v/>
      </c>
      <c r="D470" t="str">
        <f>IF('Raw Enrollments'!D470="","",'Raw Enrollments'!D470)</f>
        <v/>
      </c>
      <c r="E470" t="str">
        <f>IF('Raw Enrollments'!E470="","",'Raw Enrollments'!E470)</f>
        <v/>
      </c>
      <c r="F470" t="str">
        <f>IF(B470="","",IF(COUNTIF(#REF!,B470)&gt;0,"Valid","Invalid Student ID"))</f>
        <v/>
      </c>
      <c r="G470" t="str">
        <f>IF(C470="","",IF(COUNTIF('Raw Courses'!$A:$A,C470)&gt;0,"Valid","Invalid Course ID"))</f>
        <v/>
      </c>
      <c r="H470" t="str">
        <f t="shared" si="14"/>
        <v/>
      </c>
      <c r="I470" t="str">
        <f t="shared" si="15"/>
        <v/>
      </c>
    </row>
    <row r="471" spans="1:9" x14ac:dyDescent="0.3">
      <c r="A471" t="str">
        <f>IF('Raw Enrollments'!A471="","",'Raw Enrollments'!A471)</f>
        <v/>
      </c>
      <c r="B471" t="str">
        <f>IF('Raw Enrollments'!B471="","",'Raw Enrollments'!B471)</f>
        <v/>
      </c>
      <c r="C471" t="str">
        <f>IF('Raw Enrollments'!C471="","",'Raw Enrollments'!C471)</f>
        <v/>
      </c>
      <c r="D471" t="str">
        <f>IF('Raw Enrollments'!D471="","",'Raw Enrollments'!D471)</f>
        <v/>
      </c>
      <c r="E471" t="str">
        <f>IF('Raw Enrollments'!E471="","",'Raw Enrollments'!E471)</f>
        <v/>
      </c>
      <c r="F471" t="str">
        <f>IF(B471="","",IF(COUNTIF(#REF!,B471)&gt;0,"Valid","Invalid Student ID"))</f>
        <v/>
      </c>
      <c r="G471" t="str">
        <f>IF(C471="","",IF(COUNTIF('Raw Courses'!$A:$A,C471)&gt;0,"Valid","Invalid Course ID"))</f>
        <v/>
      </c>
      <c r="H471" t="str">
        <f t="shared" si="14"/>
        <v/>
      </c>
      <c r="I471" t="str">
        <f t="shared" si="15"/>
        <v/>
      </c>
    </row>
    <row r="472" spans="1:9" x14ac:dyDescent="0.3">
      <c r="A472" t="str">
        <f>IF('Raw Enrollments'!A472="","",'Raw Enrollments'!A472)</f>
        <v/>
      </c>
      <c r="B472" t="str">
        <f>IF('Raw Enrollments'!B472="","",'Raw Enrollments'!B472)</f>
        <v/>
      </c>
      <c r="C472" t="str">
        <f>IF('Raw Enrollments'!C472="","",'Raw Enrollments'!C472)</f>
        <v/>
      </c>
      <c r="D472" t="str">
        <f>IF('Raw Enrollments'!D472="","",'Raw Enrollments'!D472)</f>
        <v/>
      </c>
      <c r="E472" t="str">
        <f>IF('Raw Enrollments'!E472="","",'Raw Enrollments'!E472)</f>
        <v/>
      </c>
      <c r="F472" t="str">
        <f>IF(B472="","",IF(COUNTIF(#REF!,B472)&gt;0,"Valid","Invalid Student ID"))</f>
        <v/>
      </c>
      <c r="G472" t="str">
        <f>IF(C472="","",IF(COUNTIF('Raw Courses'!$A:$A,C472)&gt;0,"Valid","Invalid Course ID"))</f>
        <v/>
      </c>
      <c r="H472" t="str">
        <f t="shared" si="14"/>
        <v/>
      </c>
      <c r="I472" t="str">
        <f t="shared" si="15"/>
        <v/>
      </c>
    </row>
    <row r="473" spans="1:9" x14ac:dyDescent="0.3">
      <c r="A473" t="str">
        <f>IF('Raw Enrollments'!A473="","",'Raw Enrollments'!A473)</f>
        <v/>
      </c>
      <c r="B473" t="str">
        <f>IF('Raw Enrollments'!B473="","",'Raw Enrollments'!B473)</f>
        <v/>
      </c>
      <c r="C473" t="str">
        <f>IF('Raw Enrollments'!C473="","",'Raw Enrollments'!C473)</f>
        <v/>
      </c>
      <c r="D473" t="str">
        <f>IF('Raw Enrollments'!D473="","",'Raw Enrollments'!D473)</f>
        <v/>
      </c>
      <c r="E473" t="str">
        <f>IF('Raw Enrollments'!E473="","",'Raw Enrollments'!E473)</f>
        <v/>
      </c>
      <c r="F473" t="str">
        <f>IF(B473="","",IF(COUNTIF(#REF!,B473)&gt;0,"Valid","Invalid Student ID"))</f>
        <v/>
      </c>
      <c r="G473" t="str">
        <f>IF(C473="","",IF(COUNTIF('Raw Courses'!$A:$A,C473)&gt;0,"Valid","Invalid Course ID"))</f>
        <v/>
      </c>
      <c r="H473" t="str">
        <f t="shared" si="14"/>
        <v/>
      </c>
      <c r="I473" t="str">
        <f t="shared" si="15"/>
        <v/>
      </c>
    </row>
    <row r="474" spans="1:9" x14ac:dyDescent="0.3">
      <c r="A474" t="str">
        <f>IF('Raw Enrollments'!A474="","",'Raw Enrollments'!A474)</f>
        <v/>
      </c>
      <c r="B474" t="str">
        <f>IF('Raw Enrollments'!B474="","",'Raw Enrollments'!B474)</f>
        <v/>
      </c>
      <c r="C474" t="str">
        <f>IF('Raw Enrollments'!C474="","",'Raw Enrollments'!C474)</f>
        <v/>
      </c>
      <c r="D474" t="str">
        <f>IF('Raw Enrollments'!D474="","",'Raw Enrollments'!D474)</f>
        <v/>
      </c>
      <c r="E474" t="str">
        <f>IF('Raw Enrollments'!E474="","",'Raw Enrollments'!E474)</f>
        <v/>
      </c>
      <c r="F474" t="str">
        <f>IF(B474="","",IF(COUNTIF(#REF!,B474)&gt;0,"Valid","Invalid Student ID"))</f>
        <v/>
      </c>
      <c r="G474" t="str">
        <f>IF(C474="","",IF(COUNTIF('Raw Courses'!$A:$A,C474)&gt;0,"Valid","Invalid Course ID"))</f>
        <v/>
      </c>
      <c r="H474" t="str">
        <f t="shared" si="14"/>
        <v/>
      </c>
      <c r="I474" t="str">
        <f t="shared" si="15"/>
        <v/>
      </c>
    </row>
    <row r="475" spans="1:9" x14ac:dyDescent="0.3">
      <c r="A475" t="str">
        <f>IF('Raw Enrollments'!A475="","",'Raw Enrollments'!A475)</f>
        <v/>
      </c>
      <c r="B475" t="str">
        <f>IF('Raw Enrollments'!B475="","",'Raw Enrollments'!B475)</f>
        <v/>
      </c>
      <c r="C475" t="str">
        <f>IF('Raw Enrollments'!C475="","",'Raw Enrollments'!C475)</f>
        <v/>
      </c>
      <c r="D475" t="str">
        <f>IF('Raw Enrollments'!D475="","",'Raw Enrollments'!D475)</f>
        <v/>
      </c>
      <c r="E475" t="str">
        <f>IF('Raw Enrollments'!E475="","",'Raw Enrollments'!E475)</f>
        <v/>
      </c>
      <c r="F475" t="str">
        <f>IF(B475="","",IF(COUNTIF(#REF!,B475)&gt;0,"Valid","Invalid Student ID"))</f>
        <v/>
      </c>
      <c r="G475" t="str">
        <f>IF(C475="","",IF(COUNTIF('Raw Courses'!$A:$A,C475)&gt;0,"Valid","Invalid Course ID"))</f>
        <v/>
      </c>
      <c r="H475" t="str">
        <f t="shared" si="14"/>
        <v/>
      </c>
      <c r="I475" t="str">
        <f t="shared" si="15"/>
        <v/>
      </c>
    </row>
    <row r="476" spans="1:9" x14ac:dyDescent="0.3">
      <c r="A476" t="str">
        <f>IF('Raw Enrollments'!A476="","",'Raw Enrollments'!A476)</f>
        <v/>
      </c>
      <c r="B476" t="str">
        <f>IF('Raw Enrollments'!B476="","",'Raw Enrollments'!B476)</f>
        <v/>
      </c>
      <c r="C476" t="str">
        <f>IF('Raw Enrollments'!C476="","",'Raw Enrollments'!C476)</f>
        <v/>
      </c>
      <c r="D476" t="str">
        <f>IF('Raw Enrollments'!D476="","",'Raw Enrollments'!D476)</f>
        <v/>
      </c>
      <c r="E476" t="str">
        <f>IF('Raw Enrollments'!E476="","",'Raw Enrollments'!E476)</f>
        <v/>
      </c>
      <c r="F476" t="str">
        <f>IF(B476="","",IF(COUNTIF(#REF!,B476)&gt;0,"Valid","Invalid Student ID"))</f>
        <v/>
      </c>
      <c r="G476" t="str">
        <f>IF(C476="","",IF(COUNTIF('Raw Courses'!$A:$A,C476)&gt;0,"Valid","Invalid Course ID"))</f>
        <v/>
      </c>
      <c r="H476" t="str">
        <f t="shared" si="14"/>
        <v/>
      </c>
      <c r="I476" t="str">
        <f t="shared" si="15"/>
        <v/>
      </c>
    </row>
    <row r="477" spans="1:9" x14ac:dyDescent="0.3">
      <c r="A477" t="str">
        <f>IF('Raw Enrollments'!A477="","",'Raw Enrollments'!A477)</f>
        <v/>
      </c>
      <c r="B477" t="str">
        <f>IF('Raw Enrollments'!B477="","",'Raw Enrollments'!B477)</f>
        <v/>
      </c>
      <c r="C477" t="str">
        <f>IF('Raw Enrollments'!C477="","",'Raw Enrollments'!C477)</f>
        <v/>
      </c>
      <c r="D477" t="str">
        <f>IF('Raw Enrollments'!D477="","",'Raw Enrollments'!D477)</f>
        <v/>
      </c>
      <c r="E477" t="str">
        <f>IF('Raw Enrollments'!E477="","",'Raw Enrollments'!E477)</f>
        <v/>
      </c>
      <c r="F477" t="str">
        <f>IF(B477="","",IF(COUNTIF(#REF!,B477)&gt;0,"Valid","Invalid Student ID"))</f>
        <v/>
      </c>
      <c r="G477" t="str">
        <f>IF(C477="","",IF(COUNTIF('Raw Courses'!$A:$A,C477)&gt;0,"Valid","Invalid Course ID"))</f>
        <v/>
      </c>
      <c r="H477" t="str">
        <f t="shared" si="14"/>
        <v/>
      </c>
      <c r="I477" t="str">
        <f t="shared" si="15"/>
        <v/>
      </c>
    </row>
    <row r="478" spans="1:9" x14ac:dyDescent="0.3">
      <c r="A478" t="str">
        <f>IF('Raw Enrollments'!A478="","",'Raw Enrollments'!A478)</f>
        <v/>
      </c>
      <c r="B478" t="str">
        <f>IF('Raw Enrollments'!B478="","",'Raw Enrollments'!B478)</f>
        <v/>
      </c>
      <c r="C478" t="str">
        <f>IF('Raw Enrollments'!C478="","",'Raw Enrollments'!C478)</f>
        <v/>
      </c>
      <c r="D478" t="str">
        <f>IF('Raw Enrollments'!D478="","",'Raw Enrollments'!D478)</f>
        <v/>
      </c>
      <c r="E478" t="str">
        <f>IF('Raw Enrollments'!E478="","",'Raw Enrollments'!E478)</f>
        <v/>
      </c>
      <c r="F478" t="str">
        <f>IF(B478="","",IF(COUNTIF(#REF!,B478)&gt;0,"Valid","Invalid Student ID"))</f>
        <v/>
      </c>
      <c r="G478" t="str">
        <f>IF(C478="","",IF(COUNTIF('Raw Courses'!$A:$A,C478)&gt;0,"Valid","Invalid Course ID"))</f>
        <v/>
      </c>
      <c r="H478" t="str">
        <f t="shared" si="14"/>
        <v/>
      </c>
      <c r="I478" t="str">
        <f t="shared" si="15"/>
        <v/>
      </c>
    </row>
    <row r="479" spans="1:9" x14ac:dyDescent="0.3">
      <c r="A479" t="str">
        <f>IF('Raw Enrollments'!A479="","",'Raw Enrollments'!A479)</f>
        <v/>
      </c>
      <c r="B479" t="str">
        <f>IF('Raw Enrollments'!B479="","",'Raw Enrollments'!B479)</f>
        <v/>
      </c>
      <c r="C479" t="str">
        <f>IF('Raw Enrollments'!C479="","",'Raw Enrollments'!C479)</f>
        <v/>
      </c>
      <c r="D479" t="str">
        <f>IF('Raw Enrollments'!D479="","",'Raw Enrollments'!D479)</f>
        <v/>
      </c>
      <c r="E479" t="str">
        <f>IF('Raw Enrollments'!E479="","",'Raw Enrollments'!E479)</f>
        <v/>
      </c>
      <c r="F479" t="str">
        <f>IF(B479="","",IF(COUNTIF(#REF!,B479)&gt;0,"Valid","Invalid Student ID"))</f>
        <v/>
      </c>
      <c r="G479" t="str">
        <f>IF(C479="","",IF(COUNTIF('Raw Courses'!$A:$A,C479)&gt;0,"Valid","Invalid Course ID"))</f>
        <v/>
      </c>
      <c r="H479" t="str">
        <f t="shared" si="14"/>
        <v/>
      </c>
      <c r="I479" t="str">
        <f t="shared" si="15"/>
        <v/>
      </c>
    </row>
    <row r="480" spans="1:9" x14ac:dyDescent="0.3">
      <c r="A480" t="str">
        <f>IF('Raw Enrollments'!A480="","",'Raw Enrollments'!A480)</f>
        <v/>
      </c>
      <c r="B480" t="str">
        <f>IF('Raw Enrollments'!B480="","",'Raw Enrollments'!B480)</f>
        <v/>
      </c>
      <c r="C480" t="str">
        <f>IF('Raw Enrollments'!C480="","",'Raw Enrollments'!C480)</f>
        <v/>
      </c>
      <c r="D480" t="str">
        <f>IF('Raw Enrollments'!D480="","",'Raw Enrollments'!D480)</f>
        <v/>
      </c>
      <c r="E480" t="str">
        <f>IF('Raw Enrollments'!E480="","",'Raw Enrollments'!E480)</f>
        <v/>
      </c>
      <c r="F480" t="str">
        <f>IF(B480="","",IF(COUNTIF(#REF!,B480)&gt;0,"Valid","Invalid Student ID"))</f>
        <v/>
      </c>
      <c r="G480" t="str">
        <f>IF(C480="","",IF(COUNTIF('Raw Courses'!$A:$A,C480)&gt;0,"Valid","Invalid Course ID"))</f>
        <v/>
      </c>
      <c r="H480" t="str">
        <f t="shared" si="14"/>
        <v/>
      </c>
      <c r="I480" t="str">
        <f t="shared" si="15"/>
        <v/>
      </c>
    </row>
    <row r="481" spans="1:9" x14ac:dyDescent="0.3">
      <c r="A481" t="str">
        <f>IF('Raw Enrollments'!A481="","",'Raw Enrollments'!A481)</f>
        <v/>
      </c>
      <c r="B481" t="str">
        <f>IF('Raw Enrollments'!B481="","",'Raw Enrollments'!B481)</f>
        <v/>
      </c>
      <c r="C481" t="str">
        <f>IF('Raw Enrollments'!C481="","",'Raw Enrollments'!C481)</f>
        <v/>
      </c>
      <c r="D481" t="str">
        <f>IF('Raw Enrollments'!D481="","",'Raw Enrollments'!D481)</f>
        <v/>
      </c>
      <c r="E481" t="str">
        <f>IF('Raw Enrollments'!E481="","",'Raw Enrollments'!E481)</f>
        <v/>
      </c>
      <c r="F481" t="str">
        <f>IF(B481="","",IF(COUNTIF(#REF!,B481)&gt;0,"Valid","Invalid Student ID"))</f>
        <v/>
      </c>
      <c r="G481" t="str">
        <f>IF(C481="","",IF(COUNTIF('Raw Courses'!$A:$A,C481)&gt;0,"Valid","Invalid Course ID"))</f>
        <v/>
      </c>
      <c r="H481" t="str">
        <f t="shared" si="14"/>
        <v/>
      </c>
      <c r="I481" t="str">
        <f t="shared" si="15"/>
        <v/>
      </c>
    </row>
    <row r="482" spans="1:9" x14ac:dyDescent="0.3">
      <c r="A482" t="str">
        <f>IF('Raw Enrollments'!A482="","",'Raw Enrollments'!A482)</f>
        <v/>
      </c>
      <c r="B482" t="str">
        <f>IF('Raw Enrollments'!B482="","",'Raw Enrollments'!B482)</f>
        <v/>
      </c>
      <c r="C482" t="str">
        <f>IF('Raw Enrollments'!C482="","",'Raw Enrollments'!C482)</f>
        <v/>
      </c>
      <c r="D482" t="str">
        <f>IF('Raw Enrollments'!D482="","",'Raw Enrollments'!D482)</f>
        <v/>
      </c>
      <c r="E482" t="str">
        <f>IF('Raw Enrollments'!E482="","",'Raw Enrollments'!E482)</f>
        <v/>
      </c>
      <c r="F482" t="str">
        <f>IF(B482="","",IF(COUNTIF(#REF!,B482)&gt;0,"Valid","Invalid Student ID"))</f>
        <v/>
      </c>
      <c r="G482" t="str">
        <f>IF(C482="","",IF(COUNTIF('Raw Courses'!$A:$A,C482)&gt;0,"Valid","Invalid Course ID"))</f>
        <v/>
      </c>
      <c r="H482" t="str">
        <f t="shared" si="14"/>
        <v/>
      </c>
      <c r="I482" t="str">
        <f t="shared" si="15"/>
        <v/>
      </c>
    </row>
    <row r="483" spans="1:9" x14ac:dyDescent="0.3">
      <c r="A483" t="str">
        <f>IF('Raw Enrollments'!A483="","",'Raw Enrollments'!A483)</f>
        <v/>
      </c>
      <c r="B483" t="str">
        <f>IF('Raw Enrollments'!B483="","",'Raw Enrollments'!B483)</f>
        <v/>
      </c>
      <c r="C483" t="str">
        <f>IF('Raw Enrollments'!C483="","",'Raw Enrollments'!C483)</f>
        <v/>
      </c>
      <c r="D483" t="str">
        <f>IF('Raw Enrollments'!D483="","",'Raw Enrollments'!D483)</f>
        <v/>
      </c>
      <c r="E483" t="str">
        <f>IF('Raw Enrollments'!E483="","",'Raw Enrollments'!E483)</f>
        <v/>
      </c>
      <c r="F483" t="str">
        <f>IF(B483="","",IF(COUNTIF(#REF!,B483)&gt;0,"Valid","Invalid Student ID"))</f>
        <v/>
      </c>
      <c r="G483" t="str">
        <f>IF(C483="","",IF(COUNTIF('Raw Courses'!$A:$A,C483)&gt;0,"Valid","Invalid Course ID"))</f>
        <v/>
      </c>
      <c r="H483" t="str">
        <f t="shared" si="14"/>
        <v/>
      </c>
      <c r="I483" t="str">
        <f t="shared" si="15"/>
        <v/>
      </c>
    </row>
    <row r="484" spans="1:9" x14ac:dyDescent="0.3">
      <c r="A484" t="str">
        <f>IF('Raw Enrollments'!A484="","",'Raw Enrollments'!A484)</f>
        <v/>
      </c>
      <c r="B484" t="str">
        <f>IF('Raw Enrollments'!B484="","",'Raw Enrollments'!B484)</f>
        <v/>
      </c>
      <c r="C484" t="str">
        <f>IF('Raw Enrollments'!C484="","",'Raw Enrollments'!C484)</f>
        <v/>
      </c>
      <c r="D484" t="str">
        <f>IF('Raw Enrollments'!D484="","",'Raw Enrollments'!D484)</f>
        <v/>
      </c>
      <c r="E484" t="str">
        <f>IF('Raw Enrollments'!E484="","",'Raw Enrollments'!E484)</f>
        <v/>
      </c>
      <c r="F484" t="str">
        <f>IF(B484="","",IF(COUNTIF(#REF!,B484)&gt;0,"Valid","Invalid Student ID"))</f>
        <v/>
      </c>
      <c r="G484" t="str">
        <f>IF(C484="","",IF(COUNTIF('Raw Courses'!$A:$A,C484)&gt;0,"Valid","Invalid Course ID"))</f>
        <v/>
      </c>
      <c r="H484" t="str">
        <f t="shared" si="14"/>
        <v/>
      </c>
      <c r="I484" t="str">
        <f t="shared" si="15"/>
        <v/>
      </c>
    </row>
    <row r="485" spans="1:9" x14ac:dyDescent="0.3">
      <c r="A485" t="str">
        <f>IF('Raw Enrollments'!A485="","",'Raw Enrollments'!A485)</f>
        <v/>
      </c>
      <c r="B485" t="str">
        <f>IF('Raw Enrollments'!B485="","",'Raw Enrollments'!B485)</f>
        <v/>
      </c>
      <c r="C485" t="str">
        <f>IF('Raw Enrollments'!C485="","",'Raw Enrollments'!C485)</f>
        <v/>
      </c>
      <c r="D485" t="str">
        <f>IF('Raw Enrollments'!D485="","",'Raw Enrollments'!D485)</f>
        <v/>
      </c>
      <c r="E485" t="str">
        <f>IF('Raw Enrollments'!E485="","",'Raw Enrollments'!E485)</f>
        <v/>
      </c>
      <c r="F485" t="str">
        <f>IF(B485="","",IF(COUNTIF(#REF!,B485)&gt;0,"Valid","Invalid Student ID"))</f>
        <v/>
      </c>
      <c r="G485" t="str">
        <f>IF(C485="","",IF(COUNTIF('Raw Courses'!$A:$A,C485)&gt;0,"Valid","Invalid Course ID"))</f>
        <v/>
      </c>
      <c r="H485" t="str">
        <f t="shared" si="14"/>
        <v/>
      </c>
      <c r="I485" t="str">
        <f t="shared" si="15"/>
        <v/>
      </c>
    </row>
    <row r="486" spans="1:9" x14ac:dyDescent="0.3">
      <c r="A486" t="str">
        <f>IF('Raw Enrollments'!A486="","",'Raw Enrollments'!A486)</f>
        <v/>
      </c>
      <c r="B486" t="str">
        <f>IF('Raw Enrollments'!B486="","",'Raw Enrollments'!B486)</f>
        <v/>
      </c>
      <c r="C486" t="str">
        <f>IF('Raw Enrollments'!C486="","",'Raw Enrollments'!C486)</f>
        <v/>
      </c>
      <c r="D486" t="str">
        <f>IF('Raw Enrollments'!D486="","",'Raw Enrollments'!D486)</f>
        <v/>
      </c>
      <c r="E486" t="str">
        <f>IF('Raw Enrollments'!E486="","",'Raw Enrollments'!E486)</f>
        <v/>
      </c>
      <c r="F486" t="str">
        <f>IF(B486="","",IF(COUNTIF(#REF!,B486)&gt;0,"Valid","Invalid Student ID"))</f>
        <v/>
      </c>
      <c r="G486" t="str">
        <f>IF(C486="","",IF(COUNTIF('Raw Courses'!$A:$A,C486)&gt;0,"Valid","Invalid Course ID"))</f>
        <v/>
      </c>
      <c r="H486" t="str">
        <f t="shared" si="14"/>
        <v/>
      </c>
      <c r="I486" t="str">
        <f t="shared" si="15"/>
        <v/>
      </c>
    </row>
    <row r="487" spans="1:9" x14ac:dyDescent="0.3">
      <c r="A487" t="str">
        <f>IF('Raw Enrollments'!A487="","",'Raw Enrollments'!A487)</f>
        <v/>
      </c>
      <c r="B487" t="str">
        <f>IF('Raw Enrollments'!B487="","",'Raw Enrollments'!B487)</f>
        <v/>
      </c>
      <c r="C487" t="str">
        <f>IF('Raw Enrollments'!C487="","",'Raw Enrollments'!C487)</f>
        <v/>
      </c>
      <c r="D487" t="str">
        <f>IF('Raw Enrollments'!D487="","",'Raw Enrollments'!D487)</f>
        <v/>
      </c>
      <c r="E487" t="str">
        <f>IF('Raw Enrollments'!E487="","",'Raw Enrollments'!E487)</f>
        <v/>
      </c>
      <c r="F487" t="str">
        <f>IF(B487="","",IF(COUNTIF(#REF!,B487)&gt;0,"Valid","Invalid Student ID"))</f>
        <v/>
      </c>
      <c r="G487" t="str">
        <f>IF(C487="","",IF(COUNTIF('Raw Courses'!$A:$A,C487)&gt;0,"Valid","Invalid Course ID"))</f>
        <v/>
      </c>
      <c r="H487" t="str">
        <f t="shared" si="14"/>
        <v/>
      </c>
      <c r="I487" t="str">
        <f t="shared" si="15"/>
        <v/>
      </c>
    </row>
    <row r="488" spans="1:9" x14ac:dyDescent="0.3">
      <c r="A488" t="str">
        <f>IF('Raw Enrollments'!A488="","",'Raw Enrollments'!A488)</f>
        <v/>
      </c>
      <c r="B488" t="str">
        <f>IF('Raw Enrollments'!B488="","",'Raw Enrollments'!B488)</f>
        <v/>
      </c>
      <c r="C488" t="str">
        <f>IF('Raw Enrollments'!C488="","",'Raw Enrollments'!C488)</f>
        <v/>
      </c>
      <c r="D488" t="str">
        <f>IF('Raw Enrollments'!D488="","",'Raw Enrollments'!D488)</f>
        <v/>
      </c>
      <c r="E488" t="str">
        <f>IF('Raw Enrollments'!E488="","",'Raw Enrollments'!E488)</f>
        <v/>
      </c>
      <c r="F488" t="str">
        <f>IF(B488="","",IF(COUNTIF(#REF!,B488)&gt;0,"Valid","Invalid Student ID"))</f>
        <v/>
      </c>
      <c r="G488" t="str">
        <f>IF(C488="","",IF(COUNTIF('Raw Courses'!$A:$A,C488)&gt;0,"Valid","Invalid Course ID"))</f>
        <v/>
      </c>
      <c r="H488" t="str">
        <f t="shared" si="14"/>
        <v/>
      </c>
      <c r="I488" t="str">
        <f t="shared" si="15"/>
        <v/>
      </c>
    </row>
    <row r="489" spans="1:9" x14ac:dyDescent="0.3">
      <c r="A489" t="str">
        <f>IF('Raw Enrollments'!A489="","",'Raw Enrollments'!A489)</f>
        <v/>
      </c>
      <c r="B489" t="str">
        <f>IF('Raw Enrollments'!B489="","",'Raw Enrollments'!B489)</f>
        <v/>
      </c>
      <c r="C489" t="str">
        <f>IF('Raw Enrollments'!C489="","",'Raw Enrollments'!C489)</f>
        <v/>
      </c>
      <c r="D489" t="str">
        <f>IF('Raw Enrollments'!D489="","",'Raw Enrollments'!D489)</f>
        <v/>
      </c>
      <c r="E489" t="str">
        <f>IF('Raw Enrollments'!E489="","",'Raw Enrollments'!E489)</f>
        <v/>
      </c>
      <c r="F489" t="str">
        <f>IF(B489="","",IF(COUNTIF(#REF!,B489)&gt;0,"Valid","Invalid Student ID"))</f>
        <v/>
      </c>
      <c r="G489" t="str">
        <f>IF(C489="","",IF(COUNTIF('Raw Courses'!$A:$A,C489)&gt;0,"Valid","Invalid Course ID"))</f>
        <v/>
      </c>
      <c r="H489" t="str">
        <f t="shared" si="14"/>
        <v/>
      </c>
      <c r="I489" t="str">
        <f t="shared" si="15"/>
        <v/>
      </c>
    </row>
    <row r="490" spans="1:9" x14ac:dyDescent="0.3">
      <c r="A490" t="str">
        <f>IF('Raw Enrollments'!A490="","",'Raw Enrollments'!A490)</f>
        <v/>
      </c>
      <c r="B490" t="str">
        <f>IF('Raw Enrollments'!B490="","",'Raw Enrollments'!B490)</f>
        <v/>
      </c>
      <c r="C490" t="str">
        <f>IF('Raw Enrollments'!C490="","",'Raw Enrollments'!C490)</f>
        <v/>
      </c>
      <c r="D490" t="str">
        <f>IF('Raw Enrollments'!D490="","",'Raw Enrollments'!D490)</f>
        <v/>
      </c>
      <c r="E490" t="str">
        <f>IF('Raw Enrollments'!E490="","",'Raw Enrollments'!E490)</f>
        <v/>
      </c>
      <c r="F490" t="str">
        <f>IF(B490="","",IF(COUNTIF(#REF!,B490)&gt;0,"Valid","Invalid Student ID"))</f>
        <v/>
      </c>
      <c r="G490" t="str">
        <f>IF(C490="","",IF(COUNTIF('Raw Courses'!$A:$A,C490)&gt;0,"Valid","Invalid Course ID"))</f>
        <v/>
      </c>
      <c r="H490" t="str">
        <f t="shared" si="14"/>
        <v/>
      </c>
      <c r="I490" t="str">
        <f t="shared" si="15"/>
        <v/>
      </c>
    </row>
    <row r="491" spans="1:9" x14ac:dyDescent="0.3">
      <c r="A491" t="str">
        <f>IF('Raw Enrollments'!A491="","",'Raw Enrollments'!A491)</f>
        <v/>
      </c>
      <c r="B491" t="str">
        <f>IF('Raw Enrollments'!B491="","",'Raw Enrollments'!B491)</f>
        <v/>
      </c>
      <c r="C491" t="str">
        <f>IF('Raw Enrollments'!C491="","",'Raw Enrollments'!C491)</f>
        <v/>
      </c>
      <c r="D491" t="str">
        <f>IF('Raw Enrollments'!D491="","",'Raw Enrollments'!D491)</f>
        <v/>
      </c>
      <c r="E491" t="str">
        <f>IF('Raw Enrollments'!E491="","",'Raw Enrollments'!E491)</f>
        <v/>
      </c>
      <c r="F491" t="str">
        <f>IF(B491="","",IF(COUNTIF(#REF!,B491)&gt;0,"Valid","Invalid Student ID"))</f>
        <v/>
      </c>
      <c r="G491" t="str">
        <f>IF(C491="","",IF(COUNTIF('Raw Courses'!$A:$A,C491)&gt;0,"Valid","Invalid Course ID"))</f>
        <v/>
      </c>
      <c r="H491" t="str">
        <f t="shared" si="14"/>
        <v/>
      </c>
      <c r="I491" t="str">
        <f t="shared" si="15"/>
        <v/>
      </c>
    </row>
    <row r="492" spans="1:9" x14ac:dyDescent="0.3">
      <c r="A492" t="str">
        <f>IF('Raw Enrollments'!A492="","",'Raw Enrollments'!A492)</f>
        <v/>
      </c>
      <c r="B492" t="str">
        <f>IF('Raw Enrollments'!B492="","",'Raw Enrollments'!B492)</f>
        <v/>
      </c>
      <c r="C492" t="str">
        <f>IF('Raw Enrollments'!C492="","",'Raw Enrollments'!C492)</f>
        <v/>
      </c>
      <c r="D492" t="str">
        <f>IF('Raw Enrollments'!D492="","",'Raw Enrollments'!D492)</f>
        <v/>
      </c>
      <c r="E492" t="str">
        <f>IF('Raw Enrollments'!E492="","",'Raw Enrollments'!E492)</f>
        <v/>
      </c>
      <c r="F492" t="str">
        <f>IF(B492="","",IF(COUNTIF(#REF!,B492)&gt;0,"Valid","Invalid Student ID"))</f>
        <v/>
      </c>
      <c r="G492" t="str">
        <f>IF(C492="","",IF(COUNTIF('Raw Courses'!$A:$A,C492)&gt;0,"Valid","Invalid Course ID"))</f>
        <v/>
      </c>
      <c r="H492" t="str">
        <f t="shared" si="14"/>
        <v/>
      </c>
      <c r="I492" t="str">
        <f t="shared" si="15"/>
        <v/>
      </c>
    </row>
    <row r="493" spans="1:9" x14ac:dyDescent="0.3">
      <c r="A493" t="str">
        <f>IF('Raw Enrollments'!A493="","",'Raw Enrollments'!A493)</f>
        <v/>
      </c>
      <c r="B493" t="str">
        <f>IF('Raw Enrollments'!B493="","",'Raw Enrollments'!B493)</f>
        <v/>
      </c>
      <c r="C493" t="str">
        <f>IF('Raw Enrollments'!C493="","",'Raw Enrollments'!C493)</f>
        <v/>
      </c>
      <c r="D493" t="str">
        <f>IF('Raw Enrollments'!D493="","",'Raw Enrollments'!D493)</f>
        <v/>
      </c>
      <c r="E493" t="str">
        <f>IF('Raw Enrollments'!E493="","",'Raw Enrollments'!E493)</f>
        <v/>
      </c>
      <c r="F493" t="str">
        <f>IF(B493="","",IF(COUNTIF(#REF!,B493)&gt;0,"Valid","Invalid Student ID"))</f>
        <v/>
      </c>
      <c r="G493" t="str">
        <f>IF(C493="","",IF(COUNTIF('Raw Courses'!$A:$A,C493)&gt;0,"Valid","Invalid Course ID"))</f>
        <v/>
      </c>
      <c r="H493" t="str">
        <f t="shared" si="14"/>
        <v/>
      </c>
      <c r="I493" t="str">
        <f t="shared" si="15"/>
        <v/>
      </c>
    </row>
    <row r="494" spans="1:9" x14ac:dyDescent="0.3">
      <c r="A494" t="str">
        <f>IF('Raw Enrollments'!A494="","",'Raw Enrollments'!A494)</f>
        <v/>
      </c>
      <c r="B494" t="str">
        <f>IF('Raw Enrollments'!B494="","",'Raw Enrollments'!B494)</f>
        <v/>
      </c>
      <c r="C494" t="str">
        <f>IF('Raw Enrollments'!C494="","",'Raw Enrollments'!C494)</f>
        <v/>
      </c>
      <c r="D494" t="str">
        <f>IF('Raw Enrollments'!D494="","",'Raw Enrollments'!D494)</f>
        <v/>
      </c>
      <c r="E494" t="str">
        <f>IF('Raw Enrollments'!E494="","",'Raw Enrollments'!E494)</f>
        <v/>
      </c>
      <c r="F494" t="str">
        <f>IF(B494="","",IF(COUNTIF(#REF!,B494)&gt;0,"Valid","Invalid Student ID"))</f>
        <v/>
      </c>
      <c r="G494" t="str">
        <f>IF(C494="","",IF(COUNTIF('Raw Courses'!$A:$A,C494)&gt;0,"Valid","Invalid Course ID"))</f>
        <v/>
      </c>
      <c r="H494" t="str">
        <f t="shared" si="14"/>
        <v/>
      </c>
      <c r="I494" t="str">
        <f t="shared" si="15"/>
        <v/>
      </c>
    </row>
    <row r="495" spans="1:9" x14ac:dyDescent="0.3">
      <c r="A495" t="str">
        <f>IF('Raw Enrollments'!A495="","",'Raw Enrollments'!A495)</f>
        <v/>
      </c>
      <c r="B495" t="str">
        <f>IF('Raw Enrollments'!B495="","",'Raw Enrollments'!B495)</f>
        <v/>
      </c>
      <c r="C495" t="str">
        <f>IF('Raw Enrollments'!C495="","",'Raw Enrollments'!C495)</f>
        <v/>
      </c>
      <c r="D495" t="str">
        <f>IF('Raw Enrollments'!D495="","",'Raw Enrollments'!D495)</f>
        <v/>
      </c>
      <c r="E495" t="str">
        <f>IF('Raw Enrollments'!E495="","",'Raw Enrollments'!E495)</f>
        <v/>
      </c>
      <c r="F495" t="str">
        <f>IF(B495="","",IF(COUNTIF(#REF!,B495)&gt;0,"Valid","Invalid Student ID"))</f>
        <v/>
      </c>
      <c r="G495" t="str">
        <f>IF(C495="","",IF(COUNTIF('Raw Courses'!$A:$A,C495)&gt;0,"Valid","Invalid Course ID"))</f>
        <v/>
      </c>
      <c r="H495" t="str">
        <f t="shared" si="14"/>
        <v/>
      </c>
      <c r="I495" t="str">
        <f t="shared" si="15"/>
        <v/>
      </c>
    </row>
    <row r="496" spans="1:9" x14ac:dyDescent="0.3">
      <c r="A496" t="str">
        <f>IF('Raw Enrollments'!A496="","",'Raw Enrollments'!A496)</f>
        <v/>
      </c>
      <c r="B496" t="str">
        <f>IF('Raw Enrollments'!B496="","",'Raw Enrollments'!B496)</f>
        <v/>
      </c>
      <c r="C496" t="str">
        <f>IF('Raw Enrollments'!C496="","",'Raw Enrollments'!C496)</f>
        <v/>
      </c>
      <c r="D496" t="str">
        <f>IF('Raw Enrollments'!D496="","",'Raw Enrollments'!D496)</f>
        <v/>
      </c>
      <c r="E496" t="str">
        <f>IF('Raw Enrollments'!E496="","",'Raw Enrollments'!E496)</f>
        <v/>
      </c>
      <c r="F496" t="str">
        <f>IF(B496="","",IF(COUNTIF(#REF!,B496)&gt;0,"Valid","Invalid Student ID"))</f>
        <v/>
      </c>
      <c r="G496" t="str">
        <f>IF(C496="","",IF(COUNTIF('Raw Courses'!$A:$A,C496)&gt;0,"Valid","Invalid Course ID"))</f>
        <v/>
      </c>
      <c r="H496" t="str">
        <f t="shared" si="14"/>
        <v/>
      </c>
      <c r="I496" t="str">
        <f t="shared" si="15"/>
        <v/>
      </c>
    </row>
    <row r="497" spans="1:9" x14ac:dyDescent="0.3">
      <c r="A497" t="str">
        <f>IF('Raw Enrollments'!A497="","",'Raw Enrollments'!A497)</f>
        <v/>
      </c>
      <c r="B497" t="str">
        <f>IF('Raw Enrollments'!B497="","",'Raw Enrollments'!B497)</f>
        <v/>
      </c>
      <c r="C497" t="str">
        <f>IF('Raw Enrollments'!C497="","",'Raw Enrollments'!C497)</f>
        <v/>
      </c>
      <c r="D497" t="str">
        <f>IF('Raw Enrollments'!D497="","",'Raw Enrollments'!D497)</f>
        <v/>
      </c>
      <c r="E497" t="str">
        <f>IF('Raw Enrollments'!E497="","",'Raw Enrollments'!E497)</f>
        <v/>
      </c>
      <c r="F497" t="str">
        <f>IF(B497="","",IF(COUNTIF(#REF!,B497)&gt;0,"Valid","Invalid Student ID"))</f>
        <v/>
      </c>
      <c r="G497" t="str">
        <f>IF(C497="","",IF(COUNTIF('Raw Courses'!$A:$A,C497)&gt;0,"Valid","Invalid Course ID"))</f>
        <v/>
      </c>
      <c r="H497" t="str">
        <f t="shared" si="14"/>
        <v/>
      </c>
      <c r="I497" t="str">
        <f t="shared" si="15"/>
        <v/>
      </c>
    </row>
    <row r="498" spans="1:9" x14ac:dyDescent="0.3">
      <c r="A498" t="str">
        <f>IF('Raw Enrollments'!A498="","",'Raw Enrollments'!A498)</f>
        <v/>
      </c>
      <c r="B498" t="str">
        <f>IF('Raw Enrollments'!B498="","",'Raw Enrollments'!B498)</f>
        <v/>
      </c>
      <c r="C498" t="str">
        <f>IF('Raw Enrollments'!C498="","",'Raw Enrollments'!C498)</f>
        <v/>
      </c>
      <c r="D498" t="str">
        <f>IF('Raw Enrollments'!D498="","",'Raw Enrollments'!D498)</f>
        <v/>
      </c>
      <c r="E498" t="str">
        <f>IF('Raw Enrollments'!E498="","",'Raw Enrollments'!E498)</f>
        <v/>
      </c>
      <c r="F498" t="str">
        <f>IF(B498="","",IF(COUNTIF(#REF!,B498)&gt;0,"Valid","Invalid Student ID"))</f>
        <v/>
      </c>
      <c r="G498" t="str">
        <f>IF(C498="","",IF(COUNTIF('Raw Courses'!$A:$A,C498)&gt;0,"Valid","Invalid Course ID"))</f>
        <v/>
      </c>
      <c r="H498" t="str">
        <f t="shared" si="14"/>
        <v/>
      </c>
      <c r="I498" t="str">
        <f t="shared" si="15"/>
        <v/>
      </c>
    </row>
    <row r="499" spans="1:9" x14ac:dyDescent="0.3">
      <c r="A499" t="str">
        <f>IF('Raw Enrollments'!A499="","",'Raw Enrollments'!A499)</f>
        <v/>
      </c>
      <c r="B499" t="str">
        <f>IF('Raw Enrollments'!B499="","",'Raw Enrollments'!B499)</f>
        <v/>
      </c>
      <c r="C499" t="str">
        <f>IF('Raw Enrollments'!C499="","",'Raw Enrollments'!C499)</f>
        <v/>
      </c>
      <c r="D499" t="str">
        <f>IF('Raw Enrollments'!D499="","",'Raw Enrollments'!D499)</f>
        <v/>
      </c>
      <c r="E499" t="str">
        <f>IF('Raw Enrollments'!E499="","",'Raw Enrollments'!E499)</f>
        <v/>
      </c>
      <c r="F499" t="str">
        <f>IF(B499="","",IF(COUNTIF(#REF!,B499)&gt;0,"Valid","Invalid Student ID"))</f>
        <v/>
      </c>
      <c r="G499" t="str">
        <f>IF(C499="","",IF(COUNTIF('Raw Courses'!$A:$A,C499)&gt;0,"Valid","Invalid Course ID"))</f>
        <v/>
      </c>
      <c r="H499" t="str">
        <f t="shared" si="14"/>
        <v/>
      </c>
      <c r="I499" t="str">
        <f t="shared" si="15"/>
        <v/>
      </c>
    </row>
    <row r="500" spans="1:9" x14ac:dyDescent="0.3">
      <c r="A500" t="str">
        <f>IF('Raw Enrollments'!A500="","",'Raw Enrollments'!A500)</f>
        <v/>
      </c>
      <c r="B500" t="str">
        <f>IF('Raw Enrollments'!B500="","",'Raw Enrollments'!B500)</f>
        <v/>
      </c>
      <c r="C500" t="str">
        <f>IF('Raw Enrollments'!C500="","",'Raw Enrollments'!C500)</f>
        <v/>
      </c>
      <c r="D500" t="str">
        <f>IF('Raw Enrollments'!D500="","",'Raw Enrollments'!D500)</f>
        <v/>
      </c>
      <c r="E500" t="str">
        <f>IF('Raw Enrollments'!E500="","",'Raw Enrollments'!E500)</f>
        <v/>
      </c>
      <c r="F500" t="str">
        <f>IF(B500="","",IF(COUNTIF(#REF!,B500)&gt;0,"Valid","Invalid Student ID"))</f>
        <v/>
      </c>
      <c r="G500" t="str">
        <f>IF(C500="","",IF(COUNTIF('Raw Courses'!$A:$A,C500)&gt;0,"Valid","Invalid Course ID"))</f>
        <v/>
      </c>
      <c r="H500" t="str">
        <f t="shared" si="14"/>
        <v/>
      </c>
      <c r="I500" t="str">
        <f t="shared" si="15"/>
        <v/>
      </c>
    </row>
    <row r="501" spans="1:9" x14ac:dyDescent="0.3">
      <c r="A501" t="str">
        <f>IF('Raw Enrollments'!A501="","",'Raw Enrollments'!A501)</f>
        <v/>
      </c>
      <c r="B501" t="str">
        <f>IF('Raw Enrollments'!B501="","",'Raw Enrollments'!B501)</f>
        <v/>
      </c>
      <c r="C501" t="str">
        <f>IF('Raw Enrollments'!C501="","",'Raw Enrollments'!C501)</f>
        <v/>
      </c>
      <c r="D501" t="str">
        <f>IF('Raw Enrollments'!D501="","",'Raw Enrollments'!D501)</f>
        <v/>
      </c>
      <c r="E501" t="str">
        <f>IF('Raw Enrollments'!E501="","",'Raw Enrollments'!E501)</f>
        <v/>
      </c>
      <c r="F501" t="str">
        <f>IF(B501="","",IF(COUNTIF(#REF!,B501)&gt;0,"Valid","Invalid Student ID"))</f>
        <v/>
      </c>
      <c r="G501" t="str">
        <f>IF(C501="","",IF(COUNTIF('Raw Courses'!$A:$A,C501)&gt;0,"Valid","Invalid Course ID"))</f>
        <v/>
      </c>
      <c r="H501" t="str">
        <f t="shared" si="14"/>
        <v/>
      </c>
      <c r="I501" t="str">
        <f t="shared" si="15"/>
        <v/>
      </c>
    </row>
    <row r="502" spans="1:9" x14ac:dyDescent="0.3">
      <c r="A502" t="str">
        <f>IF('Raw Enrollments'!A502="","",'Raw Enrollments'!A502)</f>
        <v/>
      </c>
      <c r="B502" t="str">
        <f>IF('Raw Enrollments'!B502="","",'Raw Enrollments'!B502)</f>
        <v/>
      </c>
      <c r="C502" t="str">
        <f>IF('Raw Enrollments'!C502="","",'Raw Enrollments'!C502)</f>
        <v/>
      </c>
      <c r="D502" t="str">
        <f>IF('Raw Enrollments'!D502="","",'Raw Enrollments'!D502)</f>
        <v/>
      </c>
      <c r="E502" t="str">
        <f>IF('Raw Enrollments'!E502="","",'Raw Enrollments'!E502)</f>
        <v/>
      </c>
      <c r="F502" t="str">
        <f>IF(B502="","",IF(COUNTIF(#REF!,B502)&gt;0,"Valid","Invalid Student ID"))</f>
        <v/>
      </c>
      <c r="G502" t="str">
        <f>IF(C502="","",IF(COUNTIF('Raw Courses'!$A:$A,C502)&gt;0,"Valid","Invalid Course ID"))</f>
        <v/>
      </c>
      <c r="H502" t="str">
        <f t="shared" si="14"/>
        <v/>
      </c>
      <c r="I502" t="str">
        <f t="shared" si="15"/>
        <v/>
      </c>
    </row>
    <row r="503" spans="1:9" x14ac:dyDescent="0.3">
      <c r="A503" t="str">
        <f>IF('Raw Enrollments'!A503="","",'Raw Enrollments'!A503)</f>
        <v/>
      </c>
      <c r="B503" t="str">
        <f>IF('Raw Enrollments'!B503="","",'Raw Enrollments'!B503)</f>
        <v/>
      </c>
      <c r="C503" t="str">
        <f>IF('Raw Enrollments'!C503="","",'Raw Enrollments'!C503)</f>
        <v/>
      </c>
      <c r="D503" t="str">
        <f>IF('Raw Enrollments'!D503="","",'Raw Enrollments'!D503)</f>
        <v/>
      </c>
      <c r="E503" t="str">
        <f>IF('Raw Enrollments'!E503="","",'Raw Enrollments'!E503)</f>
        <v/>
      </c>
      <c r="F503" t="str">
        <f>IF(B503="","",IF(COUNTIF(#REF!,B503)&gt;0,"Valid","Invalid Student ID"))</f>
        <v/>
      </c>
      <c r="G503" t="str">
        <f>IF(C503="","",IF(COUNTIF('Raw Courses'!$A:$A,C503)&gt;0,"Valid","Invalid Course ID"))</f>
        <v/>
      </c>
      <c r="H503" t="str">
        <f t="shared" si="14"/>
        <v/>
      </c>
      <c r="I503" t="str">
        <f t="shared" si="15"/>
        <v/>
      </c>
    </row>
    <row r="504" spans="1:9" x14ac:dyDescent="0.3">
      <c r="A504" t="str">
        <f>IF('Raw Enrollments'!A504="","",'Raw Enrollments'!A504)</f>
        <v/>
      </c>
      <c r="B504" t="str">
        <f>IF('Raw Enrollments'!B504="","",'Raw Enrollments'!B504)</f>
        <v/>
      </c>
      <c r="C504" t="str">
        <f>IF('Raw Enrollments'!C504="","",'Raw Enrollments'!C504)</f>
        <v/>
      </c>
      <c r="D504" t="str">
        <f>IF('Raw Enrollments'!D504="","",'Raw Enrollments'!D504)</f>
        <v/>
      </c>
      <c r="E504" t="str">
        <f>IF('Raw Enrollments'!E504="","",'Raw Enrollments'!E504)</f>
        <v/>
      </c>
      <c r="F504" t="str">
        <f>IF(B504="","",IF(COUNTIF(#REF!,B504)&gt;0,"Valid","Invalid Student ID"))</f>
        <v/>
      </c>
      <c r="G504" t="str">
        <f>IF(C504="","",IF(COUNTIF('Raw Courses'!$A:$A,C504)&gt;0,"Valid","Invalid Course ID"))</f>
        <v/>
      </c>
      <c r="H504" t="str">
        <f t="shared" si="14"/>
        <v/>
      </c>
      <c r="I504" t="str">
        <f t="shared" si="15"/>
        <v/>
      </c>
    </row>
  </sheetData>
  <mergeCells count="2">
    <mergeCell ref="A2:K2"/>
    <mergeCell ref="A1:K1"/>
  </mergeCells>
  <pageMargins left="0.75" right="0.75" top="1" bottom="1" header="0.5" footer="0.5"/>
  <pageSetup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N504"/>
  <sheetViews>
    <sheetView showGridLines="0" zoomScale="85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7" customWidth="1"/>
    <col min="2" max="3" width="15" customWidth="1"/>
    <col min="4" max="4" width="20" customWidth="1"/>
    <col min="5" max="5" width="16" customWidth="1"/>
    <col min="6" max="6" width="25" customWidth="1"/>
    <col min="7" max="8" width="18" customWidth="1"/>
    <col min="9" max="10" width="20" customWidth="1"/>
    <col min="11" max="11" width="25" customWidth="1"/>
    <col min="12" max="12" width="30" customWidth="1"/>
    <col min="13" max="13" width="18" customWidth="1"/>
    <col min="14" max="14" width="36" customWidth="1"/>
  </cols>
  <sheetData>
    <row r="1" spans="1:14" ht="28.05" customHeight="1" x14ac:dyDescent="0.3">
      <c r="A1" s="6" t="s">
        <v>264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0" customHeight="1" x14ac:dyDescent="0.3">
      <c r="A2" s="4" t="s">
        <v>265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spans="1:14" x14ac:dyDescent="0.3">
      <c r="A4" s="1" t="s">
        <v>257</v>
      </c>
      <c r="B4" s="1" t="s">
        <v>247</v>
      </c>
      <c r="C4" s="1" t="s">
        <v>258</v>
      </c>
      <c r="D4" s="1" t="s">
        <v>260</v>
      </c>
      <c r="E4" s="1" t="s">
        <v>266</v>
      </c>
      <c r="F4" s="1" t="s">
        <v>267</v>
      </c>
      <c r="G4" s="1" t="s">
        <v>268</v>
      </c>
      <c r="H4" s="1" t="s">
        <v>269</v>
      </c>
      <c r="I4" s="1" t="s">
        <v>270</v>
      </c>
      <c r="J4" s="1" t="s">
        <v>271</v>
      </c>
      <c r="K4" s="1" t="s">
        <v>272</v>
      </c>
      <c r="L4" s="1" t="s">
        <v>273</v>
      </c>
      <c r="M4" s="1" t="s">
        <v>254</v>
      </c>
      <c r="N4" s="1" t="s">
        <v>29</v>
      </c>
    </row>
    <row r="5" spans="1:14" x14ac:dyDescent="0.3">
      <c r="A5" t="str">
        <f>IF('Raw Enrollments'!A5="","",'Raw Enrollments'!A5)</f>
        <v/>
      </c>
      <c r="B5" t="str">
        <f>IF(A5="","",'Raw Enrollments'!B5)</f>
        <v/>
      </c>
      <c r="C5" t="str">
        <f>IF(A5="","",'Raw Enrollments'!C5)</f>
        <v/>
      </c>
      <c r="D5" t="str">
        <f>IF(A5="","",'Raw Enrollments'!E5)</f>
        <v/>
      </c>
      <c r="E5" t="str">
        <f>IF('Raw Payments'!A5="","",'Raw Payments'!A5)</f>
        <v/>
      </c>
      <c r="F5" t="str">
        <f>IF(E5="","",'Raw Payments'!B5)</f>
        <v/>
      </c>
      <c r="G5" t="str">
        <f>IF(E5="","",'Raw Payments'!F5)</f>
        <v/>
      </c>
      <c r="H5" t="str">
        <f>IF(E5="","",'Raw Payments'!H5)</f>
        <v/>
      </c>
      <c r="I5" t="str">
        <f>IF(E5="","",'Raw Payments'!I5)</f>
        <v/>
      </c>
      <c r="J5" t="str">
        <f>IF(A5="","",IF(COUNTIF('Raw Payments'!$C:$C,A5)&gt;0,"Payment Linked","No Payment"))</f>
        <v/>
      </c>
      <c r="K5" t="str">
        <f>IF(F5="","Missing Reference",IF(COUNTIF('Raw Payments'!$B:$B,F5)&gt;1,"Possible Duplicate","Reference Present"))</f>
        <v>Missing Reference</v>
      </c>
      <c r="L5" t="str">
        <f t="shared" ref="L5:L68" si="0">IF(A5="","",IF(OR(J5="No Payment",K5="Missing Reference",K5="Possible Duplicate",H5=""),"Review","Check Student/Course/Status"))</f>
        <v/>
      </c>
    </row>
    <row r="6" spans="1:14" x14ac:dyDescent="0.3">
      <c r="A6" t="str">
        <f>IF('Raw Enrollments'!A6="","",'Raw Enrollments'!A6)</f>
        <v/>
      </c>
      <c r="B6" t="str">
        <f>IF(A6="","",'Raw Enrollments'!B6)</f>
        <v/>
      </c>
      <c r="C6" t="str">
        <f>IF(A6="","",'Raw Enrollments'!C6)</f>
        <v/>
      </c>
      <c r="D6" t="str">
        <f>IF(A6="","",'Raw Enrollments'!E6)</f>
        <v/>
      </c>
      <c r="E6" t="str">
        <f>IF('Raw Payments'!A6="","",'Raw Payments'!A6)</f>
        <v/>
      </c>
      <c r="F6" t="str">
        <f>IF(E6="","",'Raw Payments'!B6)</f>
        <v/>
      </c>
      <c r="G6" t="str">
        <f>IF(E6="","",'Raw Payments'!F6)</f>
        <v/>
      </c>
      <c r="H6" t="str">
        <f>IF(E6="","",'Raw Payments'!H6)</f>
        <v/>
      </c>
      <c r="I6" t="str">
        <f>IF(E6="","",'Raw Payments'!I6)</f>
        <v/>
      </c>
      <c r="J6" t="str">
        <f>IF(A6="","",IF(COUNTIF('Raw Payments'!$C:$C,A6)&gt;0,"Payment Linked","No Payment"))</f>
        <v/>
      </c>
      <c r="K6" t="str">
        <f>IF(F6="","Missing Reference",IF(COUNTIF('Raw Payments'!$B:$B,F6)&gt;1,"Possible Duplicate","Reference Present"))</f>
        <v>Missing Reference</v>
      </c>
      <c r="L6" t="str">
        <f t="shared" si="0"/>
        <v/>
      </c>
    </row>
    <row r="7" spans="1:14" x14ac:dyDescent="0.3">
      <c r="A7" t="str">
        <f>IF('Raw Enrollments'!A7="","",'Raw Enrollments'!A7)</f>
        <v/>
      </c>
      <c r="B7" t="str">
        <f>IF(A7="","",'Raw Enrollments'!B7)</f>
        <v/>
      </c>
      <c r="C7" t="str">
        <f>IF(A7="","",'Raw Enrollments'!C7)</f>
        <v/>
      </c>
      <c r="D7" t="str">
        <f>IF(A7="","",'Raw Enrollments'!E7)</f>
        <v/>
      </c>
      <c r="E7" t="str">
        <f>IF('Raw Payments'!A7="","",'Raw Payments'!A7)</f>
        <v/>
      </c>
      <c r="F7" t="str">
        <f>IF(E7="","",'Raw Payments'!B7)</f>
        <v/>
      </c>
      <c r="G7" t="str">
        <f>IF(E7="","",'Raw Payments'!F7)</f>
        <v/>
      </c>
      <c r="H7" t="str">
        <f>IF(E7="","",'Raw Payments'!H7)</f>
        <v/>
      </c>
      <c r="I7" t="str">
        <f>IF(E7="","",'Raw Payments'!I7)</f>
        <v/>
      </c>
      <c r="J7" t="str">
        <f>IF(A7="","",IF(COUNTIF('Raw Payments'!$C:$C,A7)&gt;0,"Payment Linked","No Payment"))</f>
        <v/>
      </c>
      <c r="K7" t="str">
        <f>IF(F7="","Missing Reference",IF(COUNTIF('Raw Payments'!$B:$B,F7)&gt;1,"Possible Duplicate","Reference Present"))</f>
        <v>Missing Reference</v>
      </c>
      <c r="L7" t="str">
        <f t="shared" si="0"/>
        <v/>
      </c>
    </row>
    <row r="8" spans="1:14" x14ac:dyDescent="0.3">
      <c r="A8" t="str">
        <f>IF('Raw Enrollments'!A8="","",'Raw Enrollments'!A8)</f>
        <v/>
      </c>
      <c r="B8" t="str">
        <f>IF(A8="","",'Raw Enrollments'!B8)</f>
        <v/>
      </c>
      <c r="C8" t="str">
        <f>IF(A8="","",'Raw Enrollments'!C8)</f>
        <v/>
      </c>
      <c r="D8" t="str">
        <f>IF(A8="","",'Raw Enrollments'!E8)</f>
        <v/>
      </c>
      <c r="E8" t="str">
        <f>IF('Raw Payments'!A8="","",'Raw Payments'!A8)</f>
        <v/>
      </c>
      <c r="F8" t="str">
        <f>IF(E8="","",'Raw Payments'!B8)</f>
        <v/>
      </c>
      <c r="G8" t="str">
        <f>IF(E8="","",'Raw Payments'!F8)</f>
        <v/>
      </c>
      <c r="H8" t="str">
        <f>IF(E8="","",'Raw Payments'!H8)</f>
        <v/>
      </c>
      <c r="I8" t="str">
        <f>IF(E8="","",'Raw Payments'!I8)</f>
        <v/>
      </c>
      <c r="J8" t="str">
        <f>IF(A8="","",IF(COUNTIF('Raw Payments'!$C:$C,A8)&gt;0,"Payment Linked","No Payment"))</f>
        <v/>
      </c>
      <c r="K8" t="str">
        <f>IF(F8="","Missing Reference",IF(COUNTIF('Raw Payments'!$B:$B,F8)&gt;1,"Possible Duplicate","Reference Present"))</f>
        <v>Missing Reference</v>
      </c>
      <c r="L8" t="str">
        <f t="shared" si="0"/>
        <v/>
      </c>
    </row>
    <row r="9" spans="1:14" x14ac:dyDescent="0.3">
      <c r="A9" t="str">
        <f>IF('Raw Enrollments'!A9="","",'Raw Enrollments'!A9)</f>
        <v/>
      </c>
      <c r="B9" t="str">
        <f>IF(A9="","",'Raw Enrollments'!B9)</f>
        <v/>
      </c>
      <c r="C9" t="str">
        <f>IF(A9="","",'Raw Enrollments'!C9)</f>
        <v/>
      </c>
      <c r="D9" t="str">
        <f>IF(A9="","",'Raw Enrollments'!E9)</f>
        <v/>
      </c>
      <c r="E9" t="str">
        <f>IF('Raw Payments'!A9="","",'Raw Payments'!A9)</f>
        <v/>
      </c>
      <c r="F9" t="str">
        <f>IF(E9="","",'Raw Payments'!B9)</f>
        <v/>
      </c>
      <c r="G9" t="str">
        <f>IF(E9="","",'Raw Payments'!F9)</f>
        <v/>
      </c>
      <c r="H9" t="str">
        <f>IF(E9="","",'Raw Payments'!H9)</f>
        <v/>
      </c>
      <c r="I9" t="str">
        <f>IF(E9="","",'Raw Payments'!I9)</f>
        <v/>
      </c>
      <c r="J9" t="str">
        <f>IF(A9="","",IF(COUNTIF('Raw Payments'!$C:$C,A9)&gt;0,"Payment Linked","No Payment"))</f>
        <v/>
      </c>
      <c r="K9" t="str">
        <f>IF(F9="","Missing Reference",IF(COUNTIF('Raw Payments'!$B:$B,F9)&gt;1,"Possible Duplicate","Reference Present"))</f>
        <v>Missing Reference</v>
      </c>
      <c r="L9" t="str">
        <f t="shared" si="0"/>
        <v/>
      </c>
    </row>
    <row r="10" spans="1:14" x14ac:dyDescent="0.3">
      <c r="A10" t="str">
        <f>IF('Raw Enrollments'!A10="","",'Raw Enrollments'!A10)</f>
        <v/>
      </c>
      <c r="B10" t="str">
        <f>IF(A10="","",'Raw Enrollments'!B10)</f>
        <v/>
      </c>
      <c r="C10" t="str">
        <f>IF(A10="","",'Raw Enrollments'!C10)</f>
        <v/>
      </c>
      <c r="D10" t="str">
        <f>IF(A10="","",'Raw Enrollments'!E10)</f>
        <v/>
      </c>
      <c r="E10" t="str">
        <f>IF('Raw Payments'!A10="","",'Raw Payments'!A10)</f>
        <v/>
      </c>
      <c r="F10" t="str">
        <f>IF(E10="","",'Raw Payments'!B10)</f>
        <v/>
      </c>
      <c r="G10" t="str">
        <f>IF(E10="","",'Raw Payments'!F10)</f>
        <v/>
      </c>
      <c r="H10" t="str">
        <f>IF(E10="","",'Raw Payments'!H10)</f>
        <v/>
      </c>
      <c r="I10" t="str">
        <f>IF(E10="","",'Raw Payments'!I10)</f>
        <v/>
      </c>
      <c r="J10" t="str">
        <f>IF(A10="","",IF(COUNTIF('Raw Payments'!$C:$C,A10)&gt;0,"Payment Linked","No Payment"))</f>
        <v/>
      </c>
      <c r="K10" t="str">
        <f>IF(F10="","Missing Reference",IF(COUNTIF('Raw Payments'!$B:$B,F10)&gt;1,"Possible Duplicate","Reference Present"))</f>
        <v>Missing Reference</v>
      </c>
      <c r="L10" t="str">
        <f t="shared" si="0"/>
        <v/>
      </c>
    </row>
    <row r="11" spans="1:14" x14ac:dyDescent="0.3">
      <c r="A11" t="str">
        <f>IF('Raw Enrollments'!A11="","",'Raw Enrollments'!A11)</f>
        <v/>
      </c>
      <c r="B11" t="str">
        <f>IF(A11="","",'Raw Enrollments'!B11)</f>
        <v/>
      </c>
      <c r="C11" t="str">
        <f>IF(A11="","",'Raw Enrollments'!C11)</f>
        <v/>
      </c>
      <c r="D11" t="str">
        <f>IF(A11="","",'Raw Enrollments'!E11)</f>
        <v/>
      </c>
      <c r="E11" t="str">
        <f>IF('Raw Payments'!A11="","",'Raw Payments'!A11)</f>
        <v/>
      </c>
      <c r="F11" t="str">
        <f>IF(E11="","",'Raw Payments'!B11)</f>
        <v/>
      </c>
      <c r="G11" t="str">
        <f>IF(E11="","",'Raw Payments'!F11)</f>
        <v/>
      </c>
      <c r="H11" t="str">
        <f>IF(E11="","",'Raw Payments'!H11)</f>
        <v/>
      </c>
      <c r="I11" t="str">
        <f>IF(E11="","",'Raw Payments'!I11)</f>
        <v/>
      </c>
      <c r="J11" t="str">
        <f>IF(A11="","",IF(COUNTIF('Raw Payments'!$C:$C,A11)&gt;0,"Payment Linked","No Payment"))</f>
        <v/>
      </c>
      <c r="K11" t="str">
        <f>IF(F11="","Missing Reference",IF(COUNTIF('Raw Payments'!$B:$B,F11)&gt;1,"Possible Duplicate","Reference Present"))</f>
        <v>Missing Reference</v>
      </c>
      <c r="L11" t="str">
        <f t="shared" si="0"/>
        <v/>
      </c>
    </row>
    <row r="12" spans="1:14" x14ac:dyDescent="0.3">
      <c r="A12" t="str">
        <f>IF('Raw Enrollments'!A12="","",'Raw Enrollments'!A12)</f>
        <v/>
      </c>
      <c r="B12" t="str">
        <f>IF(A12="","",'Raw Enrollments'!B12)</f>
        <v/>
      </c>
      <c r="C12" t="str">
        <f>IF(A12="","",'Raw Enrollments'!C12)</f>
        <v/>
      </c>
      <c r="D12" t="str">
        <f>IF(A12="","",'Raw Enrollments'!E12)</f>
        <v/>
      </c>
      <c r="E12" t="str">
        <f>IF('Raw Payments'!A12="","",'Raw Payments'!A12)</f>
        <v/>
      </c>
      <c r="F12" t="str">
        <f>IF(E12="","",'Raw Payments'!B12)</f>
        <v/>
      </c>
      <c r="G12" t="str">
        <f>IF(E12="","",'Raw Payments'!F12)</f>
        <v/>
      </c>
      <c r="H12" t="str">
        <f>IF(E12="","",'Raw Payments'!H12)</f>
        <v/>
      </c>
      <c r="I12" t="str">
        <f>IF(E12="","",'Raw Payments'!I12)</f>
        <v/>
      </c>
      <c r="J12" t="str">
        <f>IF(A12="","",IF(COUNTIF('Raw Payments'!$C:$C,A12)&gt;0,"Payment Linked","No Payment"))</f>
        <v/>
      </c>
      <c r="K12" t="str">
        <f>IF(F12="","Missing Reference",IF(COUNTIF('Raw Payments'!$B:$B,F12)&gt;1,"Possible Duplicate","Reference Present"))</f>
        <v>Missing Reference</v>
      </c>
      <c r="L12" t="str">
        <f t="shared" si="0"/>
        <v/>
      </c>
    </row>
    <row r="13" spans="1:14" x14ac:dyDescent="0.3">
      <c r="A13" t="str">
        <f>IF('Raw Enrollments'!A13="","",'Raw Enrollments'!A13)</f>
        <v/>
      </c>
      <c r="B13" t="str">
        <f>IF(A13="","",'Raw Enrollments'!B13)</f>
        <v/>
      </c>
      <c r="C13" t="str">
        <f>IF(A13="","",'Raw Enrollments'!C13)</f>
        <v/>
      </c>
      <c r="D13" t="str">
        <f>IF(A13="","",'Raw Enrollments'!E13)</f>
        <v/>
      </c>
      <c r="E13" t="str">
        <f>IF('Raw Payments'!A13="","",'Raw Payments'!A13)</f>
        <v/>
      </c>
      <c r="F13" t="str">
        <f>IF(E13="","",'Raw Payments'!B13)</f>
        <v/>
      </c>
      <c r="G13" t="str">
        <f>IF(E13="","",'Raw Payments'!F13)</f>
        <v/>
      </c>
      <c r="H13" t="str">
        <f>IF(E13="","",'Raw Payments'!H13)</f>
        <v/>
      </c>
      <c r="I13" t="str">
        <f>IF(E13="","",'Raw Payments'!I13)</f>
        <v/>
      </c>
      <c r="J13" t="str">
        <f>IF(A13="","",IF(COUNTIF('Raw Payments'!$C:$C,A13)&gt;0,"Payment Linked","No Payment"))</f>
        <v/>
      </c>
      <c r="K13" t="str">
        <f>IF(F13="","Missing Reference",IF(COUNTIF('Raw Payments'!$B:$B,F13)&gt;1,"Possible Duplicate","Reference Present"))</f>
        <v>Missing Reference</v>
      </c>
      <c r="L13" t="str">
        <f t="shared" si="0"/>
        <v/>
      </c>
    </row>
    <row r="14" spans="1:14" x14ac:dyDescent="0.3">
      <c r="A14" t="str">
        <f>IF('Raw Enrollments'!A14="","",'Raw Enrollments'!A14)</f>
        <v/>
      </c>
      <c r="B14" t="str">
        <f>IF(A14="","",'Raw Enrollments'!B14)</f>
        <v/>
      </c>
      <c r="C14" t="str">
        <f>IF(A14="","",'Raw Enrollments'!C14)</f>
        <v/>
      </c>
      <c r="D14" t="str">
        <f>IF(A14="","",'Raw Enrollments'!E14)</f>
        <v/>
      </c>
      <c r="E14" t="str">
        <f>IF('Raw Payments'!A14="","",'Raw Payments'!A14)</f>
        <v/>
      </c>
      <c r="F14" t="str">
        <f>IF(E14="","",'Raw Payments'!B14)</f>
        <v/>
      </c>
      <c r="G14" t="str">
        <f>IF(E14="","",'Raw Payments'!F14)</f>
        <v/>
      </c>
      <c r="H14" t="str">
        <f>IF(E14="","",'Raw Payments'!H14)</f>
        <v/>
      </c>
      <c r="I14" t="str">
        <f>IF(E14="","",'Raw Payments'!I14)</f>
        <v/>
      </c>
      <c r="J14" t="str">
        <f>IF(A14="","",IF(COUNTIF('Raw Payments'!$C:$C,A14)&gt;0,"Payment Linked","No Payment"))</f>
        <v/>
      </c>
      <c r="K14" t="str">
        <f>IF(F14="","Missing Reference",IF(COUNTIF('Raw Payments'!$B:$B,F14)&gt;1,"Possible Duplicate","Reference Present"))</f>
        <v>Missing Reference</v>
      </c>
      <c r="L14" t="str">
        <f t="shared" si="0"/>
        <v/>
      </c>
    </row>
    <row r="15" spans="1:14" x14ac:dyDescent="0.3">
      <c r="A15" t="str">
        <f>IF('Raw Enrollments'!A15="","",'Raw Enrollments'!A15)</f>
        <v/>
      </c>
      <c r="B15" t="str">
        <f>IF(A15="","",'Raw Enrollments'!B15)</f>
        <v/>
      </c>
      <c r="C15" t="str">
        <f>IF(A15="","",'Raw Enrollments'!C15)</f>
        <v/>
      </c>
      <c r="D15" t="str">
        <f>IF(A15="","",'Raw Enrollments'!E15)</f>
        <v/>
      </c>
      <c r="E15" t="str">
        <f>IF('Raw Payments'!A15="","",'Raw Payments'!A15)</f>
        <v/>
      </c>
      <c r="F15" t="str">
        <f>IF(E15="","",'Raw Payments'!B15)</f>
        <v/>
      </c>
      <c r="G15" t="str">
        <f>IF(E15="","",'Raw Payments'!F15)</f>
        <v/>
      </c>
      <c r="H15" t="str">
        <f>IF(E15="","",'Raw Payments'!H15)</f>
        <v/>
      </c>
      <c r="I15" t="str">
        <f>IF(E15="","",'Raw Payments'!I15)</f>
        <v/>
      </c>
      <c r="J15" t="str">
        <f>IF(A15="","",IF(COUNTIF('Raw Payments'!$C:$C,A15)&gt;0,"Payment Linked","No Payment"))</f>
        <v/>
      </c>
      <c r="K15" t="str">
        <f>IF(F15="","Missing Reference",IF(COUNTIF('Raw Payments'!$B:$B,F15)&gt;1,"Possible Duplicate","Reference Present"))</f>
        <v>Missing Reference</v>
      </c>
      <c r="L15" t="str">
        <f t="shared" si="0"/>
        <v/>
      </c>
    </row>
    <row r="16" spans="1:14" x14ac:dyDescent="0.3">
      <c r="A16" t="str">
        <f>IF('Raw Enrollments'!A16="","",'Raw Enrollments'!A16)</f>
        <v/>
      </c>
      <c r="B16" t="str">
        <f>IF(A16="","",'Raw Enrollments'!B16)</f>
        <v/>
      </c>
      <c r="C16" t="str">
        <f>IF(A16="","",'Raw Enrollments'!C16)</f>
        <v/>
      </c>
      <c r="D16" t="str">
        <f>IF(A16="","",'Raw Enrollments'!E16)</f>
        <v/>
      </c>
      <c r="E16" t="str">
        <f>IF('Raw Payments'!A16="","",'Raw Payments'!A16)</f>
        <v/>
      </c>
      <c r="F16" t="str">
        <f>IF(E16="","",'Raw Payments'!B16)</f>
        <v/>
      </c>
      <c r="G16" t="str">
        <f>IF(E16="","",'Raw Payments'!F16)</f>
        <v/>
      </c>
      <c r="H16" t="str">
        <f>IF(E16="","",'Raw Payments'!H16)</f>
        <v/>
      </c>
      <c r="I16" t="str">
        <f>IF(E16="","",'Raw Payments'!I16)</f>
        <v/>
      </c>
      <c r="J16" t="str">
        <f>IF(A16="","",IF(COUNTIF('Raw Payments'!$C:$C,A16)&gt;0,"Payment Linked","No Payment"))</f>
        <v/>
      </c>
      <c r="K16" t="str">
        <f>IF(F16="","Missing Reference",IF(COUNTIF('Raw Payments'!$B:$B,F16)&gt;1,"Possible Duplicate","Reference Present"))</f>
        <v>Missing Reference</v>
      </c>
      <c r="L16" t="str">
        <f t="shared" si="0"/>
        <v/>
      </c>
    </row>
    <row r="17" spans="1:12" x14ac:dyDescent="0.3">
      <c r="A17" t="str">
        <f>IF('Raw Enrollments'!A17="","",'Raw Enrollments'!A17)</f>
        <v/>
      </c>
      <c r="B17" t="str">
        <f>IF(A17="","",'Raw Enrollments'!B17)</f>
        <v/>
      </c>
      <c r="C17" t="str">
        <f>IF(A17="","",'Raw Enrollments'!C17)</f>
        <v/>
      </c>
      <c r="D17" t="str">
        <f>IF(A17="","",'Raw Enrollments'!E17)</f>
        <v/>
      </c>
      <c r="E17" t="str">
        <f>IF('Raw Payments'!A17="","",'Raw Payments'!A17)</f>
        <v/>
      </c>
      <c r="F17" t="str">
        <f>IF(E17="","",'Raw Payments'!B17)</f>
        <v/>
      </c>
      <c r="G17" t="str">
        <f>IF(E17="","",'Raw Payments'!F17)</f>
        <v/>
      </c>
      <c r="H17" t="str">
        <f>IF(E17="","",'Raw Payments'!H17)</f>
        <v/>
      </c>
      <c r="I17" t="str">
        <f>IF(E17="","",'Raw Payments'!I17)</f>
        <v/>
      </c>
      <c r="J17" t="str">
        <f>IF(A17="","",IF(COUNTIF('Raw Payments'!$C:$C,A17)&gt;0,"Payment Linked","No Payment"))</f>
        <v/>
      </c>
      <c r="K17" t="str">
        <f>IF(F17="","Missing Reference",IF(COUNTIF('Raw Payments'!$B:$B,F17)&gt;1,"Possible Duplicate","Reference Present"))</f>
        <v>Missing Reference</v>
      </c>
      <c r="L17" t="str">
        <f t="shared" si="0"/>
        <v/>
      </c>
    </row>
    <row r="18" spans="1:12" x14ac:dyDescent="0.3">
      <c r="A18" t="str">
        <f>IF('Raw Enrollments'!A18="","",'Raw Enrollments'!A18)</f>
        <v/>
      </c>
      <c r="B18" t="str">
        <f>IF(A18="","",'Raw Enrollments'!B18)</f>
        <v/>
      </c>
      <c r="C18" t="str">
        <f>IF(A18="","",'Raw Enrollments'!C18)</f>
        <v/>
      </c>
      <c r="D18" t="str">
        <f>IF(A18="","",'Raw Enrollments'!E18)</f>
        <v/>
      </c>
      <c r="E18" t="str">
        <f>IF('Raw Payments'!A18="","",'Raw Payments'!A18)</f>
        <v/>
      </c>
      <c r="F18" t="str">
        <f>IF(E18="","",'Raw Payments'!B18)</f>
        <v/>
      </c>
      <c r="G18" t="str">
        <f>IF(E18="","",'Raw Payments'!F18)</f>
        <v/>
      </c>
      <c r="H18" t="str">
        <f>IF(E18="","",'Raw Payments'!H18)</f>
        <v/>
      </c>
      <c r="I18" t="str">
        <f>IF(E18="","",'Raw Payments'!I18)</f>
        <v/>
      </c>
      <c r="J18" t="str">
        <f>IF(A18="","",IF(COUNTIF('Raw Payments'!$C:$C,A18)&gt;0,"Payment Linked","No Payment"))</f>
        <v/>
      </c>
      <c r="K18" t="str">
        <f>IF(F18="","Missing Reference",IF(COUNTIF('Raw Payments'!$B:$B,F18)&gt;1,"Possible Duplicate","Reference Present"))</f>
        <v>Missing Reference</v>
      </c>
      <c r="L18" t="str">
        <f t="shared" si="0"/>
        <v/>
      </c>
    </row>
    <row r="19" spans="1:12" x14ac:dyDescent="0.3">
      <c r="A19" t="str">
        <f>IF('Raw Enrollments'!A19="","",'Raw Enrollments'!A19)</f>
        <v/>
      </c>
      <c r="B19" t="str">
        <f>IF(A19="","",'Raw Enrollments'!B19)</f>
        <v/>
      </c>
      <c r="C19" t="str">
        <f>IF(A19="","",'Raw Enrollments'!C19)</f>
        <v/>
      </c>
      <c r="D19" t="str">
        <f>IF(A19="","",'Raw Enrollments'!E19)</f>
        <v/>
      </c>
      <c r="E19" t="str">
        <f>IF('Raw Payments'!A19="","",'Raw Payments'!A19)</f>
        <v/>
      </c>
      <c r="F19" t="str">
        <f>IF(E19="","",'Raw Payments'!B19)</f>
        <v/>
      </c>
      <c r="G19" t="str">
        <f>IF(E19="","",'Raw Payments'!F19)</f>
        <v/>
      </c>
      <c r="H19" t="str">
        <f>IF(E19="","",'Raw Payments'!H19)</f>
        <v/>
      </c>
      <c r="I19" t="str">
        <f>IF(E19="","",'Raw Payments'!I19)</f>
        <v/>
      </c>
      <c r="J19" t="str">
        <f>IF(A19="","",IF(COUNTIF('Raw Payments'!$C:$C,A19)&gt;0,"Payment Linked","No Payment"))</f>
        <v/>
      </c>
      <c r="K19" t="str">
        <f>IF(F19="","Missing Reference",IF(COUNTIF('Raw Payments'!$B:$B,F19)&gt;1,"Possible Duplicate","Reference Present"))</f>
        <v>Missing Reference</v>
      </c>
      <c r="L19" t="str">
        <f t="shared" si="0"/>
        <v/>
      </c>
    </row>
    <row r="20" spans="1:12" x14ac:dyDescent="0.3">
      <c r="A20" t="str">
        <f>IF('Raw Enrollments'!A20="","",'Raw Enrollments'!A20)</f>
        <v/>
      </c>
      <c r="B20" t="str">
        <f>IF(A20="","",'Raw Enrollments'!B20)</f>
        <v/>
      </c>
      <c r="C20" t="str">
        <f>IF(A20="","",'Raw Enrollments'!C20)</f>
        <v/>
      </c>
      <c r="D20" t="str">
        <f>IF(A20="","",'Raw Enrollments'!E20)</f>
        <v/>
      </c>
      <c r="E20" t="str">
        <f>IF('Raw Payments'!A20="","",'Raw Payments'!A20)</f>
        <v/>
      </c>
      <c r="F20" t="str">
        <f>IF(E20="","",'Raw Payments'!B20)</f>
        <v/>
      </c>
      <c r="G20" t="str">
        <f>IF(E20="","",'Raw Payments'!F20)</f>
        <v/>
      </c>
      <c r="H20" t="str">
        <f>IF(E20="","",'Raw Payments'!H20)</f>
        <v/>
      </c>
      <c r="I20" t="str">
        <f>IF(E20="","",'Raw Payments'!I20)</f>
        <v/>
      </c>
      <c r="J20" t="str">
        <f>IF(A20="","",IF(COUNTIF('Raw Payments'!$C:$C,A20)&gt;0,"Payment Linked","No Payment"))</f>
        <v/>
      </c>
      <c r="K20" t="str">
        <f>IF(F20="","Missing Reference",IF(COUNTIF('Raw Payments'!$B:$B,F20)&gt;1,"Possible Duplicate","Reference Present"))</f>
        <v>Missing Reference</v>
      </c>
      <c r="L20" t="str">
        <f t="shared" si="0"/>
        <v/>
      </c>
    </row>
    <row r="21" spans="1:12" x14ac:dyDescent="0.3">
      <c r="A21" t="str">
        <f>IF('Raw Enrollments'!A21="","",'Raw Enrollments'!A21)</f>
        <v/>
      </c>
      <c r="B21" t="str">
        <f>IF(A21="","",'Raw Enrollments'!B21)</f>
        <v/>
      </c>
      <c r="C21" t="str">
        <f>IF(A21="","",'Raw Enrollments'!C21)</f>
        <v/>
      </c>
      <c r="D21" t="str">
        <f>IF(A21="","",'Raw Enrollments'!E21)</f>
        <v/>
      </c>
      <c r="E21" t="str">
        <f>IF('Raw Payments'!A21="","",'Raw Payments'!A21)</f>
        <v/>
      </c>
      <c r="F21" t="str">
        <f>IF(E21="","",'Raw Payments'!B21)</f>
        <v/>
      </c>
      <c r="G21" t="str">
        <f>IF(E21="","",'Raw Payments'!F21)</f>
        <v/>
      </c>
      <c r="H21" t="str">
        <f>IF(E21="","",'Raw Payments'!H21)</f>
        <v/>
      </c>
      <c r="I21" t="str">
        <f>IF(E21="","",'Raw Payments'!I21)</f>
        <v/>
      </c>
      <c r="J21" t="str">
        <f>IF(A21="","",IF(COUNTIF('Raw Payments'!$C:$C,A21)&gt;0,"Payment Linked","No Payment"))</f>
        <v/>
      </c>
      <c r="K21" t="str">
        <f>IF(F21="","Missing Reference",IF(COUNTIF('Raw Payments'!$B:$B,F21)&gt;1,"Possible Duplicate","Reference Present"))</f>
        <v>Missing Reference</v>
      </c>
      <c r="L21" t="str">
        <f t="shared" si="0"/>
        <v/>
      </c>
    </row>
    <row r="22" spans="1:12" x14ac:dyDescent="0.3">
      <c r="A22" t="str">
        <f>IF('Raw Enrollments'!A22="","",'Raw Enrollments'!A22)</f>
        <v/>
      </c>
      <c r="B22" t="str">
        <f>IF(A22="","",'Raw Enrollments'!B22)</f>
        <v/>
      </c>
      <c r="C22" t="str">
        <f>IF(A22="","",'Raw Enrollments'!C22)</f>
        <v/>
      </c>
      <c r="D22" t="str">
        <f>IF(A22="","",'Raw Enrollments'!E22)</f>
        <v/>
      </c>
      <c r="E22" t="str">
        <f>IF('Raw Payments'!A22="","",'Raw Payments'!A22)</f>
        <v/>
      </c>
      <c r="F22" t="str">
        <f>IF(E22="","",'Raw Payments'!B22)</f>
        <v/>
      </c>
      <c r="G22" t="str">
        <f>IF(E22="","",'Raw Payments'!F22)</f>
        <v/>
      </c>
      <c r="H22" t="str">
        <f>IF(E22="","",'Raw Payments'!H22)</f>
        <v/>
      </c>
      <c r="I22" t="str">
        <f>IF(E22="","",'Raw Payments'!I22)</f>
        <v/>
      </c>
      <c r="J22" t="str">
        <f>IF(A22="","",IF(COUNTIF('Raw Payments'!$C:$C,A22)&gt;0,"Payment Linked","No Payment"))</f>
        <v/>
      </c>
      <c r="K22" t="str">
        <f>IF(F22="","Missing Reference",IF(COUNTIF('Raw Payments'!$B:$B,F22)&gt;1,"Possible Duplicate","Reference Present"))</f>
        <v>Missing Reference</v>
      </c>
      <c r="L22" t="str">
        <f t="shared" si="0"/>
        <v/>
      </c>
    </row>
    <row r="23" spans="1:12" x14ac:dyDescent="0.3">
      <c r="A23" t="str">
        <f>IF('Raw Enrollments'!A23="","",'Raw Enrollments'!A23)</f>
        <v/>
      </c>
      <c r="B23" t="str">
        <f>IF(A23="","",'Raw Enrollments'!B23)</f>
        <v/>
      </c>
      <c r="C23" t="str">
        <f>IF(A23="","",'Raw Enrollments'!C23)</f>
        <v/>
      </c>
      <c r="D23" t="str">
        <f>IF(A23="","",'Raw Enrollments'!E23)</f>
        <v/>
      </c>
      <c r="E23" t="str">
        <f>IF('Raw Payments'!A23="","",'Raw Payments'!A23)</f>
        <v/>
      </c>
      <c r="F23" t="str">
        <f>IF(E23="","",'Raw Payments'!B23)</f>
        <v/>
      </c>
      <c r="G23" t="str">
        <f>IF(E23="","",'Raw Payments'!F23)</f>
        <v/>
      </c>
      <c r="H23" t="str">
        <f>IF(E23="","",'Raw Payments'!H23)</f>
        <v/>
      </c>
      <c r="I23" t="str">
        <f>IF(E23="","",'Raw Payments'!I23)</f>
        <v/>
      </c>
      <c r="J23" t="str">
        <f>IF(A23="","",IF(COUNTIF('Raw Payments'!$C:$C,A23)&gt;0,"Payment Linked","No Payment"))</f>
        <v/>
      </c>
      <c r="K23" t="str">
        <f>IF(F23="","Missing Reference",IF(COUNTIF('Raw Payments'!$B:$B,F23)&gt;1,"Possible Duplicate","Reference Present"))</f>
        <v>Missing Reference</v>
      </c>
      <c r="L23" t="str">
        <f t="shared" si="0"/>
        <v/>
      </c>
    </row>
    <row r="24" spans="1:12" x14ac:dyDescent="0.3">
      <c r="A24" t="str">
        <f>IF('Raw Enrollments'!A24="","",'Raw Enrollments'!A24)</f>
        <v/>
      </c>
      <c r="B24" t="str">
        <f>IF(A24="","",'Raw Enrollments'!B24)</f>
        <v/>
      </c>
      <c r="C24" t="str">
        <f>IF(A24="","",'Raw Enrollments'!C24)</f>
        <v/>
      </c>
      <c r="D24" t="str">
        <f>IF(A24="","",'Raw Enrollments'!E24)</f>
        <v/>
      </c>
      <c r="E24" t="str">
        <f>IF('Raw Payments'!A24="","",'Raw Payments'!A24)</f>
        <v/>
      </c>
      <c r="F24" t="str">
        <f>IF(E24="","",'Raw Payments'!B24)</f>
        <v/>
      </c>
      <c r="G24" t="str">
        <f>IF(E24="","",'Raw Payments'!F24)</f>
        <v/>
      </c>
      <c r="H24" t="str">
        <f>IF(E24="","",'Raw Payments'!H24)</f>
        <v/>
      </c>
      <c r="I24" t="str">
        <f>IF(E24="","",'Raw Payments'!I24)</f>
        <v/>
      </c>
      <c r="J24" t="str">
        <f>IF(A24="","",IF(COUNTIF('Raw Payments'!$C:$C,A24)&gt;0,"Payment Linked","No Payment"))</f>
        <v/>
      </c>
      <c r="K24" t="str">
        <f>IF(F24="","Missing Reference",IF(COUNTIF('Raw Payments'!$B:$B,F24)&gt;1,"Possible Duplicate","Reference Present"))</f>
        <v>Missing Reference</v>
      </c>
      <c r="L24" t="str">
        <f t="shared" si="0"/>
        <v/>
      </c>
    </row>
    <row r="25" spans="1:12" x14ac:dyDescent="0.3">
      <c r="A25" t="str">
        <f>IF('Raw Enrollments'!A25="","",'Raw Enrollments'!A25)</f>
        <v/>
      </c>
      <c r="B25" t="str">
        <f>IF(A25="","",'Raw Enrollments'!B25)</f>
        <v/>
      </c>
      <c r="C25" t="str">
        <f>IF(A25="","",'Raw Enrollments'!C25)</f>
        <v/>
      </c>
      <c r="D25" t="str">
        <f>IF(A25="","",'Raw Enrollments'!E25)</f>
        <v/>
      </c>
      <c r="E25" t="str">
        <f>IF('Raw Payments'!A25="","",'Raw Payments'!A25)</f>
        <v/>
      </c>
      <c r="F25" t="str">
        <f>IF(E25="","",'Raw Payments'!B25)</f>
        <v/>
      </c>
      <c r="G25" t="str">
        <f>IF(E25="","",'Raw Payments'!F25)</f>
        <v/>
      </c>
      <c r="H25" t="str">
        <f>IF(E25="","",'Raw Payments'!H25)</f>
        <v/>
      </c>
      <c r="I25" t="str">
        <f>IF(E25="","",'Raw Payments'!I25)</f>
        <v/>
      </c>
      <c r="J25" t="str">
        <f>IF(A25="","",IF(COUNTIF('Raw Payments'!$C:$C,A25)&gt;0,"Payment Linked","No Payment"))</f>
        <v/>
      </c>
      <c r="K25" t="str">
        <f>IF(F25="","Missing Reference",IF(COUNTIF('Raw Payments'!$B:$B,F25)&gt;1,"Possible Duplicate","Reference Present"))</f>
        <v>Missing Reference</v>
      </c>
      <c r="L25" t="str">
        <f t="shared" si="0"/>
        <v/>
      </c>
    </row>
    <row r="26" spans="1:12" x14ac:dyDescent="0.3">
      <c r="A26" t="str">
        <f>IF('Raw Enrollments'!A26="","",'Raw Enrollments'!A26)</f>
        <v/>
      </c>
      <c r="B26" t="str">
        <f>IF(A26="","",'Raw Enrollments'!B26)</f>
        <v/>
      </c>
      <c r="C26" t="str">
        <f>IF(A26="","",'Raw Enrollments'!C26)</f>
        <v/>
      </c>
      <c r="D26" t="str">
        <f>IF(A26="","",'Raw Enrollments'!E26)</f>
        <v/>
      </c>
      <c r="E26" t="str">
        <f>IF('Raw Payments'!A26="","",'Raw Payments'!A26)</f>
        <v/>
      </c>
      <c r="F26" t="str">
        <f>IF(E26="","",'Raw Payments'!B26)</f>
        <v/>
      </c>
      <c r="G26" t="str">
        <f>IF(E26="","",'Raw Payments'!F26)</f>
        <v/>
      </c>
      <c r="H26" t="str">
        <f>IF(E26="","",'Raw Payments'!H26)</f>
        <v/>
      </c>
      <c r="I26" t="str">
        <f>IF(E26="","",'Raw Payments'!I26)</f>
        <v/>
      </c>
      <c r="J26" t="str">
        <f>IF(A26="","",IF(COUNTIF('Raw Payments'!$C:$C,A26)&gt;0,"Payment Linked","No Payment"))</f>
        <v/>
      </c>
      <c r="K26" t="str">
        <f>IF(F26="","Missing Reference",IF(COUNTIF('Raw Payments'!$B:$B,F26)&gt;1,"Possible Duplicate","Reference Present"))</f>
        <v>Missing Reference</v>
      </c>
      <c r="L26" t="str">
        <f t="shared" si="0"/>
        <v/>
      </c>
    </row>
    <row r="27" spans="1:12" x14ac:dyDescent="0.3">
      <c r="A27" t="str">
        <f>IF('Raw Enrollments'!A27="","",'Raw Enrollments'!A27)</f>
        <v/>
      </c>
      <c r="B27" t="str">
        <f>IF(A27="","",'Raw Enrollments'!B27)</f>
        <v/>
      </c>
      <c r="C27" t="str">
        <f>IF(A27="","",'Raw Enrollments'!C27)</f>
        <v/>
      </c>
      <c r="D27" t="str">
        <f>IF(A27="","",'Raw Enrollments'!E27)</f>
        <v/>
      </c>
      <c r="E27" t="str">
        <f>IF('Raw Payments'!A27="","",'Raw Payments'!A27)</f>
        <v/>
      </c>
      <c r="F27" t="str">
        <f>IF(E27="","",'Raw Payments'!B27)</f>
        <v/>
      </c>
      <c r="G27" t="str">
        <f>IF(E27="","",'Raw Payments'!F27)</f>
        <v/>
      </c>
      <c r="H27" t="str">
        <f>IF(E27="","",'Raw Payments'!H27)</f>
        <v/>
      </c>
      <c r="I27" t="str">
        <f>IF(E27="","",'Raw Payments'!I27)</f>
        <v/>
      </c>
      <c r="J27" t="str">
        <f>IF(A27="","",IF(COUNTIF('Raw Payments'!$C:$C,A27)&gt;0,"Payment Linked","No Payment"))</f>
        <v/>
      </c>
      <c r="K27" t="str">
        <f>IF(F27="","Missing Reference",IF(COUNTIF('Raw Payments'!$B:$B,F27)&gt;1,"Possible Duplicate","Reference Present"))</f>
        <v>Missing Reference</v>
      </c>
      <c r="L27" t="str">
        <f t="shared" si="0"/>
        <v/>
      </c>
    </row>
    <row r="28" spans="1:12" x14ac:dyDescent="0.3">
      <c r="A28" t="str">
        <f>IF('Raw Enrollments'!A28="","",'Raw Enrollments'!A28)</f>
        <v/>
      </c>
      <c r="B28" t="str">
        <f>IF(A28="","",'Raw Enrollments'!B28)</f>
        <v/>
      </c>
      <c r="C28" t="str">
        <f>IF(A28="","",'Raw Enrollments'!C28)</f>
        <v/>
      </c>
      <c r="D28" t="str">
        <f>IF(A28="","",'Raw Enrollments'!E28)</f>
        <v/>
      </c>
      <c r="E28" t="str">
        <f>IF('Raw Payments'!A28="","",'Raw Payments'!A28)</f>
        <v/>
      </c>
      <c r="F28" t="str">
        <f>IF(E28="","",'Raw Payments'!B28)</f>
        <v/>
      </c>
      <c r="G28" t="str">
        <f>IF(E28="","",'Raw Payments'!F28)</f>
        <v/>
      </c>
      <c r="H28" t="str">
        <f>IF(E28="","",'Raw Payments'!H28)</f>
        <v/>
      </c>
      <c r="I28" t="str">
        <f>IF(E28="","",'Raw Payments'!I28)</f>
        <v/>
      </c>
      <c r="J28" t="str">
        <f>IF(A28="","",IF(COUNTIF('Raw Payments'!$C:$C,A28)&gt;0,"Payment Linked","No Payment"))</f>
        <v/>
      </c>
      <c r="K28" t="str">
        <f>IF(F28="","Missing Reference",IF(COUNTIF('Raw Payments'!$B:$B,F28)&gt;1,"Possible Duplicate","Reference Present"))</f>
        <v>Missing Reference</v>
      </c>
      <c r="L28" t="str">
        <f t="shared" si="0"/>
        <v/>
      </c>
    </row>
    <row r="29" spans="1:12" x14ac:dyDescent="0.3">
      <c r="A29" t="str">
        <f>IF('Raw Enrollments'!A29="","",'Raw Enrollments'!A29)</f>
        <v/>
      </c>
      <c r="B29" t="str">
        <f>IF(A29="","",'Raw Enrollments'!B29)</f>
        <v/>
      </c>
      <c r="C29" t="str">
        <f>IF(A29="","",'Raw Enrollments'!C29)</f>
        <v/>
      </c>
      <c r="D29" t="str">
        <f>IF(A29="","",'Raw Enrollments'!E29)</f>
        <v/>
      </c>
      <c r="E29" t="str">
        <f>IF('Raw Payments'!A29="","",'Raw Payments'!A29)</f>
        <v/>
      </c>
      <c r="F29" t="str">
        <f>IF(E29="","",'Raw Payments'!B29)</f>
        <v/>
      </c>
      <c r="G29" t="str">
        <f>IF(E29="","",'Raw Payments'!F29)</f>
        <v/>
      </c>
      <c r="H29" t="str">
        <f>IF(E29="","",'Raw Payments'!H29)</f>
        <v/>
      </c>
      <c r="I29" t="str">
        <f>IF(E29="","",'Raw Payments'!I29)</f>
        <v/>
      </c>
      <c r="J29" t="str">
        <f>IF(A29="","",IF(COUNTIF('Raw Payments'!$C:$C,A29)&gt;0,"Payment Linked","No Payment"))</f>
        <v/>
      </c>
      <c r="K29" t="str">
        <f>IF(F29="","Missing Reference",IF(COUNTIF('Raw Payments'!$B:$B,F29)&gt;1,"Possible Duplicate","Reference Present"))</f>
        <v>Missing Reference</v>
      </c>
      <c r="L29" t="str">
        <f t="shared" si="0"/>
        <v/>
      </c>
    </row>
    <row r="30" spans="1:12" x14ac:dyDescent="0.3">
      <c r="A30" t="str">
        <f>IF('Raw Enrollments'!A30="","",'Raw Enrollments'!A30)</f>
        <v/>
      </c>
      <c r="B30" t="str">
        <f>IF(A30="","",'Raw Enrollments'!B30)</f>
        <v/>
      </c>
      <c r="C30" t="str">
        <f>IF(A30="","",'Raw Enrollments'!C30)</f>
        <v/>
      </c>
      <c r="D30" t="str">
        <f>IF(A30="","",'Raw Enrollments'!E30)</f>
        <v/>
      </c>
      <c r="E30" t="str">
        <f>IF('Raw Payments'!A30="","",'Raw Payments'!A30)</f>
        <v/>
      </c>
      <c r="F30" t="str">
        <f>IF(E30="","",'Raw Payments'!B30)</f>
        <v/>
      </c>
      <c r="G30" t="str">
        <f>IF(E30="","",'Raw Payments'!F30)</f>
        <v/>
      </c>
      <c r="H30" t="str">
        <f>IF(E30="","",'Raw Payments'!H30)</f>
        <v/>
      </c>
      <c r="I30" t="str">
        <f>IF(E30="","",'Raw Payments'!I30)</f>
        <v/>
      </c>
      <c r="J30" t="str">
        <f>IF(A30="","",IF(COUNTIF('Raw Payments'!$C:$C,A30)&gt;0,"Payment Linked","No Payment"))</f>
        <v/>
      </c>
      <c r="K30" t="str">
        <f>IF(F30="","Missing Reference",IF(COUNTIF('Raw Payments'!$B:$B,F30)&gt;1,"Possible Duplicate","Reference Present"))</f>
        <v>Missing Reference</v>
      </c>
      <c r="L30" t="str">
        <f t="shared" si="0"/>
        <v/>
      </c>
    </row>
    <row r="31" spans="1:12" x14ac:dyDescent="0.3">
      <c r="A31" t="str">
        <f>IF('Raw Enrollments'!A31="","",'Raw Enrollments'!A31)</f>
        <v/>
      </c>
      <c r="B31" t="str">
        <f>IF(A31="","",'Raw Enrollments'!B31)</f>
        <v/>
      </c>
      <c r="C31" t="str">
        <f>IF(A31="","",'Raw Enrollments'!C31)</f>
        <v/>
      </c>
      <c r="D31" t="str">
        <f>IF(A31="","",'Raw Enrollments'!E31)</f>
        <v/>
      </c>
      <c r="E31" t="str">
        <f>IF('Raw Payments'!A31="","",'Raw Payments'!A31)</f>
        <v/>
      </c>
      <c r="F31" t="str">
        <f>IF(E31="","",'Raw Payments'!B31)</f>
        <v/>
      </c>
      <c r="G31" t="str">
        <f>IF(E31="","",'Raw Payments'!F31)</f>
        <v/>
      </c>
      <c r="H31" t="str">
        <f>IF(E31="","",'Raw Payments'!H31)</f>
        <v/>
      </c>
      <c r="I31" t="str">
        <f>IF(E31="","",'Raw Payments'!I31)</f>
        <v/>
      </c>
      <c r="J31" t="str">
        <f>IF(A31="","",IF(COUNTIF('Raw Payments'!$C:$C,A31)&gt;0,"Payment Linked","No Payment"))</f>
        <v/>
      </c>
      <c r="K31" t="str">
        <f>IF(F31="","Missing Reference",IF(COUNTIF('Raw Payments'!$B:$B,F31)&gt;1,"Possible Duplicate","Reference Present"))</f>
        <v>Missing Reference</v>
      </c>
      <c r="L31" t="str">
        <f t="shared" si="0"/>
        <v/>
      </c>
    </row>
    <row r="32" spans="1:12" x14ac:dyDescent="0.3">
      <c r="A32" t="str">
        <f>IF('Raw Enrollments'!A32="","",'Raw Enrollments'!A32)</f>
        <v/>
      </c>
      <c r="B32" t="str">
        <f>IF(A32="","",'Raw Enrollments'!B32)</f>
        <v/>
      </c>
      <c r="C32" t="str">
        <f>IF(A32="","",'Raw Enrollments'!C32)</f>
        <v/>
      </c>
      <c r="D32" t="str">
        <f>IF(A32="","",'Raw Enrollments'!E32)</f>
        <v/>
      </c>
      <c r="E32" t="str">
        <f>IF('Raw Payments'!A32="","",'Raw Payments'!A32)</f>
        <v/>
      </c>
      <c r="F32" t="str">
        <f>IF(E32="","",'Raw Payments'!B32)</f>
        <v/>
      </c>
      <c r="G32" t="str">
        <f>IF(E32="","",'Raw Payments'!F32)</f>
        <v/>
      </c>
      <c r="H32" t="str">
        <f>IF(E32="","",'Raw Payments'!H32)</f>
        <v/>
      </c>
      <c r="I32" t="str">
        <f>IF(E32="","",'Raw Payments'!I32)</f>
        <v/>
      </c>
      <c r="J32" t="str">
        <f>IF(A32="","",IF(COUNTIF('Raw Payments'!$C:$C,A32)&gt;0,"Payment Linked","No Payment"))</f>
        <v/>
      </c>
      <c r="K32" t="str">
        <f>IF(F32="","Missing Reference",IF(COUNTIF('Raw Payments'!$B:$B,F32)&gt;1,"Possible Duplicate","Reference Present"))</f>
        <v>Missing Reference</v>
      </c>
      <c r="L32" t="str">
        <f t="shared" si="0"/>
        <v/>
      </c>
    </row>
    <row r="33" spans="1:12" x14ac:dyDescent="0.3">
      <c r="A33" t="str">
        <f>IF('Raw Enrollments'!A33="","",'Raw Enrollments'!A33)</f>
        <v/>
      </c>
      <c r="B33" t="str">
        <f>IF(A33="","",'Raw Enrollments'!B33)</f>
        <v/>
      </c>
      <c r="C33" t="str">
        <f>IF(A33="","",'Raw Enrollments'!C33)</f>
        <v/>
      </c>
      <c r="D33" t="str">
        <f>IF(A33="","",'Raw Enrollments'!E33)</f>
        <v/>
      </c>
      <c r="E33" t="str">
        <f>IF('Raw Payments'!A33="","",'Raw Payments'!A33)</f>
        <v/>
      </c>
      <c r="F33" t="str">
        <f>IF(E33="","",'Raw Payments'!B33)</f>
        <v/>
      </c>
      <c r="G33" t="str">
        <f>IF(E33="","",'Raw Payments'!F33)</f>
        <v/>
      </c>
      <c r="H33" t="str">
        <f>IF(E33="","",'Raw Payments'!H33)</f>
        <v/>
      </c>
      <c r="I33" t="str">
        <f>IF(E33="","",'Raw Payments'!I33)</f>
        <v/>
      </c>
      <c r="J33" t="str">
        <f>IF(A33="","",IF(COUNTIF('Raw Payments'!$C:$C,A33)&gt;0,"Payment Linked","No Payment"))</f>
        <v/>
      </c>
      <c r="K33" t="str">
        <f>IF(F33="","Missing Reference",IF(COUNTIF('Raw Payments'!$B:$B,F33)&gt;1,"Possible Duplicate","Reference Present"))</f>
        <v>Missing Reference</v>
      </c>
      <c r="L33" t="str">
        <f t="shared" si="0"/>
        <v/>
      </c>
    </row>
    <row r="34" spans="1:12" x14ac:dyDescent="0.3">
      <c r="A34" t="str">
        <f>IF('Raw Enrollments'!A34="","",'Raw Enrollments'!A34)</f>
        <v/>
      </c>
      <c r="B34" t="str">
        <f>IF(A34="","",'Raw Enrollments'!B34)</f>
        <v/>
      </c>
      <c r="C34" t="str">
        <f>IF(A34="","",'Raw Enrollments'!C34)</f>
        <v/>
      </c>
      <c r="D34" t="str">
        <f>IF(A34="","",'Raw Enrollments'!E34)</f>
        <v/>
      </c>
      <c r="E34" t="str">
        <f>IF('Raw Payments'!A34="","",'Raw Payments'!A34)</f>
        <v/>
      </c>
      <c r="F34" t="str">
        <f>IF(E34="","",'Raw Payments'!B34)</f>
        <v/>
      </c>
      <c r="G34" t="str">
        <f>IF(E34="","",'Raw Payments'!F34)</f>
        <v/>
      </c>
      <c r="H34" t="str">
        <f>IF(E34="","",'Raw Payments'!H34)</f>
        <v/>
      </c>
      <c r="I34" t="str">
        <f>IF(E34="","",'Raw Payments'!I34)</f>
        <v/>
      </c>
      <c r="J34" t="str">
        <f>IF(A34="","",IF(COUNTIF('Raw Payments'!$C:$C,A34)&gt;0,"Payment Linked","No Payment"))</f>
        <v/>
      </c>
      <c r="K34" t="str">
        <f>IF(F34="","Missing Reference",IF(COUNTIF('Raw Payments'!$B:$B,F34)&gt;1,"Possible Duplicate","Reference Present"))</f>
        <v>Missing Reference</v>
      </c>
      <c r="L34" t="str">
        <f t="shared" si="0"/>
        <v/>
      </c>
    </row>
    <row r="35" spans="1:12" x14ac:dyDescent="0.3">
      <c r="A35" t="str">
        <f>IF('Raw Enrollments'!A35="","",'Raw Enrollments'!A35)</f>
        <v/>
      </c>
      <c r="B35" t="str">
        <f>IF(A35="","",'Raw Enrollments'!B35)</f>
        <v/>
      </c>
      <c r="C35" t="str">
        <f>IF(A35="","",'Raw Enrollments'!C35)</f>
        <v/>
      </c>
      <c r="D35" t="str">
        <f>IF(A35="","",'Raw Enrollments'!E35)</f>
        <v/>
      </c>
      <c r="E35" t="str">
        <f>IF('Raw Payments'!A35="","",'Raw Payments'!A35)</f>
        <v/>
      </c>
      <c r="F35" t="str">
        <f>IF(E35="","",'Raw Payments'!B35)</f>
        <v/>
      </c>
      <c r="G35" t="str">
        <f>IF(E35="","",'Raw Payments'!F35)</f>
        <v/>
      </c>
      <c r="H35" t="str">
        <f>IF(E35="","",'Raw Payments'!H35)</f>
        <v/>
      </c>
      <c r="I35" t="str">
        <f>IF(E35="","",'Raw Payments'!I35)</f>
        <v/>
      </c>
      <c r="J35" t="str">
        <f>IF(A35="","",IF(COUNTIF('Raw Payments'!$C:$C,A35)&gt;0,"Payment Linked","No Payment"))</f>
        <v/>
      </c>
      <c r="K35" t="str">
        <f>IF(F35="","Missing Reference",IF(COUNTIF('Raw Payments'!$B:$B,F35)&gt;1,"Possible Duplicate","Reference Present"))</f>
        <v>Missing Reference</v>
      </c>
      <c r="L35" t="str">
        <f t="shared" si="0"/>
        <v/>
      </c>
    </row>
    <row r="36" spans="1:12" x14ac:dyDescent="0.3">
      <c r="A36" t="str">
        <f>IF('Raw Enrollments'!A36="","",'Raw Enrollments'!A36)</f>
        <v/>
      </c>
      <c r="B36" t="str">
        <f>IF(A36="","",'Raw Enrollments'!B36)</f>
        <v/>
      </c>
      <c r="C36" t="str">
        <f>IF(A36="","",'Raw Enrollments'!C36)</f>
        <v/>
      </c>
      <c r="D36" t="str">
        <f>IF(A36="","",'Raw Enrollments'!E36)</f>
        <v/>
      </c>
      <c r="E36" t="str">
        <f>IF('Raw Payments'!A36="","",'Raw Payments'!A36)</f>
        <v/>
      </c>
      <c r="F36" t="str">
        <f>IF(E36="","",'Raw Payments'!B36)</f>
        <v/>
      </c>
      <c r="G36" t="str">
        <f>IF(E36="","",'Raw Payments'!F36)</f>
        <v/>
      </c>
      <c r="H36" t="str">
        <f>IF(E36="","",'Raw Payments'!H36)</f>
        <v/>
      </c>
      <c r="I36" t="str">
        <f>IF(E36="","",'Raw Payments'!I36)</f>
        <v/>
      </c>
      <c r="J36" t="str">
        <f>IF(A36="","",IF(COUNTIF('Raw Payments'!$C:$C,A36)&gt;0,"Payment Linked","No Payment"))</f>
        <v/>
      </c>
      <c r="K36" t="str">
        <f>IF(F36="","Missing Reference",IF(COUNTIF('Raw Payments'!$B:$B,F36)&gt;1,"Possible Duplicate","Reference Present"))</f>
        <v>Missing Reference</v>
      </c>
      <c r="L36" t="str">
        <f t="shared" si="0"/>
        <v/>
      </c>
    </row>
    <row r="37" spans="1:12" x14ac:dyDescent="0.3">
      <c r="A37" t="str">
        <f>IF('Raw Enrollments'!A37="","",'Raw Enrollments'!A37)</f>
        <v/>
      </c>
      <c r="B37" t="str">
        <f>IF(A37="","",'Raw Enrollments'!B37)</f>
        <v/>
      </c>
      <c r="C37" t="str">
        <f>IF(A37="","",'Raw Enrollments'!C37)</f>
        <v/>
      </c>
      <c r="D37" t="str">
        <f>IF(A37="","",'Raw Enrollments'!E37)</f>
        <v/>
      </c>
      <c r="E37" t="str">
        <f>IF('Raw Payments'!A37="","",'Raw Payments'!A37)</f>
        <v/>
      </c>
      <c r="F37" t="str">
        <f>IF(E37="","",'Raw Payments'!B37)</f>
        <v/>
      </c>
      <c r="G37" t="str">
        <f>IF(E37="","",'Raw Payments'!F37)</f>
        <v/>
      </c>
      <c r="H37" t="str">
        <f>IF(E37="","",'Raw Payments'!H37)</f>
        <v/>
      </c>
      <c r="I37" t="str">
        <f>IF(E37="","",'Raw Payments'!I37)</f>
        <v/>
      </c>
      <c r="J37" t="str">
        <f>IF(A37="","",IF(COUNTIF('Raw Payments'!$C:$C,A37)&gt;0,"Payment Linked","No Payment"))</f>
        <v/>
      </c>
      <c r="K37" t="str">
        <f>IF(F37="","Missing Reference",IF(COUNTIF('Raw Payments'!$B:$B,F37)&gt;1,"Possible Duplicate","Reference Present"))</f>
        <v>Missing Reference</v>
      </c>
      <c r="L37" t="str">
        <f t="shared" si="0"/>
        <v/>
      </c>
    </row>
    <row r="38" spans="1:12" x14ac:dyDescent="0.3">
      <c r="A38" t="str">
        <f>IF('Raw Enrollments'!A38="","",'Raw Enrollments'!A38)</f>
        <v/>
      </c>
      <c r="B38" t="str">
        <f>IF(A38="","",'Raw Enrollments'!B38)</f>
        <v/>
      </c>
      <c r="C38" t="str">
        <f>IF(A38="","",'Raw Enrollments'!C38)</f>
        <v/>
      </c>
      <c r="D38" t="str">
        <f>IF(A38="","",'Raw Enrollments'!E38)</f>
        <v/>
      </c>
      <c r="E38" t="str">
        <f>IF('Raw Payments'!A38="","",'Raw Payments'!A38)</f>
        <v/>
      </c>
      <c r="F38" t="str">
        <f>IF(E38="","",'Raw Payments'!B38)</f>
        <v/>
      </c>
      <c r="G38" t="str">
        <f>IF(E38="","",'Raw Payments'!F38)</f>
        <v/>
      </c>
      <c r="H38" t="str">
        <f>IF(E38="","",'Raw Payments'!H38)</f>
        <v/>
      </c>
      <c r="I38" t="str">
        <f>IF(E38="","",'Raw Payments'!I38)</f>
        <v/>
      </c>
      <c r="J38" t="str">
        <f>IF(A38="","",IF(COUNTIF('Raw Payments'!$C:$C,A38)&gt;0,"Payment Linked","No Payment"))</f>
        <v/>
      </c>
      <c r="K38" t="str">
        <f>IF(F38="","Missing Reference",IF(COUNTIF('Raw Payments'!$B:$B,F38)&gt;1,"Possible Duplicate","Reference Present"))</f>
        <v>Missing Reference</v>
      </c>
      <c r="L38" t="str">
        <f t="shared" si="0"/>
        <v/>
      </c>
    </row>
    <row r="39" spans="1:12" x14ac:dyDescent="0.3">
      <c r="A39" t="str">
        <f>IF('Raw Enrollments'!A39="","",'Raw Enrollments'!A39)</f>
        <v/>
      </c>
      <c r="B39" t="str">
        <f>IF(A39="","",'Raw Enrollments'!B39)</f>
        <v/>
      </c>
      <c r="C39" t="str">
        <f>IF(A39="","",'Raw Enrollments'!C39)</f>
        <v/>
      </c>
      <c r="D39" t="str">
        <f>IF(A39="","",'Raw Enrollments'!E39)</f>
        <v/>
      </c>
      <c r="E39" t="str">
        <f>IF('Raw Payments'!A39="","",'Raw Payments'!A39)</f>
        <v/>
      </c>
      <c r="F39" t="str">
        <f>IF(E39="","",'Raw Payments'!B39)</f>
        <v/>
      </c>
      <c r="G39" t="str">
        <f>IF(E39="","",'Raw Payments'!F39)</f>
        <v/>
      </c>
      <c r="H39" t="str">
        <f>IF(E39="","",'Raw Payments'!H39)</f>
        <v/>
      </c>
      <c r="I39" t="str">
        <f>IF(E39="","",'Raw Payments'!I39)</f>
        <v/>
      </c>
      <c r="J39" t="str">
        <f>IF(A39="","",IF(COUNTIF('Raw Payments'!$C:$C,A39)&gt;0,"Payment Linked","No Payment"))</f>
        <v/>
      </c>
      <c r="K39" t="str">
        <f>IF(F39="","Missing Reference",IF(COUNTIF('Raw Payments'!$B:$B,F39)&gt;1,"Possible Duplicate","Reference Present"))</f>
        <v>Missing Reference</v>
      </c>
      <c r="L39" t="str">
        <f t="shared" si="0"/>
        <v/>
      </c>
    </row>
    <row r="40" spans="1:12" x14ac:dyDescent="0.3">
      <c r="A40" t="str">
        <f>IF('Raw Enrollments'!A40="","",'Raw Enrollments'!A40)</f>
        <v/>
      </c>
      <c r="B40" t="str">
        <f>IF(A40="","",'Raw Enrollments'!B40)</f>
        <v/>
      </c>
      <c r="C40" t="str">
        <f>IF(A40="","",'Raw Enrollments'!C40)</f>
        <v/>
      </c>
      <c r="D40" t="str">
        <f>IF(A40="","",'Raw Enrollments'!E40)</f>
        <v/>
      </c>
      <c r="E40" t="str">
        <f>IF('Raw Payments'!A40="","",'Raw Payments'!A40)</f>
        <v/>
      </c>
      <c r="F40" t="str">
        <f>IF(E40="","",'Raw Payments'!B40)</f>
        <v/>
      </c>
      <c r="G40" t="str">
        <f>IF(E40="","",'Raw Payments'!F40)</f>
        <v/>
      </c>
      <c r="H40" t="str">
        <f>IF(E40="","",'Raw Payments'!H40)</f>
        <v/>
      </c>
      <c r="I40" t="str">
        <f>IF(E40="","",'Raw Payments'!I40)</f>
        <v/>
      </c>
      <c r="J40" t="str">
        <f>IF(A40="","",IF(COUNTIF('Raw Payments'!$C:$C,A40)&gt;0,"Payment Linked","No Payment"))</f>
        <v/>
      </c>
      <c r="K40" t="str">
        <f>IF(F40="","Missing Reference",IF(COUNTIF('Raw Payments'!$B:$B,F40)&gt;1,"Possible Duplicate","Reference Present"))</f>
        <v>Missing Reference</v>
      </c>
      <c r="L40" t="str">
        <f t="shared" si="0"/>
        <v/>
      </c>
    </row>
    <row r="41" spans="1:12" x14ac:dyDescent="0.3">
      <c r="A41" t="str">
        <f>IF('Raw Enrollments'!A41="","",'Raw Enrollments'!A41)</f>
        <v/>
      </c>
      <c r="B41" t="str">
        <f>IF(A41="","",'Raw Enrollments'!B41)</f>
        <v/>
      </c>
      <c r="C41" t="str">
        <f>IF(A41="","",'Raw Enrollments'!C41)</f>
        <v/>
      </c>
      <c r="D41" t="str">
        <f>IF(A41="","",'Raw Enrollments'!E41)</f>
        <v/>
      </c>
      <c r="E41" t="str">
        <f>IF('Raw Payments'!A41="","",'Raw Payments'!A41)</f>
        <v/>
      </c>
      <c r="F41" t="str">
        <f>IF(E41="","",'Raw Payments'!B41)</f>
        <v/>
      </c>
      <c r="G41" t="str">
        <f>IF(E41="","",'Raw Payments'!F41)</f>
        <v/>
      </c>
      <c r="H41" t="str">
        <f>IF(E41="","",'Raw Payments'!H41)</f>
        <v/>
      </c>
      <c r="I41" t="str">
        <f>IF(E41="","",'Raw Payments'!I41)</f>
        <v/>
      </c>
      <c r="J41" t="str">
        <f>IF(A41="","",IF(COUNTIF('Raw Payments'!$C:$C,A41)&gt;0,"Payment Linked","No Payment"))</f>
        <v/>
      </c>
      <c r="K41" t="str">
        <f>IF(F41="","Missing Reference",IF(COUNTIF('Raw Payments'!$B:$B,F41)&gt;1,"Possible Duplicate","Reference Present"))</f>
        <v>Missing Reference</v>
      </c>
      <c r="L41" t="str">
        <f t="shared" si="0"/>
        <v/>
      </c>
    </row>
    <row r="42" spans="1:12" x14ac:dyDescent="0.3">
      <c r="A42" t="str">
        <f>IF('Raw Enrollments'!A42="","",'Raw Enrollments'!A42)</f>
        <v/>
      </c>
      <c r="B42" t="str">
        <f>IF(A42="","",'Raw Enrollments'!B42)</f>
        <v/>
      </c>
      <c r="C42" t="str">
        <f>IF(A42="","",'Raw Enrollments'!C42)</f>
        <v/>
      </c>
      <c r="D42" t="str">
        <f>IF(A42="","",'Raw Enrollments'!E42)</f>
        <v/>
      </c>
      <c r="E42" t="str">
        <f>IF('Raw Payments'!A42="","",'Raw Payments'!A42)</f>
        <v/>
      </c>
      <c r="F42" t="str">
        <f>IF(E42="","",'Raw Payments'!B42)</f>
        <v/>
      </c>
      <c r="G42" t="str">
        <f>IF(E42="","",'Raw Payments'!F42)</f>
        <v/>
      </c>
      <c r="H42" t="str">
        <f>IF(E42="","",'Raw Payments'!H42)</f>
        <v/>
      </c>
      <c r="I42" t="str">
        <f>IF(E42="","",'Raw Payments'!I42)</f>
        <v/>
      </c>
      <c r="J42" t="str">
        <f>IF(A42="","",IF(COUNTIF('Raw Payments'!$C:$C,A42)&gt;0,"Payment Linked","No Payment"))</f>
        <v/>
      </c>
      <c r="K42" t="str">
        <f>IF(F42="","Missing Reference",IF(COUNTIF('Raw Payments'!$B:$B,F42)&gt;1,"Possible Duplicate","Reference Present"))</f>
        <v>Missing Reference</v>
      </c>
      <c r="L42" t="str">
        <f t="shared" si="0"/>
        <v/>
      </c>
    </row>
    <row r="43" spans="1:12" x14ac:dyDescent="0.3">
      <c r="A43" t="str">
        <f>IF('Raw Enrollments'!A43="","",'Raw Enrollments'!A43)</f>
        <v/>
      </c>
      <c r="B43" t="str">
        <f>IF(A43="","",'Raw Enrollments'!B43)</f>
        <v/>
      </c>
      <c r="C43" t="str">
        <f>IF(A43="","",'Raw Enrollments'!C43)</f>
        <v/>
      </c>
      <c r="D43" t="str">
        <f>IF(A43="","",'Raw Enrollments'!E43)</f>
        <v/>
      </c>
      <c r="E43" t="str">
        <f>IF('Raw Payments'!A43="","",'Raw Payments'!A43)</f>
        <v/>
      </c>
      <c r="F43" t="str">
        <f>IF(E43="","",'Raw Payments'!B43)</f>
        <v/>
      </c>
      <c r="G43" t="str">
        <f>IF(E43="","",'Raw Payments'!F43)</f>
        <v/>
      </c>
      <c r="H43" t="str">
        <f>IF(E43="","",'Raw Payments'!H43)</f>
        <v/>
      </c>
      <c r="I43" t="str">
        <f>IF(E43="","",'Raw Payments'!I43)</f>
        <v/>
      </c>
      <c r="J43" t="str">
        <f>IF(A43="","",IF(COUNTIF('Raw Payments'!$C:$C,A43)&gt;0,"Payment Linked","No Payment"))</f>
        <v/>
      </c>
      <c r="K43" t="str">
        <f>IF(F43="","Missing Reference",IF(COUNTIF('Raw Payments'!$B:$B,F43)&gt;1,"Possible Duplicate","Reference Present"))</f>
        <v>Missing Reference</v>
      </c>
      <c r="L43" t="str">
        <f t="shared" si="0"/>
        <v/>
      </c>
    </row>
    <row r="44" spans="1:12" x14ac:dyDescent="0.3">
      <c r="A44" t="str">
        <f>IF('Raw Enrollments'!A44="","",'Raw Enrollments'!A44)</f>
        <v/>
      </c>
      <c r="B44" t="str">
        <f>IF(A44="","",'Raw Enrollments'!B44)</f>
        <v/>
      </c>
      <c r="C44" t="str">
        <f>IF(A44="","",'Raw Enrollments'!C44)</f>
        <v/>
      </c>
      <c r="D44" t="str">
        <f>IF(A44="","",'Raw Enrollments'!E44)</f>
        <v/>
      </c>
      <c r="E44" t="str">
        <f>IF('Raw Payments'!A44="","",'Raw Payments'!A44)</f>
        <v/>
      </c>
      <c r="F44" t="str">
        <f>IF(E44="","",'Raw Payments'!B44)</f>
        <v/>
      </c>
      <c r="G44" t="str">
        <f>IF(E44="","",'Raw Payments'!F44)</f>
        <v/>
      </c>
      <c r="H44" t="str">
        <f>IF(E44="","",'Raw Payments'!H44)</f>
        <v/>
      </c>
      <c r="I44" t="str">
        <f>IF(E44="","",'Raw Payments'!I44)</f>
        <v/>
      </c>
      <c r="J44" t="str">
        <f>IF(A44="","",IF(COUNTIF('Raw Payments'!$C:$C,A44)&gt;0,"Payment Linked","No Payment"))</f>
        <v/>
      </c>
      <c r="K44" t="str">
        <f>IF(F44="","Missing Reference",IF(COUNTIF('Raw Payments'!$B:$B,F44)&gt;1,"Possible Duplicate","Reference Present"))</f>
        <v>Missing Reference</v>
      </c>
      <c r="L44" t="str">
        <f t="shared" si="0"/>
        <v/>
      </c>
    </row>
    <row r="45" spans="1:12" x14ac:dyDescent="0.3">
      <c r="A45" t="str">
        <f>IF('Raw Enrollments'!A45="","",'Raw Enrollments'!A45)</f>
        <v/>
      </c>
      <c r="B45" t="str">
        <f>IF(A45="","",'Raw Enrollments'!B45)</f>
        <v/>
      </c>
      <c r="C45" t="str">
        <f>IF(A45="","",'Raw Enrollments'!C45)</f>
        <v/>
      </c>
      <c r="D45" t="str">
        <f>IF(A45="","",'Raw Enrollments'!E45)</f>
        <v/>
      </c>
      <c r="E45" t="str">
        <f>IF('Raw Payments'!A45="","",'Raw Payments'!A45)</f>
        <v/>
      </c>
      <c r="F45" t="str">
        <f>IF(E45="","",'Raw Payments'!B45)</f>
        <v/>
      </c>
      <c r="G45" t="str">
        <f>IF(E45="","",'Raw Payments'!F45)</f>
        <v/>
      </c>
      <c r="H45" t="str">
        <f>IF(E45="","",'Raw Payments'!H45)</f>
        <v/>
      </c>
      <c r="I45" t="str">
        <f>IF(E45="","",'Raw Payments'!I45)</f>
        <v/>
      </c>
      <c r="J45" t="str">
        <f>IF(A45="","",IF(COUNTIF('Raw Payments'!$C:$C,A45)&gt;0,"Payment Linked","No Payment"))</f>
        <v/>
      </c>
      <c r="K45" t="str">
        <f>IF(F45="","Missing Reference",IF(COUNTIF('Raw Payments'!$B:$B,F45)&gt;1,"Possible Duplicate","Reference Present"))</f>
        <v>Missing Reference</v>
      </c>
      <c r="L45" t="str">
        <f t="shared" si="0"/>
        <v/>
      </c>
    </row>
    <row r="46" spans="1:12" x14ac:dyDescent="0.3">
      <c r="A46" t="str">
        <f>IF('Raw Enrollments'!A46="","",'Raw Enrollments'!A46)</f>
        <v/>
      </c>
      <c r="B46" t="str">
        <f>IF(A46="","",'Raw Enrollments'!B46)</f>
        <v/>
      </c>
      <c r="C46" t="str">
        <f>IF(A46="","",'Raw Enrollments'!C46)</f>
        <v/>
      </c>
      <c r="D46" t="str">
        <f>IF(A46="","",'Raw Enrollments'!E46)</f>
        <v/>
      </c>
      <c r="E46" t="str">
        <f>IF('Raw Payments'!A46="","",'Raw Payments'!A46)</f>
        <v/>
      </c>
      <c r="F46" t="str">
        <f>IF(E46="","",'Raw Payments'!B46)</f>
        <v/>
      </c>
      <c r="G46" t="str">
        <f>IF(E46="","",'Raw Payments'!F46)</f>
        <v/>
      </c>
      <c r="H46" t="str">
        <f>IF(E46="","",'Raw Payments'!H46)</f>
        <v/>
      </c>
      <c r="I46" t="str">
        <f>IF(E46="","",'Raw Payments'!I46)</f>
        <v/>
      </c>
      <c r="J46" t="str">
        <f>IF(A46="","",IF(COUNTIF('Raw Payments'!$C:$C,A46)&gt;0,"Payment Linked","No Payment"))</f>
        <v/>
      </c>
      <c r="K46" t="str">
        <f>IF(F46="","Missing Reference",IF(COUNTIF('Raw Payments'!$B:$B,F46)&gt;1,"Possible Duplicate","Reference Present"))</f>
        <v>Missing Reference</v>
      </c>
      <c r="L46" t="str">
        <f t="shared" si="0"/>
        <v/>
      </c>
    </row>
    <row r="47" spans="1:12" x14ac:dyDescent="0.3">
      <c r="A47" t="str">
        <f>IF('Raw Enrollments'!A47="","",'Raw Enrollments'!A47)</f>
        <v/>
      </c>
      <c r="B47" t="str">
        <f>IF(A47="","",'Raw Enrollments'!B47)</f>
        <v/>
      </c>
      <c r="C47" t="str">
        <f>IF(A47="","",'Raw Enrollments'!C47)</f>
        <v/>
      </c>
      <c r="D47" t="str">
        <f>IF(A47="","",'Raw Enrollments'!E47)</f>
        <v/>
      </c>
      <c r="E47" t="str">
        <f>IF('Raw Payments'!A47="","",'Raw Payments'!A47)</f>
        <v/>
      </c>
      <c r="F47" t="str">
        <f>IF(E47="","",'Raw Payments'!B47)</f>
        <v/>
      </c>
      <c r="G47" t="str">
        <f>IF(E47="","",'Raw Payments'!F47)</f>
        <v/>
      </c>
      <c r="H47" t="str">
        <f>IF(E47="","",'Raw Payments'!H47)</f>
        <v/>
      </c>
      <c r="I47" t="str">
        <f>IF(E47="","",'Raw Payments'!I47)</f>
        <v/>
      </c>
      <c r="J47" t="str">
        <f>IF(A47="","",IF(COUNTIF('Raw Payments'!$C:$C,A47)&gt;0,"Payment Linked","No Payment"))</f>
        <v/>
      </c>
      <c r="K47" t="str">
        <f>IF(F47="","Missing Reference",IF(COUNTIF('Raw Payments'!$B:$B,F47)&gt;1,"Possible Duplicate","Reference Present"))</f>
        <v>Missing Reference</v>
      </c>
      <c r="L47" t="str">
        <f t="shared" si="0"/>
        <v/>
      </c>
    </row>
    <row r="48" spans="1:12" x14ac:dyDescent="0.3">
      <c r="A48" t="str">
        <f>IF('Raw Enrollments'!A48="","",'Raw Enrollments'!A48)</f>
        <v/>
      </c>
      <c r="B48" t="str">
        <f>IF(A48="","",'Raw Enrollments'!B48)</f>
        <v/>
      </c>
      <c r="C48" t="str">
        <f>IF(A48="","",'Raw Enrollments'!C48)</f>
        <v/>
      </c>
      <c r="D48" t="str">
        <f>IF(A48="","",'Raw Enrollments'!E48)</f>
        <v/>
      </c>
      <c r="E48" t="str">
        <f>IF('Raw Payments'!A48="","",'Raw Payments'!A48)</f>
        <v/>
      </c>
      <c r="F48" t="str">
        <f>IF(E48="","",'Raw Payments'!B48)</f>
        <v/>
      </c>
      <c r="G48" t="str">
        <f>IF(E48="","",'Raw Payments'!F48)</f>
        <v/>
      </c>
      <c r="H48" t="str">
        <f>IF(E48="","",'Raw Payments'!H48)</f>
        <v/>
      </c>
      <c r="I48" t="str">
        <f>IF(E48="","",'Raw Payments'!I48)</f>
        <v/>
      </c>
      <c r="J48" t="str">
        <f>IF(A48="","",IF(COUNTIF('Raw Payments'!$C:$C,A48)&gt;0,"Payment Linked","No Payment"))</f>
        <v/>
      </c>
      <c r="K48" t="str">
        <f>IF(F48="","Missing Reference",IF(COUNTIF('Raw Payments'!$B:$B,F48)&gt;1,"Possible Duplicate","Reference Present"))</f>
        <v>Missing Reference</v>
      </c>
      <c r="L48" t="str">
        <f t="shared" si="0"/>
        <v/>
      </c>
    </row>
    <row r="49" spans="1:12" x14ac:dyDescent="0.3">
      <c r="A49" t="str">
        <f>IF('Raw Enrollments'!A49="","",'Raw Enrollments'!A49)</f>
        <v/>
      </c>
      <c r="B49" t="str">
        <f>IF(A49="","",'Raw Enrollments'!B49)</f>
        <v/>
      </c>
      <c r="C49" t="str">
        <f>IF(A49="","",'Raw Enrollments'!C49)</f>
        <v/>
      </c>
      <c r="D49" t="str">
        <f>IF(A49="","",'Raw Enrollments'!E49)</f>
        <v/>
      </c>
      <c r="E49" t="str">
        <f>IF('Raw Payments'!A49="","",'Raw Payments'!A49)</f>
        <v/>
      </c>
      <c r="F49" t="str">
        <f>IF(E49="","",'Raw Payments'!B49)</f>
        <v/>
      </c>
      <c r="G49" t="str">
        <f>IF(E49="","",'Raw Payments'!F49)</f>
        <v/>
      </c>
      <c r="H49" t="str">
        <f>IF(E49="","",'Raw Payments'!H49)</f>
        <v/>
      </c>
      <c r="I49" t="str">
        <f>IF(E49="","",'Raw Payments'!I49)</f>
        <v/>
      </c>
      <c r="J49" t="str">
        <f>IF(A49="","",IF(COUNTIF('Raw Payments'!$C:$C,A49)&gt;0,"Payment Linked","No Payment"))</f>
        <v/>
      </c>
      <c r="K49" t="str">
        <f>IF(F49="","Missing Reference",IF(COUNTIF('Raw Payments'!$B:$B,F49)&gt;1,"Possible Duplicate","Reference Present"))</f>
        <v>Missing Reference</v>
      </c>
      <c r="L49" t="str">
        <f t="shared" si="0"/>
        <v/>
      </c>
    </row>
    <row r="50" spans="1:12" x14ac:dyDescent="0.3">
      <c r="A50" t="str">
        <f>IF('Raw Enrollments'!A50="","",'Raw Enrollments'!A50)</f>
        <v/>
      </c>
      <c r="B50" t="str">
        <f>IF(A50="","",'Raw Enrollments'!B50)</f>
        <v/>
      </c>
      <c r="C50" t="str">
        <f>IF(A50="","",'Raw Enrollments'!C50)</f>
        <v/>
      </c>
      <c r="D50" t="str">
        <f>IF(A50="","",'Raw Enrollments'!E50)</f>
        <v/>
      </c>
      <c r="E50" t="str">
        <f>IF('Raw Payments'!A50="","",'Raw Payments'!A50)</f>
        <v/>
      </c>
      <c r="F50" t="str">
        <f>IF(E50="","",'Raw Payments'!B50)</f>
        <v/>
      </c>
      <c r="G50" t="str">
        <f>IF(E50="","",'Raw Payments'!F50)</f>
        <v/>
      </c>
      <c r="H50" t="str">
        <f>IF(E50="","",'Raw Payments'!H50)</f>
        <v/>
      </c>
      <c r="I50" t="str">
        <f>IF(E50="","",'Raw Payments'!I50)</f>
        <v/>
      </c>
      <c r="J50" t="str">
        <f>IF(A50="","",IF(COUNTIF('Raw Payments'!$C:$C,A50)&gt;0,"Payment Linked","No Payment"))</f>
        <v/>
      </c>
      <c r="K50" t="str">
        <f>IF(F50="","Missing Reference",IF(COUNTIF('Raw Payments'!$B:$B,F50)&gt;1,"Possible Duplicate","Reference Present"))</f>
        <v>Missing Reference</v>
      </c>
      <c r="L50" t="str">
        <f t="shared" si="0"/>
        <v/>
      </c>
    </row>
    <row r="51" spans="1:12" x14ac:dyDescent="0.3">
      <c r="A51" t="str">
        <f>IF('Raw Enrollments'!A51="","",'Raw Enrollments'!A51)</f>
        <v/>
      </c>
      <c r="B51" t="str">
        <f>IF(A51="","",'Raw Enrollments'!B51)</f>
        <v/>
      </c>
      <c r="C51" t="str">
        <f>IF(A51="","",'Raw Enrollments'!C51)</f>
        <v/>
      </c>
      <c r="D51" t="str">
        <f>IF(A51="","",'Raw Enrollments'!E51)</f>
        <v/>
      </c>
      <c r="E51" t="str">
        <f>IF('Raw Payments'!A51="","",'Raw Payments'!A51)</f>
        <v/>
      </c>
      <c r="F51" t="str">
        <f>IF(E51="","",'Raw Payments'!B51)</f>
        <v/>
      </c>
      <c r="G51" t="str">
        <f>IF(E51="","",'Raw Payments'!F51)</f>
        <v/>
      </c>
      <c r="H51" t="str">
        <f>IF(E51="","",'Raw Payments'!H51)</f>
        <v/>
      </c>
      <c r="I51" t="str">
        <f>IF(E51="","",'Raw Payments'!I51)</f>
        <v/>
      </c>
      <c r="J51" t="str">
        <f>IF(A51="","",IF(COUNTIF('Raw Payments'!$C:$C,A51)&gt;0,"Payment Linked","No Payment"))</f>
        <v/>
      </c>
      <c r="K51" t="str">
        <f>IF(F51="","Missing Reference",IF(COUNTIF('Raw Payments'!$B:$B,F51)&gt;1,"Possible Duplicate","Reference Present"))</f>
        <v>Missing Reference</v>
      </c>
      <c r="L51" t="str">
        <f t="shared" si="0"/>
        <v/>
      </c>
    </row>
    <row r="52" spans="1:12" x14ac:dyDescent="0.3">
      <c r="A52" t="str">
        <f>IF('Raw Enrollments'!A52="","",'Raw Enrollments'!A52)</f>
        <v/>
      </c>
      <c r="B52" t="str">
        <f>IF(A52="","",'Raw Enrollments'!B52)</f>
        <v/>
      </c>
      <c r="C52" t="str">
        <f>IF(A52="","",'Raw Enrollments'!C52)</f>
        <v/>
      </c>
      <c r="D52" t="str">
        <f>IF(A52="","",'Raw Enrollments'!E52)</f>
        <v/>
      </c>
      <c r="E52" t="str">
        <f>IF('Raw Payments'!A52="","",'Raw Payments'!A52)</f>
        <v/>
      </c>
      <c r="F52" t="str">
        <f>IF(E52="","",'Raw Payments'!B52)</f>
        <v/>
      </c>
      <c r="G52" t="str">
        <f>IF(E52="","",'Raw Payments'!F52)</f>
        <v/>
      </c>
      <c r="H52" t="str">
        <f>IF(E52="","",'Raw Payments'!H52)</f>
        <v/>
      </c>
      <c r="I52" t="str">
        <f>IF(E52="","",'Raw Payments'!I52)</f>
        <v/>
      </c>
      <c r="J52" t="str">
        <f>IF(A52="","",IF(COUNTIF('Raw Payments'!$C:$C,A52)&gt;0,"Payment Linked","No Payment"))</f>
        <v/>
      </c>
      <c r="K52" t="str">
        <f>IF(F52="","Missing Reference",IF(COUNTIF('Raw Payments'!$B:$B,F52)&gt;1,"Possible Duplicate","Reference Present"))</f>
        <v>Missing Reference</v>
      </c>
      <c r="L52" t="str">
        <f t="shared" si="0"/>
        <v/>
      </c>
    </row>
    <row r="53" spans="1:12" x14ac:dyDescent="0.3">
      <c r="A53" t="str">
        <f>IF('Raw Enrollments'!A53="","",'Raw Enrollments'!A53)</f>
        <v/>
      </c>
      <c r="B53" t="str">
        <f>IF(A53="","",'Raw Enrollments'!B53)</f>
        <v/>
      </c>
      <c r="C53" t="str">
        <f>IF(A53="","",'Raw Enrollments'!C53)</f>
        <v/>
      </c>
      <c r="D53" t="str">
        <f>IF(A53="","",'Raw Enrollments'!E53)</f>
        <v/>
      </c>
      <c r="E53" t="str">
        <f>IF('Raw Payments'!A53="","",'Raw Payments'!A53)</f>
        <v/>
      </c>
      <c r="F53" t="str">
        <f>IF(E53="","",'Raw Payments'!B53)</f>
        <v/>
      </c>
      <c r="G53" t="str">
        <f>IF(E53="","",'Raw Payments'!F53)</f>
        <v/>
      </c>
      <c r="H53" t="str">
        <f>IF(E53="","",'Raw Payments'!H53)</f>
        <v/>
      </c>
      <c r="I53" t="str">
        <f>IF(E53="","",'Raw Payments'!I53)</f>
        <v/>
      </c>
      <c r="J53" t="str">
        <f>IF(A53="","",IF(COUNTIF('Raw Payments'!$C:$C,A53)&gt;0,"Payment Linked","No Payment"))</f>
        <v/>
      </c>
      <c r="K53" t="str">
        <f>IF(F53="","Missing Reference",IF(COUNTIF('Raw Payments'!$B:$B,F53)&gt;1,"Possible Duplicate","Reference Present"))</f>
        <v>Missing Reference</v>
      </c>
      <c r="L53" t="str">
        <f t="shared" si="0"/>
        <v/>
      </c>
    </row>
    <row r="54" spans="1:12" x14ac:dyDescent="0.3">
      <c r="A54" t="str">
        <f>IF('Raw Enrollments'!A54="","",'Raw Enrollments'!A54)</f>
        <v/>
      </c>
      <c r="B54" t="str">
        <f>IF(A54="","",'Raw Enrollments'!B54)</f>
        <v/>
      </c>
      <c r="C54" t="str">
        <f>IF(A54="","",'Raw Enrollments'!C54)</f>
        <v/>
      </c>
      <c r="D54" t="str">
        <f>IF(A54="","",'Raw Enrollments'!E54)</f>
        <v/>
      </c>
      <c r="E54" t="str">
        <f>IF('Raw Payments'!A54="","",'Raw Payments'!A54)</f>
        <v/>
      </c>
      <c r="F54" t="str">
        <f>IF(E54="","",'Raw Payments'!B54)</f>
        <v/>
      </c>
      <c r="G54" t="str">
        <f>IF(E54="","",'Raw Payments'!F54)</f>
        <v/>
      </c>
      <c r="H54" t="str">
        <f>IF(E54="","",'Raw Payments'!H54)</f>
        <v/>
      </c>
      <c r="I54" t="str">
        <f>IF(E54="","",'Raw Payments'!I54)</f>
        <v/>
      </c>
      <c r="J54" t="str">
        <f>IF(A54="","",IF(COUNTIF('Raw Payments'!$C:$C,A54)&gt;0,"Payment Linked","No Payment"))</f>
        <v/>
      </c>
      <c r="K54" t="str">
        <f>IF(F54="","Missing Reference",IF(COUNTIF('Raw Payments'!$B:$B,F54)&gt;1,"Possible Duplicate","Reference Present"))</f>
        <v>Missing Reference</v>
      </c>
      <c r="L54" t="str">
        <f t="shared" si="0"/>
        <v/>
      </c>
    </row>
    <row r="55" spans="1:12" x14ac:dyDescent="0.3">
      <c r="A55" t="str">
        <f>IF('Raw Enrollments'!A55="","",'Raw Enrollments'!A55)</f>
        <v/>
      </c>
      <c r="B55" t="str">
        <f>IF(A55="","",'Raw Enrollments'!B55)</f>
        <v/>
      </c>
      <c r="C55" t="str">
        <f>IF(A55="","",'Raw Enrollments'!C55)</f>
        <v/>
      </c>
      <c r="D55" t="str">
        <f>IF(A55="","",'Raw Enrollments'!E55)</f>
        <v/>
      </c>
      <c r="E55" t="str">
        <f>IF('Raw Payments'!A55="","",'Raw Payments'!A55)</f>
        <v/>
      </c>
      <c r="F55" t="str">
        <f>IF(E55="","",'Raw Payments'!B55)</f>
        <v/>
      </c>
      <c r="G55" t="str">
        <f>IF(E55="","",'Raw Payments'!F55)</f>
        <v/>
      </c>
      <c r="H55" t="str">
        <f>IF(E55="","",'Raw Payments'!H55)</f>
        <v/>
      </c>
      <c r="I55" t="str">
        <f>IF(E55="","",'Raw Payments'!I55)</f>
        <v/>
      </c>
      <c r="J55" t="str">
        <f>IF(A55="","",IF(COUNTIF('Raw Payments'!$C:$C,A55)&gt;0,"Payment Linked","No Payment"))</f>
        <v/>
      </c>
      <c r="K55" t="str">
        <f>IF(F55="","Missing Reference",IF(COUNTIF('Raw Payments'!$B:$B,F55)&gt;1,"Possible Duplicate","Reference Present"))</f>
        <v>Missing Reference</v>
      </c>
      <c r="L55" t="str">
        <f t="shared" si="0"/>
        <v/>
      </c>
    </row>
    <row r="56" spans="1:12" x14ac:dyDescent="0.3">
      <c r="A56" t="str">
        <f>IF('Raw Enrollments'!A56="","",'Raw Enrollments'!A56)</f>
        <v/>
      </c>
      <c r="B56" t="str">
        <f>IF(A56="","",'Raw Enrollments'!B56)</f>
        <v/>
      </c>
      <c r="C56" t="str">
        <f>IF(A56="","",'Raw Enrollments'!C56)</f>
        <v/>
      </c>
      <c r="D56" t="str">
        <f>IF(A56="","",'Raw Enrollments'!E56)</f>
        <v/>
      </c>
      <c r="E56" t="str">
        <f>IF('Raw Payments'!A56="","",'Raw Payments'!A56)</f>
        <v/>
      </c>
      <c r="F56" t="str">
        <f>IF(E56="","",'Raw Payments'!B56)</f>
        <v/>
      </c>
      <c r="G56" t="str">
        <f>IF(E56="","",'Raw Payments'!F56)</f>
        <v/>
      </c>
      <c r="H56" t="str">
        <f>IF(E56="","",'Raw Payments'!H56)</f>
        <v/>
      </c>
      <c r="I56" t="str">
        <f>IF(E56="","",'Raw Payments'!I56)</f>
        <v/>
      </c>
      <c r="J56" t="str">
        <f>IF(A56="","",IF(COUNTIF('Raw Payments'!$C:$C,A56)&gt;0,"Payment Linked","No Payment"))</f>
        <v/>
      </c>
      <c r="K56" t="str">
        <f>IF(F56="","Missing Reference",IF(COUNTIF('Raw Payments'!$B:$B,F56)&gt;1,"Possible Duplicate","Reference Present"))</f>
        <v>Missing Reference</v>
      </c>
      <c r="L56" t="str">
        <f t="shared" si="0"/>
        <v/>
      </c>
    </row>
    <row r="57" spans="1:12" x14ac:dyDescent="0.3">
      <c r="A57" t="str">
        <f>IF('Raw Enrollments'!A57="","",'Raw Enrollments'!A57)</f>
        <v/>
      </c>
      <c r="B57" t="str">
        <f>IF(A57="","",'Raw Enrollments'!B57)</f>
        <v/>
      </c>
      <c r="C57" t="str">
        <f>IF(A57="","",'Raw Enrollments'!C57)</f>
        <v/>
      </c>
      <c r="D57" t="str">
        <f>IF(A57="","",'Raw Enrollments'!E57)</f>
        <v/>
      </c>
      <c r="E57" t="str">
        <f>IF('Raw Payments'!A57="","",'Raw Payments'!A57)</f>
        <v/>
      </c>
      <c r="F57" t="str">
        <f>IF(E57="","",'Raw Payments'!B57)</f>
        <v/>
      </c>
      <c r="G57" t="str">
        <f>IF(E57="","",'Raw Payments'!F57)</f>
        <v/>
      </c>
      <c r="H57" t="str">
        <f>IF(E57="","",'Raw Payments'!H57)</f>
        <v/>
      </c>
      <c r="I57" t="str">
        <f>IF(E57="","",'Raw Payments'!I57)</f>
        <v/>
      </c>
      <c r="J57" t="str">
        <f>IF(A57="","",IF(COUNTIF('Raw Payments'!$C:$C,A57)&gt;0,"Payment Linked","No Payment"))</f>
        <v/>
      </c>
      <c r="K57" t="str">
        <f>IF(F57="","Missing Reference",IF(COUNTIF('Raw Payments'!$B:$B,F57)&gt;1,"Possible Duplicate","Reference Present"))</f>
        <v>Missing Reference</v>
      </c>
      <c r="L57" t="str">
        <f t="shared" si="0"/>
        <v/>
      </c>
    </row>
    <row r="58" spans="1:12" x14ac:dyDescent="0.3">
      <c r="A58" t="str">
        <f>IF('Raw Enrollments'!A58="","",'Raw Enrollments'!A58)</f>
        <v/>
      </c>
      <c r="B58" t="str">
        <f>IF(A58="","",'Raw Enrollments'!B58)</f>
        <v/>
      </c>
      <c r="C58" t="str">
        <f>IF(A58="","",'Raw Enrollments'!C58)</f>
        <v/>
      </c>
      <c r="D58" t="str">
        <f>IF(A58="","",'Raw Enrollments'!E58)</f>
        <v/>
      </c>
      <c r="E58" t="str">
        <f>IF('Raw Payments'!A58="","",'Raw Payments'!A58)</f>
        <v/>
      </c>
      <c r="F58" t="str">
        <f>IF(E58="","",'Raw Payments'!B58)</f>
        <v/>
      </c>
      <c r="G58" t="str">
        <f>IF(E58="","",'Raw Payments'!F58)</f>
        <v/>
      </c>
      <c r="H58" t="str">
        <f>IF(E58="","",'Raw Payments'!H58)</f>
        <v/>
      </c>
      <c r="I58" t="str">
        <f>IF(E58="","",'Raw Payments'!I58)</f>
        <v/>
      </c>
      <c r="J58" t="str">
        <f>IF(A58="","",IF(COUNTIF('Raw Payments'!$C:$C,A58)&gt;0,"Payment Linked","No Payment"))</f>
        <v/>
      </c>
      <c r="K58" t="str">
        <f>IF(F58="","Missing Reference",IF(COUNTIF('Raw Payments'!$B:$B,F58)&gt;1,"Possible Duplicate","Reference Present"))</f>
        <v>Missing Reference</v>
      </c>
      <c r="L58" t="str">
        <f t="shared" si="0"/>
        <v/>
      </c>
    </row>
    <row r="59" spans="1:12" x14ac:dyDescent="0.3">
      <c r="A59" t="str">
        <f>IF('Raw Enrollments'!A59="","",'Raw Enrollments'!A59)</f>
        <v/>
      </c>
      <c r="B59" t="str">
        <f>IF(A59="","",'Raw Enrollments'!B59)</f>
        <v/>
      </c>
      <c r="C59" t="str">
        <f>IF(A59="","",'Raw Enrollments'!C59)</f>
        <v/>
      </c>
      <c r="D59" t="str">
        <f>IF(A59="","",'Raw Enrollments'!E59)</f>
        <v/>
      </c>
      <c r="E59" t="str">
        <f>IF('Raw Payments'!A59="","",'Raw Payments'!A59)</f>
        <v/>
      </c>
      <c r="F59" t="str">
        <f>IF(E59="","",'Raw Payments'!B59)</f>
        <v/>
      </c>
      <c r="G59" t="str">
        <f>IF(E59="","",'Raw Payments'!F59)</f>
        <v/>
      </c>
      <c r="H59" t="str">
        <f>IF(E59="","",'Raw Payments'!H59)</f>
        <v/>
      </c>
      <c r="I59" t="str">
        <f>IF(E59="","",'Raw Payments'!I59)</f>
        <v/>
      </c>
      <c r="J59" t="str">
        <f>IF(A59="","",IF(COUNTIF('Raw Payments'!$C:$C,A59)&gt;0,"Payment Linked","No Payment"))</f>
        <v/>
      </c>
      <c r="K59" t="str">
        <f>IF(F59="","Missing Reference",IF(COUNTIF('Raw Payments'!$B:$B,F59)&gt;1,"Possible Duplicate","Reference Present"))</f>
        <v>Missing Reference</v>
      </c>
      <c r="L59" t="str">
        <f t="shared" si="0"/>
        <v/>
      </c>
    </row>
    <row r="60" spans="1:12" x14ac:dyDescent="0.3">
      <c r="A60" t="str">
        <f>IF('Raw Enrollments'!A60="","",'Raw Enrollments'!A60)</f>
        <v/>
      </c>
      <c r="B60" t="str">
        <f>IF(A60="","",'Raw Enrollments'!B60)</f>
        <v/>
      </c>
      <c r="C60" t="str">
        <f>IF(A60="","",'Raw Enrollments'!C60)</f>
        <v/>
      </c>
      <c r="D60" t="str">
        <f>IF(A60="","",'Raw Enrollments'!E60)</f>
        <v/>
      </c>
      <c r="E60" t="str">
        <f>IF('Raw Payments'!A60="","",'Raw Payments'!A60)</f>
        <v/>
      </c>
      <c r="F60" t="str">
        <f>IF(E60="","",'Raw Payments'!B60)</f>
        <v/>
      </c>
      <c r="G60" t="str">
        <f>IF(E60="","",'Raw Payments'!F60)</f>
        <v/>
      </c>
      <c r="H60" t="str">
        <f>IF(E60="","",'Raw Payments'!H60)</f>
        <v/>
      </c>
      <c r="I60" t="str">
        <f>IF(E60="","",'Raw Payments'!I60)</f>
        <v/>
      </c>
      <c r="J60" t="str">
        <f>IF(A60="","",IF(COUNTIF('Raw Payments'!$C:$C,A60)&gt;0,"Payment Linked","No Payment"))</f>
        <v/>
      </c>
      <c r="K60" t="str">
        <f>IF(F60="","Missing Reference",IF(COUNTIF('Raw Payments'!$B:$B,F60)&gt;1,"Possible Duplicate","Reference Present"))</f>
        <v>Missing Reference</v>
      </c>
      <c r="L60" t="str">
        <f t="shared" si="0"/>
        <v/>
      </c>
    </row>
    <row r="61" spans="1:12" x14ac:dyDescent="0.3">
      <c r="A61" t="str">
        <f>IF('Raw Enrollments'!A61="","",'Raw Enrollments'!A61)</f>
        <v/>
      </c>
      <c r="B61" t="str">
        <f>IF(A61="","",'Raw Enrollments'!B61)</f>
        <v/>
      </c>
      <c r="C61" t="str">
        <f>IF(A61="","",'Raw Enrollments'!C61)</f>
        <v/>
      </c>
      <c r="D61" t="str">
        <f>IF(A61="","",'Raw Enrollments'!E61)</f>
        <v/>
      </c>
      <c r="E61" t="str">
        <f>IF('Raw Payments'!A61="","",'Raw Payments'!A61)</f>
        <v/>
      </c>
      <c r="F61" t="str">
        <f>IF(E61="","",'Raw Payments'!B61)</f>
        <v/>
      </c>
      <c r="G61" t="str">
        <f>IF(E61="","",'Raw Payments'!F61)</f>
        <v/>
      </c>
      <c r="H61" t="str">
        <f>IF(E61="","",'Raw Payments'!H61)</f>
        <v/>
      </c>
      <c r="I61" t="str">
        <f>IF(E61="","",'Raw Payments'!I61)</f>
        <v/>
      </c>
      <c r="J61" t="str">
        <f>IF(A61="","",IF(COUNTIF('Raw Payments'!$C:$C,A61)&gt;0,"Payment Linked","No Payment"))</f>
        <v/>
      </c>
      <c r="K61" t="str">
        <f>IF(F61="","Missing Reference",IF(COUNTIF('Raw Payments'!$B:$B,F61)&gt;1,"Possible Duplicate","Reference Present"))</f>
        <v>Missing Reference</v>
      </c>
      <c r="L61" t="str">
        <f t="shared" si="0"/>
        <v/>
      </c>
    </row>
    <row r="62" spans="1:12" x14ac:dyDescent="0.3">
      <c r="A62" t="str">
        <f>IF('Raw Enrollments'!A62="","",'Raw Enrollments'!A62)</f>
        <v/>
      </c>
      <c r="B62" t="str">
        <f>IF(A62="","",'Raw Enrollments'!B62)</f>
        <v/>
      </c>
      <c r="C62" t="str">
        <f>IF(A62="","",'Raw Enrollments'!C62)</f>
        <v/>
      </c>
      <c r="D62" t="str">
        <f>IF(A62="","",'Raw Enrollments'!E62)</f>
        <v/>
      </c>
      <c r="E62" t="str">
        <f>IF('Raw Payments'!A62="","",'Raw Payments'!A62)</f>
        <v/>
      </c>
      <c r="F62" t="str">
        <f>IF(E62="","",'Raw Payments'!B62)</f>
        <v/>
      </c>
      <c r="G62" t="str">
        <f>IF(E62="","",'Raw Payments'!F62)</f>
        <v/>
      </c>
      <c r="H62" t="str">
        <f>IF(E62="","",'Raw Payments'!H62)</f>
        <v/>
      </c>
      <c r="I62" t="str">
        <f>IF(E62="","",'Raw Payments'!I62)</f>
        <v/>
      </c>
      <c r="J62" t="str">
        <f>IF(A62="","",IF(COUNTIF('Raw Payments'!$C:$C,A62)&gt;0,"Payment Linked","No Payment"))</f>
        <v/>
      </c>
      <c r="K62" t="str">
        <f>IF(F62="","Missing Reference",IF(COUNTIF('Raw Payments'!$B:$B,F62)&gt;1,"Possible Duplicate","Reference Present"))</f>
        <v>Missing Reference</v>
      </c>
      <c r="L62" t="str">
        <f t="shared" si="0"/>
        <v/>
      </c>
    </row>
    <row r="63" spans="1:12" x14ac:dyDescent="0.3">
      <c r="A63" t="str">
        <f>IF('Raw Enrollments'!A63="","",'Raw Enrollments'!A63)</f>
        <v/>
      </c>
      <c r="B63" t="str">
        <f>IF(A63="","",'Raw Enrollments'!B63)</f>
        <v/>
      </c>
      <c r="C63" t="str">
        <f>IF(A63="","",'Raw Enrollments'!C63)</f>
        <v/>
      </c>
      <c r="D63" t="str">
        <f>IF(A63="","",'Raw Enrollments'!E63)</f>
        <v/>
      </c>
      <c r="E63" t="str">
        <f>IF('Raw Payments'!A63="","",'Raw Payments'!A63)</f>
        <v/>
      </c>
      <c r="F63" t="str">
        <f>IF(E63="","",'Raw Payments'!B63)</f>
        <v/>
      </c>
      <c r="G63" t="str">
        <f>IF(E63="","",'Raw Payments'!F63)</f>
        <v/>
      </c>
      <c r="H63" t="str">
        <f>IF(E63="","",'Raw Payments'!H63)</f>
        <v/>
      </c>
      <c r="I63" t="str">
        <f>IF(E63="","",'Raw Payments'!I63)</f>
        <v/>
      </c>
      <c r="J63" t="str">
        <f>IF(A63="","",IF(COUNTIF('Raw Payments'!$C:$C,A63)&gt;0,"Payment Linked","No Payment"))</f>
        <v/>
      </c>
      <c r="K63" t="str">
        <f>IF(F63="","Missing Reference",IF(COUNTIF('Raw Payments'!$B:$B,F63)&gt;1,"Possible Duplicate","Reference Present"))</f>
        <v>Missing Reference</v>
      </c>
      <c r="L63" t="str">
        <f t="shared" si="0"/>
        <v/>
      </c>
    </row>
    <row r="64" spans="1:12" x14ac:dyDescent="0.3">
      <c r="A64" t="str">
        <f>IF('Raw Enrollments'!A64="","",'Raw Enrollments'!A64)</f>
        <v/>
      </c>
      <c r="B64" t="str">
        <f>IF(A64="","",'Raw Enrollments'!B64)</f>
        <v/>
      </c>
      <c r="C64" t="str">
        <f>IF(A64="","",'Raw Enrollments'!C64)</f>
        <v/>
      </c>
      <c r="D64" t="str">
        <f>IF(A64="","",'Raw Enrollments'!E64)</f>
        <v/>
      </c>
      <c r="E64" t="str">
        <f>IF('Raw Payments'!A64="","",'Raw Payments'!A64)</f>
        <v/>
      </c>
      <c r="F64" t="str">
        <f>IF(E64="","",'Raw Payments'!B64)</f>
        <v/>
      </c>
      <c r="G64" t="str">
        <f>IF(E64="","",'Raw Payments'!F64)</f>
        <v/>
      </c>
      <c r="H64" t="str">
        <f>IF(E64="","",'Raw Payments'!H64)</f>
        <v/>
      </c>
      <c r="I64" t="str">
        <f>IF(E64="","",'Raw Payments'!I64)</f>
        <v/>
      </c>
      <c r="J64" t="str">
        <f>IF(A64="","",IF(COUNTIF('Raw Payments'!$C:$C,A64)&gt;0,"Payment Linked","No Payment"))</f>
        <v/>
      </c>
      <c r="K64" t="str">
        <f>IF(F64="","Missing Reference",IF(COUNTIF('Raw Payments'!$B:$B,F64)&gt;1,"Possible Duplicate","Reference Present"))</f>
        <v>Missing Reference</v>
      </c>
      <c r="L64" t="str">
        <f t="shared" si="0"/>
        <v/>
      </c>
    </row>
    <row r="65" spans="1:12" x14ac:dyDescent="0.3">
      <c r="A65" t="str">
        <f>IF('Raw Enrollments'!A65="","",'Raw Enrollments'!A65)</f>
        <v/>
      </c>
      <c r="B65" t="str">
        <f>IF(A65="","",'Raw Enrollments'!B65)</f>
        <v/>
      </c>
      <c r="C65" t="str">
        <f>IF(A65="","",'Raw Enrollments'!C65)</f>
        <v/>
      </c>
      <c r="D65" t="str">
        <f>IF(A65="","",'Raw Enrollments'!E65)</f>
        <v/>
      </c>
      <c r="E65" t="str">
        <f>IF('Raw Payments'!A65="","",'Raw Payments'!A65)</f>
        <v/>
      </c>
      <c r="F65" t="str">
        <f>IF(E65="","",'Raw Payments'!B65)</f>
        <v/>
      </c>
      <c r="G65" t="str">
        <f>IF(E65="","",'Raw Payments'!F65)</f>
        <v/>
      </c>
      <c r="H65" t="str">
        <f>IF(E65="","",'Raw Payments'!H65)</f>
        <v/>
      </c>
      <c r="I65" t="str">
        <f>IF(E65="","",'Raw Payments'!I65)</f>
        <v/>
      </c>
      <c r="J65" t="str">
        <f>IF(A65="","",IF(COUNTIF('Raw Payments'!$C:$C,A65)&gt;0,"Payment Linked","No Payment"))</f>
        <v/>
      </c>
      <c r="K65" t="str">
        <f>IF(F65="","Missing Reference",IF(COUNTIF('Raw Payments'!$B:$B,F65)&gt;1,"Possible Duplicate","Reference Present"))</f>
        <v>Missing Reference</v>
      </c>
      <c r="L65" t="str">
        <f t="shared" si="0"/>
        <v/>
      </c>
    </row>
    <row r="66" spans="1:12" x14ac:dyDescent="0.3">
      <c r="A66" t="str">
        <f>IF('Raw Enrollments'!A66="","",'Raw Enrollments'!A66)</f>
        <v/>
      </c>
      <c r="B66" t="str">
        <f>IF(A66="","",'Raw Enrollments'!B66)</f>
        <v/>
      </c>
      <c r="C66" t="str">
        <f>IF(A66="","",'Raw Enrollments'!C66)</f>
        <v/>
      </c>
      <c r="D66" t="str">
        <f>IF(A66="","",'Raw Enrollments'!E66)</f>
        <v/>
      </c>
      <c r="E66" t="str">
        <f>IF('Raw Payments'!A66="","",'Raw Payments'!A66)</f>
        <v/>
      </c>
      <c r="F66" t="str">
        <f>IF(E66="","",'Raw Payments'!B66)</f>
        <v/>
      </c>
      <c r="G66" t="str">
        <f>IF(E66="","",'Raw Payments'!F66)</f>
        <v/>
      </c>
      <c r="H66" t="str">
        <f>IF(E66="","",'Raw Payments'!H66)</f>
        <v/>
      </c>
      <c r="I66" t="str">
        <f>IF(E66="","",'Raw Payments'!I66)</f>
        <v/>
      </c>
      <c r="J66" t="str">
        <f>IF(A66="","",IF(COUNTIF('Raw Payments'!$C:$C,A66)&gt;0,"Payment Linked","No Payment"))</f>
        <v/>
      </c>
      <c r="K66" t="str">
        <f>IF(F66="","Missing Reference",IF(COUNTIF('Raw Payments'!$B:$B,F66)&gt;1,"Possible Duplicate","Reference Present"))</f>
        <v>Missing Reference</v>
      </c>
      <c r="L66" t="str">
        <f t="shared" si="0"/>
        <v/>
      </c>
    </row>
    <row r="67" spans="1:12" x14ac:dyDescent="0.3">
      <c r="A67" t="str">
        <f>IF('Raw Enrollments'!A67="","",'Raw Enrollments'!A67)</f>
        <v/>
      </c>
      <c r="B67" t="str">
        <f>IF(A67="","",'Raw Enrollments'!B67)</f>
        <v/>
      </c>
      <c r="C67" t="str">
        <f>IF(A67="","",'Raw Enrollments'!C67)</f>
        <v/>
      </c>
      <c r="D67" t="str">
        <f>IF(A67="","",'Raw Enrollments'!E67)</f>
        <v/>
      </c>
      <c r="E67" t="str">
        <f>IF('Raw Payments'!A67="","",'Raw Payments'!A67)</f>
        <v/>
      </c>
      <c r="F67" t="str">
        <f>IF(E67="","",'Raw Payments'!B67)</f>
        <v/>
      </c>
      <c r="G67" t="str">
        <f>IF(E67="","",'Raw Payments'!F67)</f>
        <v/>
      </c>
      <c r="H67" t="str">
        <f>IF(E67="","",'Raw Payments'!H67)</f>
        <v/>
      </c>
      <c r="I67" t="str">
        <f>IF(E67="","",'Raw Payments'!I67)</f>
        <v/>
      </c>
      <c r="J67" t="str">
        <f>IF(A67="","",IF(COUNTIF('Raw Payments'!$C:$C,A67)&gt;0,"Payment Linked","No Payment"))</f>
        <v/>
      </c>
      <c r="K67" t="str">
        <f>IF(F67="","Missing Reference",IF(COUNTIF('Raw Payments'!$B:$B,F67)&gt;1,"Possible Duplicate","Reference Present"))</f>
        <v>Missing Reference</v>
      </c>
      <c r="L67" t="str">
        <f t="shared" si="0"/>
        <v/>
      </c>
    </row>
    <row r="68" spans="1:12" x14ac:dyDescent="0.3">
      <c r="A68" t="str">
        <f>IF('Raw Enrollments'!A68="","",'Raw Enrollments'!A68)</f>
        <v/>
      </c>
      <c r="B68" t="str">
        <f>IF(A68="","",'Raw Enrollments'!B68)</f>
        <v/>
      </c>
      <c r="C68" t="str">
        <f>IF(A68="","",'Raw Enrollments'!C68)</f>
        <v/>
      </c>
      <c r="D68" t="str">
        <f>IF(A68="","",'Raw Enrollments'!E68)</f>
        <v/>
      </c>
      <c r="E68" t="str">
        <f>IF('Raw Payments'!A68="","",'Raw Payments'!A68)</f>
        <v/>
      </c>
      <c r="F68" t="str">
        <f>IF(E68="","",'Raw Payments'!B68)</f>
        <v/>
      </c>
      <c r="G68" t="str">
        <f>IF(E68="","",'Raw Payments'!F68)</f>
        <v/>
      </c>
      <c r="H68" t="str">
        <f>IF(E68="","",'Raw Payments'!H68)</f>
        <v/>
      </c>
      <c r="I68" t="str">
        <f>IF(E68="","",'Raw Payments'!I68)</f>
        <v/>
      </c>
      <c r="J68" t="str">
        <f>IF(A68="","",IF(COUNTIF('Raw Payments'!$C:$C,A68)&gt;0,"Payment Linked","No Payment"))</f>
        <v/>
      </c>
      <c r="K68" t="str">
        <f>IF(F68="","Missing Reference",IF(COUNTIF('Raw Payments'!$B:$B,F68)&gt;1,"Possible Duplicate","Reference Present"))</f>
        <v>Missing Reference</v>
      </c>
      <c r="L68" t="str">
        <f t="shared" si="0"/>
        <v/>
      </c>
    </row>
    <row r="69" spans="1:12" x14ac:dyDescent="0.3">
      <c r="A69" t="str">
        <f>IF('Raw Enrollments'!A69="","",'Raw Enrollments'!A69)</f>
        <v/>
      </c>
      <c r="B69" t="str">
        <f>IF(A69="","",'Raw Enrollments'!B69)</f>
        <v/>
      </c>
      <c r="C69" t="str">
        <f>IF(A69="","",'Raw Enrollments'!C69)</f>
        <v/>
      </c>
      <c r="D69" t="str">
        <f>IF(A69="","",'Raw Enrollments'!E69)</f>
        <v/>
      </c>
      <c r="E69" t="str">
        <f>IF('Raw Payments'!A69="","",'Raw Payments'!A69)</f>
        <v/>
      </c>
      <c r="F69" t="str">
        <f>IF(E69="","",'Raw Payments'!B69)</f>
        <v/>
      </c>
      <c r="G69" t="str">
        <f>IF(E69="","",'Raw Payments'!F69)</f>
        <v/>
      </c>
      <c r="H69" t="str">
        <f>IF(E69="","",'Raw Payments'!H69)</f>
        <v/>
      </c>
      <c r="I69" t="str">
        <f>IF(E69="","",'Raw Payments'!I69)</f>
        <v/>
      </c>
      <c r="J69" t="str">
        <f>IF(A69="","",IF(COUNTIF('Raw Payments'!$C:$C,A69)&gt;0,"Payment Linked","No Payment"))</f>
        <v/>
      </c>
      <c r="K69" t="str">
        <f>IF(F69="","Missing Reference",IF(COUNTIF('Raw Payments'!$B:$B,F69)&gt;1,"Possible Duplicate","Reference Present"))</f>
        <v>Missing Reference</v>
      </c>
      <c r="L69" t="str">
        <f t="shared" ref="L69:L132" si="1">IF(A69="","",IF(OR(J69="No Payment",K69="Missing Reference",K69="Possible Duplicate",H69=""),"Review","Check Student/Course/Status"))</f>
        <v/>
      </c>
    </row>
    <row r="70" spans="1:12" x14ac:dyDescent="0.3">
      <c r="A70" t="str">
        <f>IF('Raw Enrollments'!A70="","",'Raw Enrollments'!A70)</f>
        <v/>
      </c>
      <c r="B70" t="str">
        <f>IF(A70="","",'Raw Enrollments'!B70)</f>
        <v/>
      </c>
      <c r="C70" t="str">
        <f>IF(A70="","",'Raw Enrollments'!C70)</f>
        <v/>
      </c>
      <c r="D70" t="str">
        <f>IF(A70="","",'Raw Enrollments'!E70)</f>
        <v/>
      </c>
      <c r="E70" t="str">
        <f>IF('Raw Payments'!A70="","",'Raw Payments'!A70)</f>
        <v/>
      </c>
      <c r="F70" t="str">
        <f>IF(E70="","",'Raw Payments'!B70)</f>
        <v/>
      </c>
      <c r="G70" t="str">
        <f>IF(E70="","",'Raw Payments'!F70)</f>
        <v/>
      </c>
      <c r="H70" t="str">
        <f>IF(E70="","",'Raw Payments'!H70)</f>
        <v/>
      </c>
      <c r="I70" t="str">
        <f>IF(E70="","",'Raw Payments'!I70)</f>
        <v/>
      </c>
      <c r="J70" t="str">
        <f>IF(A70="","",IF(COUNTIF('Raw Payments'!$C:$C,A70)&gt;0,"Payment Linked","No Payment"))</f>
        <v/>
      </c>
      <c r="K70" t="str">
        <f>IF(F70="","Missing Reference",IF(COUNTIF('Raw Payments'!$B:$B,F70)&gt;1,"Possible Duplicate","Reference Present"))</f>
        <v>Missing Reference</v>
      </c>
      <c r="L70" t="str">
        <f t="shared" si="1"/>
        <v/>
      </c>
    </row>
    <row r="71" spans="1:12" x14ac:dyDescent="0.3">
      <c r="A71" t="str">
        <f>IF('Raw Enrollments'!A71="","",'Raw Enrollments'!A71)</f>
        <v/>
      </c>
      <c r="B71" t="str">
        <f>IF(A71="","",'Raw Enrollments'!B71)</f>
        <v/>
      </c>
      <c r="C71" t="str">
        <f>IF(A71="","",'Raw Enrollments'!C71)</f>
        <v/>
      </c>
      <c r="D71" t="str">
        <f>IF(A71="","",'Raw Enrollments'!E71)</f>
        <v/>
      </c>
      <c r="E71" t="str">
        <f>IF('Raw Payments'!A71="","",'Raw Payments'!A71)</f>
        <v/>
      </c>
      <c r="F71" t="str">
        <f>IF(E71="","",'Raw Payments'!B71)</f>
        <v/>
      </c>
      <c r="G71" t="str">
        <f>IF(E71="","",'Raw Payments'!F71)</f>
        <v/>
      </c>
      <c r="H71" t="str">
        <f>IF(E71="","",'Raw Payments'!H71)</f>
        <v/>
      </c>
      <c r="I71" t="str">
        <f>IF(E71="","",'Raw Payments'!I71)</f>
        <v/>
      </c>
      <c r="J71" t="str">
        <f>IF(A71="","",IF(COUNTIF('Raw Payments'!$C:$C,A71)&gt;0,"Payment Linked","No Payment"))</f>
        <v/>
      </c>
      <c r="K71" t="str">
        <f>IF(F71="","Missing Reference",IF(COUNTIF('Raw Payments'!$B:$B,F71)&gt;1,"Possible Duplicate","Reference Present"))</f>
        <v>Missing Reference</v>
      </c>
      <c r="L71" t="str">
        <f t="shared" si="1"/>
        <v/>
      </c>
    </row>
    <row r="72" spans="1:12" x14ac:dyDescent="0.3">
      <c r="A72" t="str">
        <f>IF('Raw Enrollments'!A72="","",'Raw Enrollments'!A72)</f>
        <v/>
      </c>
      <c r="B72" t="str">
        <f>IF(A72="","",'Raw Enrollments'!B72)</f>
        <v/>
      </c>
      <c r="C72" t="str">
        <f>IF(A72="","",'Raw Enrollments'!C72)</f>
        <v/>
      </c>
      <c r="D72" t="str">
        <f>IF(A72="","",'Raw Enrollments'!E72)</f>
        <v/>
      </c>
      <c r="E72" t="str">
        <f>IF('Raw Payments'!A72="","",'Raw Payments'!A72)</f>
        <v/>
      </c>
      <c r="F72" t="str">
        <f>IF(E72="","",'Raw Payments'!B72)</f>
        <v/>
      </c>
      <c r="G72" t="str">
        <f>IF(E72="","",'Raw Payments'!F72)</f>
        <v/>
      </c>
      <c r="H72" t="str">
        <f>IF(E72="","",'Raw Payments'!H72)</f>
        <v/>
      </c>
      <c r="I72" t="str">
        <f>IF(E72="","",'Raw Payments'!I72)</f>
        <v/>
      </c>
      <c r="J72" t="str">
        <f>IF(A72="","",IF(COUNTIF('Raw Payments'!$C:$C,A72)&gt;0,"Payment Linked","No Payment"))</f>
        <v/>
      </c>
      <c r="K72" t="str">
        <f>IF(F72="","Missing Reference",IF(COUNTIF('Raw Payments'!$B:$B,F72)&gt;1,"Possible Duplicate","Reference Present"))</f>
        <v>Missing Reference</v>
      </c>
      <c r="L72" t="str">
        <f t="shared" si="1"/>
        <v/>
      </c>
    </row>
    <row r="73" spans="1:12" x14ac:dyDescent="0.3">
      <c r="A73" t="str">
        <f>IF('Raw Enrollments'!A73="","",'Raw Enrollments'!A73)</f>
        <v/>
      </c>
      <c r="B73" t="str">
        <f>IF(A73="","",'Raw Enrollments'!B73)</f>
        <v/>
      </c>
      <c r="C73" t="str">
        <f>IF(A73="","",'Raw Enrollments'!C73)</f>
        <v/>
      </c>
      <c r="D73" t="str">
        <f>IF(A73="","",'Raw Enrollments'!E73)</f>
        <v/>
      </c>
      <c r="E73" t="str">
        <f>IF('Raw Payments'!A73="","",'Raw Payments'!A73)</f>
        <v/>
      </c>
      <c r="F73" t="str">
        <f>IF(E73="","",'Raw Payments'!B73)</f>
        <v/>
      </c>
      <c r="G73" t="str">
        <f>IF(E73="","",'Raw Payments'!F73)</f>
        <v/>
      </c>
      <c r="H73" t="str">
        <f>IF(E73="","",'Raw Payments'!H73)</f>
        <v/>
      </c>
      <c r="I73" t="str">
        <f>IF(E73="","",'Raw Payments'!I73)</f>
        <v/>
      </c>
      <c r="J73" t="str">
        <f>IF(A73="","",IF(COUNTIF('Raw Payments'!$C:$C,A73)&gt;0,"Payment Linked","No Payment"))</f>
        <v/>
      </c>
      <c r="K73" t="str">
        <f>IF(F73="","Missing Reference",IF(COUNTIF('Raw Payments'!$B:$B,F73)&gt;1,"Possible Duplicate","Reference Present"))</f>
        <v>Missing Reference</v>
      </c>
      <c r="L73" t="str">
        <f t="shared" si="1"/>
        <v/>
      </c>
    </row>
    <row r="74" spans="1:12" x14ac:dyDescent="0.3">
      <c r="A74" t="str">
        <f>IF('Raw Enrollments'!A74="","",'Raw Enrollments'!A74)</f>
        <v/>
      </c>
      <c r="B74" t="str">
        <f>IF(A74="","",'Raw Enrollments'!B74)</f>
        <v/>
      </c>
      <c r="C74" t="str">
        <f>IF(A74="","",'Raw Enrollments'!C74)</f>
        <v/>
      </c>
      <c r="D74" t="str">
        <f>IF(A74="","",'Raw Enrollments'!E74)</f>
        <v/>
      </c>
      <c r="E74" t="str">
        <f>IF('Raw Payments'!A74="","",'Raw Payments'!A74)</f>
        <v/>
      </c>
      <c r="F74" t="str">
        <f>IF(E74="","",'Raw Payments'!B74)</f>
        <v/>
      </c>
      <c r="G74" t="str">
        <f>IF(E74="","",'Raw Payments'!F74)</f>
        <v/>
      </c>
      <c r="H74" t="str">
        <f>IF(E74="","",'Raw Payments'!H74)</f>
        <v/>
      </c>
      <c r="I74" t="str">
        <f>IF(E74="","",'Raw Payments'!I74)</f>
        <v/>
      </c>
      <c r="J74" t="str">
        <f>IF(A74="","",IF(COUNTIF('Raw Payments'!$C:$C,A74)&gt;0,"Payment Linked","No Payment"))</f>
        <v/>
      </c>
      <c r="K74" t="str">
        <f>IF(F74="","Missing Reference",IF(COUNTIF('Raw Payments'!$B:$B,F74)&gt;1,"Possible Duplicate","Reference Present"))</f>
        <v>Missing Reference</v>
      </c>
      <c r="L74" t="str">
        <f t="shared" si="1"/>
        <v/>
      </c>
    </row>
    <row r="75" spans="1:12" x14ac:dyDescent="0.3">
      <c r="A75" t="str">
        <f>IF('Raw Enrollments'!A75="","",'Raw Enrollments'!A75)</f>
        <v/>
      </c>
      <c r="B75" t="str">
        <f>IF(A75="","",'Raw Enrollments'!B75)</f>
        <v/>
      </c>
      <c r="C75" t="str">
        <f>IF(A75="","",'Raw Enrollments'!C75)</f>
        <v/>
      </c>
      <c r="D75" t="str">
        <f>IF(A75="","",'Raw Enrollments'!E75)</f>
        <v/>
      </c>
      <c r="E75" t="str">
        <f>IF('Raw Payments'!A75="","",'Raw Payments'!A75)</f>
        <v/>
      </c>
      <c r="F75" t="str">
        <f>IF(E75="","",'Raw Payments'!B75)</f>
        <v/>
      </c>
      <c r="G75" t="str">
        <f>IF(E75="","",'Raw Payments'!F75)</f>
        <v/>
      </c>
      <c r="H75" t="str">
        <f>IF(E75="","",'Raw Payments'!H75)</f>
        <v/>
      </c>
      <c r="I75" t="str">
        <f>IF(E75="","",'Raw Payments'!I75)</f>
        <v/>
      </c>
      <c r="J75" t="str">
        <f>IF(A75="","",IF(COUNTIF('Raw Payments'!$C:$C,A75)&gt;0,"Payment Linked","No Payment"))</f>
        <v/>
      </c>
      <c r="K75" t="str">
        <f>IF(F75="","Missing Reference",IF(COUNTIF('Raw Payments'!$B:$B,F75)&gt;1,"Possible Duplicate","Reference Present"))</f>
        <v>Missing Reference</v>
      </c>
      <c r="L75" t="str">
        <f t="shared" si="1"/>
        <v/>
      </c>
    </row>
    <row r="76" spans="1:12" x14ac:dyDescent="0.3">
      <c r="A76" t="str">
        <f>IF('Raw Enrollments'!A76="","",'Raw Enrollments'!A76)</f>
        <v/>
      </c>
      <c r="B76" t="str">
        <f>IF(A76="","",'Raw Enrollments'!B76)</f>
        <v/>
      </c>
      <c r="C76" t="str">
        <f>IF(A76="","",'Raw Enrollments'!C76)</f>
        <v/>
      </c>
      <c r="D76" t="str">
        <f>IF(A76="","",'Raw Enrollments'!E76)</f>
        <v/>
      </c>
      <c r="E76" t="str">
        <f>IF('Raw Payments'!A76="","",'Raw Payments'!A76)</f>
        <v/>
      </c>
      <c r="F76" t="str">
        <f>IF(E76="","",'Raw Payments'!B76)</f>
        <v/>
      </c>
      <c r="G76" t="str">
        <f>IF(E76="","",'Raw Payments'!F76)</f>
        <v/>
      </c>
      <c r="H76" t="str">
        <f>IF(E76="","",'Raw Payments'!H76)</f>
        <v/>
      </c>
      <c r="I76" t="str">
        <f>IF(E76="","",'Raw Payments'!I76)</f>
        <v/>
      </c>
      <c r="J76" t="str">
        <f>IF(A76="","",IF(COUNTIF('Raw Payments'!$C:$C,A76)&gt;0,"Payment Linked","No Payment"))</f>
        <v/>
      </c>
      <c r="K76" t="str">
        <f>IF(F76="","Missing Reference",IF(COUNTIF('Raw Payments'!$B:$B,F76)&gt;1,"Possible Duplicate","Reference Present"))</f>
        <v>Missing Reference</v>
      </c>
      <c r="L76" t="str">
        <f t="shared" si="1"/>
        <v/>
      </c>
    </row>
    <row r="77" spans="1:12" x14ac:dyDescent="0.3">
      <c r="A77" t="str">
        <f>IF('Raw Enrollments'!A77="","",'Raw Enrollments'!A77)</f>
        <v/>
      </c>
      <c r="B77" t="str">
        <f>IF(A77="","",'Raw Enrollments'!B77)</f>
        <v/>
      </c>
      <c r="C77" t="str">
        <f>IF(A77="","",'Raw Enrollments'!C77)</f>
        <v/>
      </c>
      <c r="D77" t="str">
        <f>IF(A77="","",'Raw Enrollments'!E77)</f>
        <v/>
      </c>
      <c r="E77" t="str">
        <f>IF('Raw Payments'!A77="","",'Raw Payments'!A77)</f>
        <v/>
      </c>
      <c r="F77" t="str">
        <f>IF(E77="","",'Raw Payments'!B77)</f>
        <v/>
      </c>
      <c r="G77" t="str">
        <f>IF(E77="","",'Raw Payments'!F77)</f>
        <v/>
      </c>
      <c r="H77" t="str">
        <f>IF(E77="","",'Raw Payments'!H77)</f>
        <v/>
      </c>
      <c r="I77" t="str">
        <f>IF(E77="","",'Raw Payments'!I77)</f>
        <v/>
      </c>
      <c r="J77" t="str">
        <f>IF(A77="","",IF(COUNTIF('Raw Payments'!$C:$C,A77)&gt;0,"Payment Linked","No Payment"))</f>
        <v/>
      </c>
      <c r="K77" t="str">
        <f>IF(F77="","Missing Reference",IF(COUNTIF('Raw Payments'!$B:$B,F77)&gt;1,"Possible Duplicate","Reference Present"))</f>
        <v>Missing Reference</v>
      </c>
      <c r="L77" t="str">
        <f t="shared" si="1"/>
        <v/>
      </c>
    </row>
    <row r="78" spans="1:12" x14ac:dyDescent="0.3">
      <c r="A78" t="str">
        <f>IF('Raw Enrollments'!A78="","",'Raw Enrollments'!A78)</f>
        <v/>
      </c>
      <c r="B78" t="str">
        <f>IF(A78="","",'Raw Enrollments'!B78)</f>
        <v/>
      </c>
      <c r="C78" t="str">
        <f>IF(A78="","",'Raw Enrollments'!C78)</f>
        <v/>
      </c>
      <c r="D78" t="str">
        <f>IF(A78="","",'Raw Enrollments'!E78)</f>
        <v/>
      </c>
      <c r="E78" t="str">
        <f>IF('Raw Payments'!A78="","",'Raw Payments'!A78)</f>
        <v/>
      </c>
      <c r="F78" t="str">
        <f>IF(E78="","",'Raw Payments'!B78)</f>
        <v/>
      </c>
      <c r="G78" t="str">
        <f>IF(E78="","",'Raw Payments'!F78)</f>
        <v/>
      </c>
      <c r="H78" t="str">
        <f>IF(E78="","",'Raw Payments'!H78)</f>
        <v/>
      </c>
      <c r="I78" t="str">
        <f>IF(E78="","",'Raw Payments'!I78)</f>
        <v/>
      </c>
      <c r="J78" t="str">
        <f>IF(A78="","",IF(COUNTIF('Raw Payments'!$C:$C,A78)&gt;0,"Payment Linked","No Payment"))</f>
        <v/>
      </c>
      <c r="K78" t="str">
        <f>IF(F78="","Missing Reference",IF(COUNTIF('Raw Payments'!$B:$B,F78)&gt;1,"Possible Duplicate","Reference Present"))</f>
        <v>Missing Reference</v>
      </c>
      <c r="L78" t="str">
        <f t="shared" si="1"/>
        <v/>
      </c>
    </row>
    <row r="79" spans="1:12" x14ac:dyDescent="0.3">
      <c r="A79" t="str">
        <f>IF('Raw Enrollments'!A79="","",'Raw Enrollments'!A79)</f>
        <v/>
      </c>
      <c r="B79" t="str">
        <f>IF(A79="","",'Raw Enrollments'!B79)</f>
        <v/>
      </c>
      <c r="C79" t="str">
        <f>IF(A79="","",'Raw Enrollments'!C79)</f>
        <v/>
      </c>
      <c r="D79" t="str">
        <f>IF(A79="","",'Raw Enrollments'!E79)</f>
        <v/>
      </c>
      <c r="E79" t="str">
        <f>IF('Raw Payments'!A79="","",'Raw Payments'!A79)</f>
        <v/>
      </c>
      <c r="F79" t="str">
        <f>IF(E79="","",'Raw Payments'!B79)</f>
        <v/>
      </c>
      <c r="G79" t="str">
        <f>IF(E79="","",'Raw Payments'!F79)</f>
        <v/>
      </c>
      <c r="H79" t="str">
        <f>IF(E79="","",'Raw Payments'!H79)</f>
        <v/>
      </c>
      <c r="I79" t="str">
        <f>IF(E79="","",'Raw Payments'!I79)</f>
        <v/>
      </c>
      <c r="J79" t="str">
        <f>IF(A79="","",IF(COUNTIF('Raw Payments'!$C:$C,A79)&gt;0,"Payment Linked","No Payment"))</f>
        <v/>
      </c>
      <c r="K79" t="str">
        <f>IF(F79="","Missing Reference",IF(COUNTIF('Raw Payments'!$B:$B,F79)&gt;1,"Possible Duplicate","Reference Present"))</f>
        <v>Missing Reference</v>
      </c>
      <c r="L79" t="str">
        <f t="shared" si="1"/>
        <v/>
      </c>
    </row>
    <row r="80" spans="1:12" x14ac:dyDescent="0.3">
      <c r="A80" t="str">
        <f>IF('Raw Enrollments'!A80="","",'Raw Enrollments'!A80)</f>
        <v/>
      </c>
      <c r="B80" t="str">
        <f>IF(A80="","",'Raw Enrollments'!B80)</f>
        <v/>
      </c>
      <c r="C80" t="str">
        <f>IF(A80="","",'Raw Enrollments'!C80)</f>
        <v/>
      </c>
      <c r="D80" t="str">
        <f>IF(A80="","",'Raw Enrollments'!E80)</f>
        <v/>
      </c>
      <c r="E80" t="str">
        <f>IF('Raw Payments'!A80="","",'Raw Payments'!A80)</f>
        <v/>
      </c>
      <c r="F80" t="str">
        <f>IF(E80="","",'Raw Payments'!B80)</f>
        <v/>
      </c>
      <c r="G80" t="str">
        <f>IF(E80="","",'Raw Payments'!F80)</f>
        <v/>
      </c>
      <c r="H80" t="str">
        <f>IF(E80="","",'Raw Payments'!H80)</f>
        <v/>
      </c>
      <c r="I80" t="str">
        <f>IF(E80="","",'Raw Payments'!I80)</f>
        <v/>
      </c>
      <c r="J80" t="str">
        <f>IF(A80="","",IF(COUNTIF('Raw Payments'!$C:$C,A80)&gt;0,"Payment Linked","No Payment"))</f>
        <v/>
      </c>
      <c r="K80" t="str">
        <f>IF(F80="","Missing Reference",IF(COUNTIF('Raw Payments'!$B:$B,F80)&gt;1,"Possible Duplicate","Reference Present"))</f>
        <v>Missing Reference</v>
      </c>
      <c r="L80" t="str">
        <f t="shared" si="1"/>
        <v/>
      </c>
    </row>
    <row r="81" spans="1:12" x14ac:dyDescent="0.3">
      <c r="A81" t="str">
        <f>IF('Raw Enrollments'!A81="","",'Raw Enrollments'!A81)</f>
        <v/>
      </c>
      <c r="B81" t="str">
        <f>IF(A81="","",'Raw Enrollments'!B81)</f>
        <v/>
      </c>
      <c r="C81" t="str">
        <f>IF(A81="","",'Raw Enrollments'!C81)</f>
        <v/>
      </c>
      <c r="D81" t="str">
        <f>IF(A81="","",'Raw Enrollments'!E81)</f>
        <v/>
      </c>
      <c r="E81" t="str">
        <f>IF('Raw Payments'!A81="","",'Raw Payments'!A81)</f>
        <v/>
      </c>
      <c r="F81" t="str">
        <f>IF(E81="","",'Raw Payments'!B81)</f>
        <v/>
      </c>
      <c r="G81" t="str">
        <f>IF(E81="","",'Raw Payments'!F81)</f>
        <v/>
      </c>
      <c r="H81" t="str">
        <f>IF(E81="","",'Raw Payments'!H81)</f>
        <v/>
      </c>
      <c r="I81" t="str">
        <f>IF(E81="","",'Raw Payments'!I81)</f>
        <v/>
      </c>
      <c r="J81" t="str">
        <f>IF(A81="","",IF(COUNTIF('Raw Payments'!$C:$C,A81)&gt;0,"Payment Linked","No Payment"))</f>
        <v/>
      </c>
      <c r="K81" t="str">
        <f>IF(F81="","Missing Reference",IF(COUNTIF('Raw Payments'!$B:$B,F81)&gt;1,"Possible Duplicate","Reference Present"))</f>
        <v>Missing Reference</v>
      </c>
      <c r="L81" t="str">
        <f t="shared" si="1"/>
        <v/>
      </c>
    </row>
    <row r="82" spans="1:12" x14ac:dyDescent="0.3">
      <c r="A82" t="str">
        <f>IF('Raw Enrollments'!A82="","",'Raw Enrollments'!A82)</f>
        <v/>
      </c>
      <c r="B82" t="str">
        <f>IF(A82="","",'Raw Enrollments'!B82)</f>
        <v/>
      </c>
      <c r="C82" t="str">
        <f>IF(A82="","",'Raw Enrollments'!C82)</f>
        <v/>
      </c>
      <c r="D82" t="str">
        <f>IF(A82="","",'Raw Enrollments'!E82)</f>
        <v/>
      </c>
      <c r="E82" t="str">
        <f>IF('Raw Payments'!A82="","",'Raw Payments'!A82)</f>
        <v/>
      </c>
      <c r="F82" t="str">
        <f>IF(E82="","",'Raw Payments'!B82)</f>
        <v/>
      </c>
      <c r="G82" t="str">
        <f>IF(E82="","",'Raw Payments'!F82)</f>
        <v/>
      </c>
      <c r="H82" t="str">
        <f>IF(E82="","",'Raw Payments'!H82)</f>
        <v/>
      </c>
      <c r="I82" t="str">
        <f>IF(E82="","",'Raw Payments'!I82)</f>
        <v/>
      </c>
      <c r="J82" t="str">
        <f>IF(A82="","",IF(COUNTIF('Raw Payments'!$C:$C,A82)&gt;0,"Payment Linked","No Payment"))</f>
        <v/>
      </c>
      <c r="K82" t="str">
        <f>IF(F82="","Missing Reference",IF(COUNTIF('Raw Payments'!$B:$B,F82)&gt;1,"Possible Duplicate","Reference Present"))</f>
        <v>Missing Reference</v>
      </c>
      <c r="L82" t="str">
        <f t="shared" si="1"/>
        <v/>
      </c>
    </row>
    <row r="83" spans="1:12" x14ac:dyDescent="0.3">
      <c r="A83" t="str">
        <f>IF('Raw Enrollments'!A83="","",'Raw Enrollments'!A83)</f>
        <v/>
      </c>
      <c r="B83" t="str">
        <f>IF(A83="","",'Raw Enrollments'!B83)</f>
        <v/>
      </c>
      <c r="C83" t="str">
        <f>IF(A83="","",'Raw Enrollments'!C83)</f>
        <v/>
      </c>
      <c r="D83" t="str">
        <f>IF(A83="","",'Raw Enrollments'!E83)</f>
        <v/>
      </c>
      <c r="E83" t="str">
        <f>IF('Raw Payments'!A83="","",'Raw Payments'!A83)</f>
        <v/>
      </c>
      <c r="F83" t="str">
        <f>IF(E83="","",'Raw Payments'!B83)</f>
        <v/>
      </c>
      <c r="G83" t="str">
        <f>IF(E83="","",'Raw Payments'!F83)</f>
        <v/>
      </c>
      <c r="H83" t="str">
        <f>IF(E83="","",'Raw Payments'!H83)</f>
        <v/>
      </c>
      <c r="I83" t="str">
        <f>IF(E83="","",'Raw Payments'!I83)</f>
        <v/>
      </c>
      <c r="J83" t="str">
        <f>IF(A83="","",IF(COUNTIF('Raw Payments'!$C:$C,A83)&gt;0,"Payment Linked","No Payment"))</f>
        <v/>
      </c>
      <c r="K83" t="str">
        <f>IF(F83="","Missing Reference",IF(COUNTIF('Raw Payments'!$B:$B,F83)&gt;1,"Possible Duplicate","Reference Present"))</f>
        <v>Missing Reference</v>
      </c>
      <c r="L83" t="str">
        <f t="shared" si="1"/>
        <v/>
      </c>
    </row>
    <row r="84" spans="1:12" x14ac:dyDescent="0.3">
      <c r="A84" t="str">
        <f>IF('Raw Enrollments'!A84="","",'Raw Enrollments'!A84)</f>
        <v/>
      </c>
      <c r="B84" t="str">
        <f>IF(A84="","",'Raw Enrollments'!B84)</f>
        <v/>
      </c>
      <c r="C84" t="str">
        <f>IF(A84="","",'Raw Enrollments'!C84)</f>
        <v/>
      </c>
      <c r="D84" t="str">
        <f>IF(A84="","",'Raw Enrollments'!E84)</f>
        <v/>
      </c>
      <c r="E84" t="str">
        <f>IF('Raw Payments'!A84="","",'Raw Payments'!A84)</f>
        <v/>
      </c>
      <c r="F84" t="str">
        <f>IF(E84="","",'Raw Payments'!B84)</f>
        <v/>
      </c>
      <c r="G84" t="str">
        <f>IF(E84="","",'Raw Payments'!F84)</f>
        <v/>
      </c>
      <c r="H84" t="str">
        <f>IF(E84="","",'Raw Payments'!H84)</f>
        <v/>
      </c>
      <c r="I84" t="str">
        <f>IF(E84="","",'Raw Payments'!I84)</f>
        <v/>
      </c>
      <c r="J84" t="str">
        <f>IF(A84="","",IF(COUNTIF('Raw Payments'!$C:$C,A84)&gt;0,"Payment Linked","No Payment"))</f>
        <v/>
      </c>
      <c r="K84" t="str">
        <f>IF(F84="","Missing Reference",IF(COUNTIF('Raw Payments'!$B:$B,F84)&gt;1,"Possible Duplicate","Reference Present"))</f>
        <v>Missing Reference</v>
      </c>
      <c r="L84" t="str">
        <f t="shared" si="1"/>
        <v/>
      </c>
    </row>
    <row r="85" spans="1:12" x14ac:dyDescent="0.3">
      <c r="A85" t="str">
        <f>IF('Raw Enrollments'!A85="","",'Raw Enrollments'!A85)</f>
        <v/>
      </c>
      <c r="B85" t="str">
        <f>IF(A85="","",'Raw Enrollments'!B85)</f>
        <v/>
      </c>
      <c r="C85" t="str">
        <f>IF(A85="","",'Raw Enrollments'!C85)</f>
        <v/>
      </c>
      <c r="D85" t="str">
        <f>IF(A85="","",'Raw Enrollments'!E85)</f>
        <v/>
      </c>
      <c r="E85" t="str">
        <f>IF('Raw Payments'!A85="","",'Raw Payments'!A85)</f>
        <v/>
      </c>
      <c r="F85" t="str">
        <f>IF(E85="","",'Raw Payments'!B85)</f>
        <v/>
      </c>
      <c r="G85" t="str">
        <f>IF(E85="","",'Raw Payments'!F85)</f>
        <v/>
      </c>
      <c r="H85" t="str">
        <f>IF(E85="","",'Raw Payments'!H85)</f>
        <v/>
      </c>
      <c r="I85" t="str">
        <f>IF(E85="","",'Raw Payments'!I85)</f>
        <v/>
      </c>
      <c r="J85" t="str">
        <f>IF(A85="","",IF(COUNTIF('Raw Payments'!$C:$C,A85)&gt;0,"Payment Linked","No Payment"))</f>
        <v/>
      </c>
      <c r="K85" t="str">
        <f>IF(F85="","Missing Reference",IF(COUNTIF('Raw Payments'!$B:$B,F85)&gt;1,"Possible Duplicate","Reference Present"))</f>
        <v>Missing Reference</v>
      </c>
      <c r="L85" t="str">
        <f t="shared" si="1"/>
        <v/>
      </c>
    </row>
    <row r="86" spans="1:12" x14ac:dyDescent="0.3">
      <c r="A86" t="str">
        <f>IF('Raw Enrollments'!A86="","",'Raw Enrollments'!A86)</f>
        <v/>
      </c>
      <c r="B86" t="str">
        <f>IF(A86="","",'Raw Enrollments'!B86)</f>
        <v/>
      </c>
      <c r="C86" t="str">
        <f>IF(A86="","",'Raw Enrollments'!C86)</f>
        <v/>
      </c>
      <c r="D86" t="str">
        <f>IF(A86="","",'Raw Enrollments'!E86)</f>
        <v/>
      </c>
      <c r="E86" t="str">
        <f>IF('Raw Payments'!A86="","",'Raw Payments'!A86)</f>
        <v/>
      </c>
      <c r="F86" t="str">
        <f>IF(E86="","",'Raw Payments'!B86)</f>
        <v/>
      </c>
      <c r="G86" t="str">
        <f>IF(E86="","",'Raw Payments'!F86)</f>
        <v/>
      </c>
      <c r="H86" t="str">
        <f>IF(E86="","",'Raw Payments'!H86)</f>
        <v/>
      </c>
      <c r="I86" t="str">
        <f>IF(E86="","",'Raw Payments'!I86)</f>
        <v/>
      </c>
      <c r="J86" t="str">
        <f>IF(A86="","",IF(COUNTIF('Raw Payments'!$C:$C,A86)&gt;0,"Payment Linked","No Payment"))</f>
        <v/>
      </c>
      <c r="K86" t="str">
        <f>IF(F86="","Missing Reference",IF(COUNTIF('Raw Payments'!$B:$B,F86)&gt;1,"Possible Duplicate","Reference Present"))</f>
        <v>Missing Reference</v>
      </c>
      <c r="L86" t="str">
        <f t="shared" si="1"/>
        <v/>
      </c>
    </row>
    <row r="87" spans="1:12" x14ac:dyDescent="0.3">
      <c r="A87" t="str">
        <f>IF('Raw Enrollments'!A87="","",'Raw Enrollments'!A87)</f>
        <v/>
      </c>
      <c r="B87" t="str">
        <f>IF(A87="","",'Raw Enrollments'!B87)</f>
        <v/>
      </c>
      <c r="C87" t="str">
        <f>IF(A87="","",'Raw Enrollments'!C87)</f>
        <v/>
      </c>
      <c r="D87" t="str">
        <f>IF(A87="","",'Raw Enrollments'!E87)</f>
        <v/>
      </c>
      <c r="E87" t="str">
        <f>IF('Raw Payments'!A87="","",'Raw Payments'!A87)</f>
        <v/>
      </c>
      <c r="F87" t="str">
        <f>IF(E87="","",'Raw Payments'!B87)</f>
        <v/>
      </c>
      <c r="G87" t="str">
        <f>IF(E87="","",'Raw Payments'!F87)</f>
        <v/>
      </c>
      <c r="H87" t="str">
        <f>IF(E87="","",'Raw Payments'!H87)</f>
        <v/>
      </c>
      <c r="I87" t="str">
        <f>IF(E87="","",'Raw Payments'!I87)</f>
        <v/>
      </c>
      <c r="J87" t="str">
        <f>IF(A87="","",IF(COUNTIF('Raw Payments'!$C:$C,A87)&gt;0,"Payment Linked","No Payment"))</f>
        <v/>
      </c>
      <c r="K87" t="str">
        <f>IF(F87="","Missing Reference",IF(COUNTIF('Raw Payments'!$B:$B,F87)&gt;1,"Possible Duplicate","Reference Present"))</f>
        <v>Missing Reference</v>
      </c>
      <c r="L87" t="str">
        <f t="shared" si="1"/>
        <v/>
      </c>
    </row>
    <row r="88" spans="1:12" x14ac:dyDescent="0.3">
      <c r="A88" t="str">
        <f>IF('Raw Enrollments'!A88="","",'Raw Enrollments'!A88)</f>
        <v/>
      </c>
      <c r="B88" t="str">
        <f>IF(A88="","",'Raw Enrollments'!B88)</f>
        <v/>
      </c>
      <c r="C88" t="str">
        <f>IF(A88="","",'Raw Enrollments'!C88)</f>
        <v/>
      </c>
      <c r="D88" t="str">
        <f>IF(A88="","",'Raw Enrollments'!E88)</f>
        <v/>
      </c>
      <c r="E88" t="str">
        <f>IF('Raw Payments'!A88="","",'Raw Payments'!A88)</f>
        <v/>
      </c>
      <c r="F88" t="str">
        <f>IF(E88="","",'Raw Payments'!B88)</f>
        <v/>
      </c>
      <c r="G88" t="str">
        <f>IF(E88="","",'Raw Payments'!F88)</f>
        <v/>
      </c>
      <c r="H88" t="str">
        <f>IF(E88="","",'Raw Payments'!H88)</f>
        <v/>
      </c>
      <c r="I88" t="str">
        <f>IF(E88="","",'Raw Payments'!I88)</f>
        <v/>
      </c>
      <c r="J88" t="str">
        <f>IF(A88="","",IF(COUNTIF('Raw Payments'!$C:$C,A88)&gt;0,"Payment Linked","No Payment"))</f>
        <v/>
      </c>
      <c r="K88" t="str">
        <f>IF(F88="","Missing Reference",IF(COUNTIF('Raw Payments'!$B:$B,F88)&gt;1,"Possible Duplicate","Reference Present"))</f>
        <v>Missing Reference</v>
      </c>
      <c r="L88" t="str">
        <f t="shared" si="1"/>
        <v/>
      </c>
    </row>
    <row r="89" spans="1:12" x14ac:dyDescent="0.3">
      <c r="A89" t="str">
        <f>IF('Raw Enrollments'!A89="","",'Raw Enrollments'!A89)</f>
        <v/>
      </c>
      <c r="B89" t="str">
        <f>IF(A89="","",'Raw Enrollments'!B89)</f>
        <v/>
      </c>
      <c r="C89" t="str">
        <f>IF(A89="","",'Raw Enrollments'!C89)</f>
        <v/>
      </c>
      <c r="D89" t="str">
        <f>IF(A89="","",'Raw Enrollments'!E89)</f>
        <v/>
      </c>
      <c r="E89" t="str">
        <f>IF('Raw Payments'!A89="","",'Raw Payments'!A89)</f>
        <v/>
      </c>
      <c r="F89" t="str">
        <f>IF(E89="","",'Raw Payments'!B89)</f>
        <v/>
      </c>
      <c r="G89" t="str">
        <f>IF(E89="","",'Raw Payments'!F89)</f>
        <v/>
      </c>
      <c r="H89" t="str">
        <f>IF(E89="","",'Raw Payments'!H89)</f>
        <v/>
      </c>
      <c r="I89" t="str">
        <f>IF(E89="","",'Raw Payments'!I89)</f>
        <v/>
      </c>
      <c r="J89" t="str">
        <f>IF(A89="","",IF(COUNTIF('Raw Payments'!$C:$C,A89)&gt;0,"Payment Linked","No Payment"))</f>
        <v/>
      </c>
      <c r="K89" t="str">
        <f>IF(F89="","Missing Reference",IF(COUNTIF('Raw Payments'!$B:$B,F89)&gt;1,"Possible Duplicate","Reference Present"))</f>
        <v>Missing Reference</v>
      </c>
      <c r="L89" t="str">
        <f t="shared" si="1"/>
        <v/>
      </c>
    </row>
    <row r="90" spans="1:12" x14ac:dyDescent="0.3">
      <c r="A90" t="str">
        <f>IF('Raw Enrollments'!A90="","",'Raw Enrollments'!A90)</f>
        <v/>
      </c>
      <c r="B90" t="str">
        <f>IF(A90="","",'Raw Enrollments'!B90)</f>
        <v/>
      </c>
      <c r="C90" t="str">
        <f>IF(A90="","",'Raw Enrollments'!C90)</f>
        <v/>
      </c>
      <c r="D90" t="str">
        <f>IF(A90="","",'Raw Enrollments'!E90)</f>
        <v/>
      </c>
      <c r="E90" t="str">
        <f>IF('Raw Payments'!A90="","",'Raw Payments'!A90)</f>
        <v/>
      </c>
      <c r="F90" t="str">
        <f>IF(E90="","",'Raw Payments'!B90)</f>
        <v/>
      </c>
      <c r="G90" t="str">
        <f>IF(E90="","",'Raw Payments'!F90)</f>
        <v/>
      </c>
      <c r="H90" t="str">
        <f>IF(E90="","",'Raw Payments'!H90)</f>
        <v/>
      </c>
      <c r="I90" t="str">
        <f>IF(E90="","",'Raw Payments'!I90)</f>
        <v/>
      </c>
      <c r="J90" t="str">
        <f>IF(A90="","",IF(COUNTIF('Raw Payments'!$C:$C,A90)&gt;0,"Payment Linked","No Payment"))</f>
        <v/>
      </c>
      <c r="K90" t="str">
        <f>IF(F90="","Missing Reference",IF(COUNTIF('Raw Payments'!$B:$B,F90)&gt;1,"Possible Duplicate","Reference Present"))</f>
        <v>Missing Reference</v>
      </c>
      <c r="L90" t="str">
        <f t="shared" si="1"/>
        <v/>
      </c>
    </row>
    <row r="91" spans="1:12" x14ac:dyDescent="0.3">
      <c r="A91" t="str">
        <f>IF('Raw Enrollments'!A91="","",'Raw Enrollments'!A91)</f>
        <v/>
      </c>
      <c r="B91" t="str">
        <f>IF(A91="","",'Raw Enrollments'!B91)</f>
        <v/>
      </c>
      <c r="C91" t="str">
        <f>IF(A91="","",'Raw Enrollments'!C91)</f>
        <v/>
      </c>
      <c r="D91" t="str">
        <f>IF(A91="","",'Raw Enrollments'!E91)</f>
        <v/>
      </c>
      <c r="E91" t="str">
        <f>IF('Raw Payments'!A91="","",'Raw Payments'!A91)</f>
        <v/>
      </c>
      <c r="F91" t="str">
        <f>IF(E91="","",'Raw Payments'!B91)</f>
        <v/>
      </c>
      <c r="G91" t="str">
        <f>IF(E91="","",'Raw Payments'!F91)</f>
        <v/>
      </c>
      <c r="H91" t="str">
        <f>IF(E91="","",'Raw Payments'!H91)</f>
        <v/>
      </c>
      <c r="I91" t="str">
        <f>IF(E91="","",'Raw Payments'!I91)</f>
        <v/>
      </c>
      <c r="J91" t="str">
        <f>IF(A91="","",IF(COUNTIF('Raw Payments'!$C:$C,A91)&gt;0,"Payment Linked","No Payment"))</f>
        <v/>
      </c>
      <c r="K91" t="str">
        <f>IF(F91="","Missing Reference",IF(COUNTIF('Raw Payments'!$B:$B,F91)&gt;1,"Possible Duplicate","Reference Present"))</f>
        <v>Missing Reference</v>
      </c>
      <c r="L91" t="str">
        <f t="shared" si="1"/>
        <v/>
      </c>
    </row>
    <row r="92" spans="1:12" x14ac:dyDescent="0.3">
      <c r="A92" t="str">
        <f>IF('Raw Enrollments'!A92="","",'Raw Enrollments'!A92)</f>
        <v/>
      </c>
      <c r="B92" t="str">
        <f>IF(A92="","",'Raw Enrollments'!B92)</f>
        <v/>
      </c>
      <c r="C92" t="str">
        <f>IF(A92="","",'Raw Enrollments'!C92)</f>
        <v/>
      </c>
      <c r="D92" t="str">
        <f>IF(A92="","",'Raw Enrollments'!E92)</f>
        <v/>
      </c>
      <c r="E92" t="str">
        <f>IF('Raw Payments'!A92="","",'Raw Payments'!A92)</f>
        <v/>
      </c>
      <c r="F92" t="str">
        <f>IF(E92="","",'Raw Payments'!B92)</f>
        <v/>
      </c>
      <c r="G92" t="str">
        <f>IF(E92="","",'Raw Payments'!F92)</f>
        <v/>
      </c>
      <c r="H92" t="str">
        <f>IF(E92="","",'Raw Payments'!H92)</f>
        <v/>
      </c>
      <c r="I92" t="str">
        <f>IF(E92="","",'Raw Payments'!I92)</f>
        <v/>
      </c>
      <c r="J92" t="str">
        <f>IF(A92="","",IF(COUNTIF('Raw Payments'!$C:$C,A92)&gt;0,"Payment Linked","No Payment"))</f>
        <v/>
      </c>
      <c r="K92" t="str">
        <f>IF(F92="","Missing Reference",IF(COUNTIF('Raw Payments'!$B:$B,F92)&gt;1,"Possible Duplicate","Reference Present"))</f>
        <v>Missing Reference</v>
      </c>
      <c r="L92" t="str">
        <f t="shared" si="1"/>
        <v/>
      </c>
    </row>
    <row r="93" spans="1:12" x14ac:dyDescent="0.3">
      <c r="A93" t="str">
        <f>IF('Raw Enrollments'!A93="","",'Raw Enrollments'!A93)</f>
        <v/>
      </c>
      <c r="B93" t="str">
        <f>IF(A93="","",'Raw Enrollments'!B93)</f>
        <v/>
      </c>
      <c r="C93" t="str">
        <f>IF(A93="","",'Raw Enrollments'!C93)</f>
        <v/>
      </c>
      <c r="D93" t="str">
        <f>IF(A93="","",'Raw Enrollments'!E93)</f>
        <v/>
      </c>
      <c r="E93" t="str">
        <f>IF('Raw Payments'!A93="","",'Raw Payments'!A93)</f>
        <v/>
      </c>
      <c r="F93" t="str">
        <f>IF(E93="","",'Raw Payments'!B93)</f>
        <v/>
      </c>
      <c r="G93" t="str">
        <f>IF(E93="","",'Raw Payments'!F93)</f>
        <v/>
      </c>
      <c r="H93" t="str">
        <f>IF(E93="","",'Raw Payments'!H93)</f>
        <v/>
      </c>
      <c r="I93" t="str">
        <f>IF(E93="","",'Raw Payments'!I93)</f>
        <v/>
      </c>
      <c r="J93" t="str">
        <f>IF(A93="","",IF(COUNTIF('Raw Payments'!$C:$C,A93)&gt;0,"Payment Linked","No Payment"))</f>
        <v/>
      </c>
      <c r="K93" t="str">
        <f>IF(F93="","Missing Reference",IF(COUNTIF('Raw Payments'!$B:$B,F93)&gt;1,"Possible Duplicate","Reference Present"))</f>
        <v>Missing Reference</v>
      </c>
      <c r="L93" t="str">
        <f t="shared" si="1"/>
        <v/>
      </c>
    </row>
    <row r="94" spans="1:12" x14ac:dyDescent="0.3">
      <c r="A94" t="str">
        <f>IF('Raw Enrollments'!A94="","",'Raw Enrollments'!A94)</f>
        <v/>
      </c>
      <c r="B94" t="str">
        <f>IF(A94="","",'Raw Enrollments'!B94)</f>
        <v/>
      </c>
      <c r="C94" t="str">
        <f>IF(A94="","",'Raw Enrollments'!C94)</f>
        <v/>
      </c>
      <c r="D94" t="str">
        <f>IF(A94="","",'Raw Enrollments'!E94)</f>
        <v/>
      </c>
      <c r="E94" t="str">
        <f>IF('Raw Payments'!A94="","",'Raw Payments'!A94)</f>
        <v/>
      </c>
      <c r="F94" t="str">
        <f>IF(E94="","",'Raw Payments'!B94)</f>
        <v/>
      </c>
      <c r="G94" t="str">
        <f>IF(E94="","",'Raw Payments'!F94)</f>
        <v/>
      </c>
      <c r="H94" t="str">
        <f>IF(E94="","",'Raw Payments'!H94)</f>
        <v/>
      </c>
      <c r="I94" t="str">
        <f>IF(E94="","",'Raw Payments'!I94)</f>
        <v/>
      </c>
      <c r="J94" t="str">
        <f>IF(A94="","",IF(COUNTIF('Raw Payments'!$C:$C,A94)&gt;0,"Payment Linked","No Payment"))</f>
        <v/>
      </c>
      <c r="K94" t="str">
        <f>IF(F94="","Missing Reference",IF(COUNTIF('Raw Payments'!$B:$B,F94)&gt;1,"Possible Duplicate","Reference Present"))</f>
        <v>Missing Reference</v>
      </c>
      <c r="L94" t="str">
        <f t="shared" si="1"/>
        <v/>
      </c>
    </row>
    <row r="95" spans="1:12" x14ac:dyDescent="0.3">
      <c r="A95" t="str">
        <f>IF('Raw Enrollments'!A95="","",'Raw Enrollments'!A95)</f>
        <v/>
      </c>
      <c r="B95" t="str">
        <f>IF(A95="","",'Raw Enrollments'!B95)</f>
        <v/>
      </c>
      <c r="C95" t="str">
        <f>IF(A95="","",'Raw Enrollments'!C95)</f>
        <v/>
      </c>
      <c r="D95" t="str">
        <f>IF(A95="","",'Raw Enrollments'!E95)</f>
        <v/>
      </c>
      <c r="E95" t="str">
        <f>IF('Raw Payments'!A95="","",'Raw Payments'!A95)</f>
        <v/>
      </c>
      <c r="F95" t="str">
        <f>IF(E95="","",'Raw Payments'!B95)</f>
        <v/>
      </c>
      <c r="G95" t="str">
        <f>IF(E95="","",'Raw Payments'!F95)</f>
        <v/>
      </c>
      <c r="H95" t="str">
        <f>IF(E95="","",'Raw Payments'!H95)</f>
        <v/>
      </c>
      <c r="I95" t="str">
        <f>IF(E95="","",'Raw Payments'!I95)</f>
        <v/>
      </c>
      <c r="J95" t="str">
        <f>IF(A95="","",IF(COUNTIF('Raw Payments'!$C:$C,A95)&gt;0,"Payment Linked","No Payment"))</f>
        <v/>
      </c>
      <c r="K95" t="str">
        <f>IF(F95="","Missing Reference",IF(COUNTIF('Raw Payments'!$B:$B,F95)&gt;1,"Possible Duplicate","Reference Present"))</f>
        <v>Missing Reference</v>
      </c>
      <c r="L95" t="str">
        <f t="shared" si="1"/>
        <v/>
      </c>
    </row>
    <row r="96" spans="1:12" x14ac:dyDescent="0.3">
      <c r="A96" t="str">
        <f>IF('Raw Enrollments'!A96="","",'Raw Enrollments'!A96)</f>
        <v/>
      </c>
      <c r="B96" t="str">
        <f>IF(A96="","",'Raw Enrollments'!B96)</f>
        <v/>
      </c>
      <c r="C96" t="str">
        <f>IF(A96="","",'Raw Enrollments'!C96)</f>
        <v/>
      </c>
      <c r="D96" t="str">
        <f>IF(A96="","",'Raw Enrollments'!E96)</f>
        <v/>
      </c>
      <c r="E96" t="str">
        <f>IF('Raw Payments'!A96="","",'Raw Payments'!A96)</f>
        <v/>
      </c>
      <c r="F96" t="str">
        <f>IF(E96="","",'Raw Payments'!B96)</f>
        <v/>
      </c>
      <c r="G96" t="str">
        <f>IF(E96="","",'Raw Payments'!F96)</f>
        <v/>
      </c>
      <c r="H96" t="str">
        <f>IF(E96="","",'Raw Payments'!H96)</f>
        <v/>
      </c>
      <c r="I96" t="str">
        <f>IF(E96="","",'Raw Payments'!I96)</f>
        <v/>
      </c>
      <c r="J96" t="str">
        <f>IF(A96="","",IF(COUNTIF('Raw Payments'!$C:$C,A96)&gt;0,"Payment Linked","No Payment"))</f>
        <v/>
      </c>
      <c r="K96" t="str">
        <f>IF(F96="","Missing Reference",IF(COUNTIF('Raw Payments'!$B:$B,F96)&gt;1,"Possible Duplicate","Reference Present"))</f>
        <v>Missing Reference</v>
      </c>
      <c r="L96" t="str">
        <f t="shared" si="1"/>
        <v/>
      </c>
    </row>
    <row r="97" spans="1:12" x14ac:dyDescent="0.3">
      <c r="A97" t="str">
        <f>IF('Raw Enrollments'!A97="","",'Raw Enrollments'!A97)</f>
        <v/>
      </c>
      <c r="B97" t="str">
        <f>IF(A97="","",'Raw Enrollments'!B97)</f>
        <v/>
      </c>
      <c r="C97" t="str">
        <f>IF(A97="","",'Raw Enrollments'!C97)</f>
        <v/>
      </c>
      <c r="D97" t="str">
        <f>IF(A97="","",'Raw Enrollments'!E97)</f>
        <v/>
      </c>
      <c r="E97" t="str">
        <f>IF('Raw Payments'!A97="","",'Raw Payments'!A97)</f>
        <v/>
      </c>
      <c r="F97" t="str">
        <f>IF(E97="","",'Raw Payments'!B97)</f>
        <v/>
      </c>
      <c r="G97" t="str">
        <f>IF(E97="","",'Raw Payments'!F97)</f>
        <v/>
      </c>
      <c r="H97" t="str">
        <f>IF(E97="","",'Raw Payments'!H97)</f>
        <v/>
      </c>
      <c r="I97" t="str">
        <f>IF(E97="","",'Raw Payments'!I97)</f>
        <v/>
      </c>
      <c r="J97" t="str">
        <f>IF(A97="","",IF(COUNTIF('Raw Payments'!$C:$C,A97)&gt;0,"Payment Linked","No Payment"))</f>
        <v/>
      </c>
      <c r="K97" t="str">
        <f>IF(F97="","Missing Reference",IF(COUNTIF('Raw Payments'!$B:$B,F97)&gt;1,"Possible Duplicate","Reference Present"))</f>
        <v>Missing Reference</v>
      </c>
      <c r="L97" t="str">
        <f t="shared" si="1"/>
        <v/>
      </c>
    </row>
    <row r="98" spans="1:12" x14ac:dyDescent="0.3">
      <c r="A98" t="str">
        <f>IF('Raw Enrollments'!A98="","",'Raw Enrollments'!A98)</f>
        <v/>
      </c>
      <c r="B98" t="str">
        <f>IF(A98="","",'Raw Enrollments'!B98)</f>
        <v/>
      </c>
      <c r="C98" t="str">
        <f>IF(A98="","",'Raw Enrollments'!C98)</f>
        <v/>
      </c>
      <c r="D98" t="str">
        <f>IF(A98="","",'Raw Enrollments'!E98)</f>
        <v/>
      </c>
      <c r="E98" t="str">
        <f>IF('Raw Payments'!A98="","",'Raw Payments'!A98)</f>
        <v/>
      </c>
      <c r="F98" t="str">
        <f>IF(E98="","",'Raw Payments'!B98)</f>
        <v/>
      </c>
      <c r="G98" t="str">
        <f>IF(E98="","",'Raw Payments'!F98)</f>
        <v/>
      </c>
      <c r="H98" t="str">
        <f>IF(E98="","",'Raw Payments'!H98)</f>
        <v/>
      </c>
      <c r="I98" t="str">
        <f>IF(E98="","",'Raw Payments'!I98)</f>
        <v/>
      </c>
      <c r="J98" t="str">
        <f>IF(A98="","",IF(COUNTIF('Raw Payments'!$C:$C,A98)&gt;0,"Payment Linked","No Payment"))</f>
        <v/>
      </c>
      <c r="K98" t="str">
        <f>IF(F98="","Missing Reference",IF(COUNTIF('Raw Payments'!$B:$B,F98)&gt;1,"Possible Duplicate","Reference Present"))</f>
        <v>Missing Reference</v>
      </c>
      <c r="L98" t="str">
        <f t="shared" si="1"/>
        <v/>
      </c>
    </row>
    <row r="99" spans="1:12" x14ac:dyDescent="0.3">
      <c r="A99" t="str">
        <f>IF('Raw Enrollments'!A99="","",'Raw Enrollments'!A99)</f>
        <v/>
      </c>
      <c r="B99" t="str">
        <f>IF(A99="","",'Raw Enrollments'!B99)</f>
        <v/>
      </c>
      <c r="C99" t="str">
        <f>IF(A99="","",'Raw Enrollments'!C99)</f>
        <v/>
      </c>
      <c r="D99" t="str">
        <f>IF(A99="","",'Raw Enrollments'!E99)</f>
        <v/>
      </c>
      <c r="E99" t="str">
        <f>IF('Raw Payments'!A99="","",'Raw Payments'!A99)</f>
        <v/>
      </c>
      <c r="F99" t="str">
        <f>IF(E99="","",'Raw Payments'!B99)</f>
        <v/>
      </c>
      <c r="G99" t="str">
        <f>IF(E99="","",'Raw Payments'!F99)</f>
        <v/>
      </c>
      <c r="H99" t="str">
        <f>IF(E99="","",'Raw Payments'!H99)</f>
        <v/>
      </c>
      <c r="I99" t="str">
        <f>IF(E99="","",'Raw Payments'!I99)</f>
        <v/>
      </c>
      <c r="J99" t="str">
        <f>IF(A99="","",IF(COUNTIF('Raw Payments'!$C:$C,A99)&gt;0,"Payment Linked","No Payment"))</f>
        <v/>
      </c>
      <c r="K99" t="str">
        <f>IF(F99="","Missing Reference",IF(COUNTIF('Raw Payments'!$B:$B,F99)&gt;1,"Possible Duplicate","Reference Present"))</f>
        <v>Missing Reference</v>
      </c>
      <c r="L99" t="str">
        <f t="shared" si="1"/>
        <v/>
      </c>
    </row>
    <row r="100" spans="1:12" x14ac:dyDescent="0.3">
      <c r="A100" t="str">
        <f>IF('Raw Enrollments'!A100="","",'Raw Enrollments'!A100)</f>
        <v/>
      </c>
      <c r="B100" t="str">
        <f>IF(A100="","",'Raw Enrollments'!B100)</f>
        <v/>
      </c>
      <c r="C100" t="str">
        <f>IF(A100="","",'Raw Enrollments'!C100)</f>
        <v/>
      </c>
      <c r="D100" t="str">
        <f>IF(A100="","",'Raw Enrollments'!E100)</f>
        <v/>
      </c>
      <c r="E100" t="str">
        <f>IF('Raw Payments'!A100="","",'Raw Payments'!A100)</f>
        <v/>
      </c>
      <c r="F100" t="str">
        <f>IF(E100="","",'Raw Payments'!B100)</f>
        <v/>
      </c>
      <c r="G100" t="str">
        <f>IF(E100="","",'Raw Payments'!F100)</f>
        <v/>
      </c>
      <c r="H100" t="str">
        <f>IF(E100="","",'Raw Payments'!H100)</f>
        <v/>
      </c>
      <c r="I100" t="str">
        <f>IF(E100="","",'Raw Payments'!I100)</f>
        <v/>
      </c>
      <c r="J100" t="str">
        <f>IF(A100="","",IF(COUNTIF('Raw Payments'!$C:$C,A100)&gt;0,"Payment Linked","No Payment"))</f>
        <v/>
      </c>
      <c r="K100" t="str">
        <f>IF(F100="","Missing Reference",IF(COUNTIF('Raw Payments'!$B:$B,F100)&gt;1,"Possible Duplicate","Reference Present"))</f>
        <v>Missing Reference</v>
      </c>
      <c r="L100" t="str">
        <f t="shared" si="1"/>
        <v/>
      </c>
    </row>
    <row r="101" spans="1:12" x14ac:dyDescent="0.3">
      <c r="A101" t="str">
        <f>IF('Raw Enrollments'!A101="","",'Raw Enrollments'!A101)</f>
        <v/>
      </c>
      <c r="B101" t="str">
        <f>IF(A101="","",'Raw Enrollments'!B101)</f>
        <v/>
      </c>
      <c r="C101" t="str">
        <f>IF(A101="","",'Raw Enrollments'!C101)</f>
        <v/>
      </c>
      <c r="D101" t="str">
        <f>IF(A101="","",'Raw Enrollments'!E101)</f>
        <v/>
      </c>
      <c r="E101" t="str">
        <f>IF('Raw Payments'!A101="","",'Raw Payments'!A101)</f>
        <v/>
      </c>
      <c r="F101" t="str">
        <f>IF(E101="","",'Raw Payments'!B101)</f>
        <v/>
      </c>
      <c r="G101" t="str">
        <f>IF(E101="","",'Raw Payments'!F101)</f>
        <v/>
      </c>
      <c r="H101" t="str">
        <f>IF(E101="","",'Raw Payments'!H101)</f>
        <v/>
      </c>
      <c r="I101" t="str">
        <f>IF(E101="","",'Raw Payments'!I101)</f>
        <v/>
      </c>
      <c r="J101" t="str">
        <f>IF(A101="","",IF(COUNTIF('Raw Payments'!$C:$C,A101)&gt;0,"Payment Linked","No Payment"))</f>
        <v/>
      </c>
      <c r="K101" t="str">
        <f>IF(F101="","Missing Reference",IF(COUNTIF('Raw Payments'!$B:$B,F101)&gt;1,"Possible Duplicate","Reference Present"))</f>
        <v>Missing Reference</v>
      </c>
      <c r="L101" t="str">
        <f t="shared" si="1"/>
        <v/>
      </c>
    </row>
    <row r="102" spans="1:12" x14ac:dyDescent="0.3">
      <c r="A102" t="str">
        <f>IF('Raw Enrollments'!A102="","",'Raw Enrollments'!A102)</f>
        <v/>
      </c>
      <c r="B102" t="str">
        <f>IF(A102="","",'Raw Enrollments'!B102)</f>
        <v/>
      </c>
      <c r="C102" t="str">
        <f>IF(A102="","",'Raw Enrollments'!C102)</f>
        <v/>
      </c>
      <c r="D102" t="str">
        <f>IF(A102="","",'Raw Enrollments'!E102)</f>
        <v/>
      </c>
      <c r="E102" t="str">
        <f>IF('Raw Payments'!A102="","",'Raw Payments'!A102)</f>
        <v/>
      </c>
      <c r="F102" t="str">
        <f>IF(E102="","",'Raw Payments'!B102)</f>
        <v/>
      </c>
      <c r="G102" t="str">
        <f>IF(E102="","",'Raw Payments'!F102)</f>
        <v/>
      </c>
      <c r="H102" t="str">
        <f>IF(E102="","",'Raw Payments'!H102)</f>
        <v/>
      </c>
      <c r="I102" t="str">
        <f>IF(E102="","",'Raw Payments'!I102)</f>
        <v/>
      </c>
      <c r="J102" t="str">
        <f>IF(A102="","",IF(COUNTIF('Raw Payments'!$C:$C,A102)&gt;0,"Payment Linked","No Payment"))</f>
        <v/>
      </c>
      <c r="K102" t="str">
        <f>IF(F102="","Missing Reference",IF(COUNTIF('Raw Payments'!$B:$B,F102)&gt;1,"Possible Duplicate","Reference Present"))</f>
        <v>Missing Reference</v>
      </c>
      <c r="L102" t="str">
        <f t="shared" si="1"/>
        <v/>
      </c>
    </row>
    <row r="103" spans="1:12" x14ac:dyDescent="0.3">
      <c r="A103" t="str">
        <f>IF('Raw Enrollments'!A103="","",'Raw Enrollments'!A103)</f>
        <v/>
      </c>
      <c r="B103" t="str">
        <f>IF(A103="","",'Raw Enrollments'!B103)</f>
        <v/>
      </c>
      <c r="C103" t="str">
        <f>IF(A103="","",'Raw Enrollments'!C103)</f>
        <v/>
      </c>
      <c r="D103" t="str">
        <f>IF(A103="","",'Raw Enrollments'!E103)</f>
        <v/>
      </c>
      <c r="E103" t="str">
        <f>IF('Raw Payments'!A103="","",'Raw Payments'!A103)</f>
        <v/>
      </c>
      <c r="F103" t="str">
        <f>IF(E103="","",'Raw Payments'!B103)</f>
        <v/>
      </c>
      <c r="G103" t="str">
        <f>IF(E103="","",'Raw Payments'!F103)</f>
        <v/>
      </c>
      <c r="H103" t="str">
        <f>IF(E103="","",'Raw Payments'!H103)</f>
        <v/>
      </c>
      <c r="I103" t="str">
        <f>IF(E103="","",'Raw Payments'!I103)</f>
        <v/>
      </c>
      <c r="J103" t="str">
        <f>IF(A103="","",IF(COUNTIF('Raw Payments'!$C:$C,A103)&gt;0,"Payment Linked","No Payment"))</f>
        <v/>
      </c>
      <c r="K103" t="str">
        <f>IF(F103="","Missing Reference",IF(COUNTIF('Raw Payments'!$B:$B,F103)&gt;1,"Possible Duplicate","Reference Present"))</f>
        <v>Missing Reference</v>
      </c>
      <c r="L103" t="str">
        <f t="shared" si="1"/>
        <v/>
      </c>
    </row>
    <row r="104" spans="1:12" x14ac:dyDescent="0.3">
      <c r="A104" t="str">
        <f>IF('Raw Enrollments'!A104="","",'Raw Enrollments'!A104)</f>
        <v/>
      </c>
      <c r="B104" t="str">
        <f>IF(A104="","",'Raw Enrollments'!B104)</f>
        <v/>
      </c>
      <c r="C104" t="str">
        <f>IF(A104="","",'Raw Enrollments'!C104)</f>
        <v/>
      </c>
      <c r="D104" t="str">
        <f>IF(A104="","",'Raw Enrollments'!E104)</f>
        <v/>
      </c>
      <c r="E104" t="str">
        <f>IF('Raw Payments'!A104="","",'Raw Payments'!A104)</f>
        <v/>
      </c>
      <c r="F104" t="str">
        <f>IF(E104="","",'Raw Payments'!B104)</f>
        <v/>
      </c>
      <c r="G104" t="str">
        <f>IF(E104="","",'Raw Payments'!F104)</f>
        <v/>
      </c>
      <c r="H104" t="str">
        <f>IF(E104="","",'Raw Payments'!H104)</f>
        <v/>
      </c>
      <c r="I104" t="str">
        <f>IF(E104="","",'Raw Payments'!I104)</f>
        <v/>
      </c>
      <c r="J104" t="str">
        <f>IF(A104="","",IF(COUNTIF('Raw Payments'!$C:$C,A104)&gt;0,"Payment Linked","No Payment"))</f>
        <v/>
      </c>
      <c r="K104" t="str">
        <f>IF(F104="","Missing Reference",IF(COUNTIF('Raw Payments'!$B:$B,F104)&gt;1,"Possible Duplicate","Reference Present"))</f>
        <v>Missing Reference</v>
      </c>
      <c r="L104" t="str">
        <f t="shared" si="1"/>
        <v/>
      </c>
    </row>
    <row r="105" spans="1:12" x14ac:dyDescent="0.3">
      <c r="A105" t="str">
        <f>IF('Raw Enrollments'!A105="","",'Raw Enrollments'!A105)</f>
        <v/>
      </c>
      <c r="B105" t="str">
        <f>IF(A105="","",'Raw Enrollments'!B105)</f>
        <v/>
      </c>
      <c r="C105" t="str">
        <f>IF(A105="","",'Raw Enrollments'!C105)</f>
        <v/>
      </c>
      <c r="D105" t="str">
        <f>IF(A105="","",'Raw Enrollments'!E105)</f>
        <v/>
      </c>
      <c r="E105" t="str">
        <f>IF('Raw Payments'!A105="","",'Raw Payments'!A105)</f>
        <v/>
      </c>
      <c r="F105" t="str">
        <f>IF(E105="","",'Raw Payments'!B105)</f>
        <v/>
      </c>
      <c r="G105" t="str">
        <f>IF(E105="","",'Raw Payments'!F105)</f>
        <v/>
      </c>
      <c r="H105" t="str">
        <f>IF(E105="","",'Raw Payments'!H105)</f>
        <v/>
      </c>
      <c r="I105" t="str">
        <f>IF(E105="","",'Raw Payments'!I105)</f>
        <v/>
      </c>
      <c r="J105" t="str">
        <f>IF(A105="","",IF(COUNTIF('Raw Payments'!$C:$C,A105)&gt;0,"Payment Linked","No Payment"))</f>
        <v/>
      </c>
      <c r="K105" t="str">
        <f>IF(F105="","Missing Reference",IF(COUNTIF('Raw Payments'!$B:$B,F105)&gt;1,"Possible Duplicate","Reference Present"))</f>
        <v>Missing Reference</v>
      </c>
      <c r="L105" t="str">
        <f t="shared" si="1"/>
        <v/>
      </c>
    </row>
    <row r="106" spans="1:12" x14ac:dyDescent="0.3">
      <c r="A106" t="str">
        <f>IF('Raw Enrollments'!A106="","",'Raw Enrollments'!A106)</f>
        <v/>
      </c>
      <c r="B106" t="str">
        <f>IF(A106="","",'Raw Enrollments'!B106)</f>
        <v/>
      </c>
      <c r="C106" t="str">
        <f>IF(A106="","",'Raw Enrollments'!C106)</f>
        <v/>
      </c>
      <c r="D106" t="str">
        <f>IF(A106="","",'Raw Enrollments'!E106)</f>
        <v/>
      </c>
      <c r="E106" t="str">
        <f>IF('Raw Payments'!A106="","",'Raw Payments'!A106)</f>
        <v/>
      </c>
      <c r="F106" t="str">
        <f>IF(E106="","",'Raw Payments'!B106)</f>
        <v/>
      </c>
      <c r="G106" t="str">
        <f>IF(E106="","",'Raw Payments'!F106)</f>
        <v/>
      </c>
      <c r="H106" t="str">
        <f>IF(E106="","",'Raw Payments'!H106)</f>
        <v/>
      </c>
      <c r="I106" t="str">
        <f>IF(E106="","",'Raw Payments'!I106)</f>
        <v/>
      </c>
      <c r="J106" t="str">
        <f>IF(A106="","",IF(COUNTIF('Raw Payments'!$C:$C,A106)&gt;0,"Payment Linked","No Payment"))</f>
        <v/>
      </c>
      <c r="K106" t="str">
        <f>IF(F106="","Missing Reference",IF(COUNTIF('Raw Payments'!$B:$B,F106)&gt;1,"Possible Duplicate","Reference Present"))</f>
        <v>Missing Reference</v>
      </c>
      <c r="L106" t="str">
        <f t="shared" si="1"/>
        <v/>
      </c>
    </row>
    <row r="107" spans="1:12" x14ac:dyDescent="0.3">
      <c r="A107" t="str">
        <f>IF('Raw Enrollments'!A107="","",'Raw Enrollments'!A107)</f>
        <v/>
      </c>
      <c r="B107" t="str">
        <f>IF(A107="","",'Raw Enrollments'!B107)</f>
        <v/>
      </c>
      <c r="C107" t="str">
        <f>IF(A107="","",'Raw Enrollments'!C107)</f>
        <v/>
      </c>
      <c r="D107" t="str">
        <f>IF(A107="","",'Raw Enrollments'!E107)</f>
        <v/>
      </c>
      <c r="E107" t="str">
        <f>IF('Raw Payments'!A107="","",'Raw Payments'!A107)</f>
        <v/>
      </c>
      <c r="F107" t="str">
        <f>IF(E107="","",'Raw Payments'!B107)</f>
        <v/>
      </c>
      <c r="G107" t="str">
        <f>IF(E107="","",'Raw Payments'!F107)</f>
        <v/>
      </c>
      <c r="H107" t="str">
        <f>IF(E107="","",'Raw Payments'!H107)</f>
        <v/>
      </c>
      <c r="I107" t="str">
        <f>IF(E107="","",'Raw Payments'!I107)</f>
        <v/>
      </c>
      <c r="J107" t="str">
        <f>IF(A107="","",IF(COUNTIF('Raw Payments'!$C:$C,A107)&gt;0,"Payment Linked","No Payment"))</f>
        <v/>
      </c>
      <c r="K107" t="str">
        <f>IF(F107="","Missing Reference",IF(COUNTIF('Raw Payments'!$B:$B,F107)&gt;1,"Possible Duplicate","Reference Present"))</f>
        <v>Missing Reference</v>
      </c>
      <c r="L107" t="str">
        <f t="shared" si="1"/>
        <v/>
      </c>
    </row>
    <row r="108" spans="1:12" x14ac:dyDescent="0.3">
      <c r="A108" t="str">
        <f>IF('Raw Enrollments'!A108="","",'Raw Enrollments'!A108)</f>
        <v/>
      </c>
      <c r="B108" t="str">
        <f>IF(A108="","",'Raw Enrollments'!B108)</f>
        <v/>
      </c>
      <c r="C108" t="str">
        <f>IF(A108="","",'Raw Enrollments'!C108)</f>
        <v/>
      </c>
      <c r="D108" t="str">
        <f>IF(A108="","",'Raw Enrollments'!E108)</f>
        <v/>
      </c>
      <c r="E108" t="str">
        <f>IF('Raw Payments'!A108="","",'Raw Payments'!A108)</f>
        <v/>
      </c>
      <c r="F108" t="str">
        <f>IF(E108="","",'Raw Payments'!B108)</f>
        <v/>
      </c>
      <c r="G108" t="str">
        <f>IF(E108="","",'Raw Payments'!F108)</f>
        <v/>
      </c>
      <c r="H108" t="str">
        <f>IF(E108="","",'Raw Payments'!H108)</f>
        <v/>
      </c>
      <c r="I108" t="str">
        <f>IF(E108="","",'Raw Payments'!I108)</f>
        <v/>
      </c>
      <c r="J108" t="str">
        <f>IF(A108="","",IF(COUNTIF('Raw Payments'!$C:$C,A108)&gt;0,"Payment Linked","No Payment"))</f>
        <v/>
      </c>
      <c r="K108" t="str">
        <f>IF(F108="","Missing Reference",IF(COUNTIF('Raw Payments'!$B:$B,F108)&gt;1,"Possible Duplicate","Reference Present"))</f>
        <v>Missing Reference</v>
      </c>
      <c r="L108" t="str">
        <f t="shared" si="1"/>
        <v/>
      </c>
    </row>
    <row r="109" spans="1:12" x14ac:dyDescent="0.3">
      <c r="A109" t="str">
        <f>IF('Raw Enrollments'!A109="","",'Raw Enrollments'!A109)</f>
        <v/>
      </c>
      <c r="B109" t="str">
        <f>IF(A109="","",'Raw Enrollments'!B109)</f>
        <v/>
      </c>
      <c r="C109" t="str">
        <f>IF(A109="","",'Raw Enrollments'!C109)</f>
        <v/>
      </c>
      <c r="D109" t="str">
        <f>IF(A109="","",'Raw Enrollments'!E109)</f>
        <v/>
      </c>
      <c r="E109" t="str">
        <f>IF('Raw Payments'!A109="","",'Raw Payments'!A109)</f>
        <v/>
      </c>
      <c r="F109" t="str">
        <f>IF(E109="","",'Raw Payments'!B109)</f>
        <v/>
      </c>
      <c r="G109" t="str">
        <f>IF(E109="","",'Raw Payments'!F109)</f>
        <v/>
      </c>
      <c r="H109" t="str">
        <f>IF(E109="","",'Raw Payments'!H109)</f>
        <v/>
      </c>
      <c r="I109" t="str">
        <f>IF(E109="","",'Raw Payments'!I109)</f>
        <v/>
      </c>
      <c r="J109" t="str">
        <f>IF(A109="","",IF(COUNTIF('Raw Payments'!$C:$C,A109)&gt;0,"Payment Linked","No Payment"))</f>
        <v/>
      </c>
      <c r="K109" t="str">
        <f>IF(F109="","Missing Reference",IF(COUNTIF('Raw Payments'!$B:$B,F109)&gt;1,"Possible Duplicate","Reference Present"))</f>
        <v>Missing Reference</v>
      </c>
      <c r="L109" t="str">
        <f t="shared" si="1"/>
        <v/>
      </c>
    </row>
    <row r="110" spans="1:12" x14ac:dyDescent="0.3">
      <c r="A110" t="str">
        <f>IF('Raw Enrollments'!A110="","",'Raw Enrollments'!A110)</f>
        <v/>
      </c>
      <c r="B110" t="str">
        <f>IF(A110="","",'Raw Enrollments'!B110)</f>
        <v/>
      </c>
      <c r="C110" t="str">
        <f>IF(A110="","",'Raw Enrollments'!C110)</f>
        <v/>
      </c>
      <c r="D110" t="str">
        <f>IF(A110="","",'Raw Enrollments'!E110)</f>
        <v/>
      </c>
      <c r="E110" t="str">
        <f>IF('Raw Payments'!A110="","",'Raw Payments'!A110)</f>
        <v/>
      </c>
      <c r="F110" t="str">
        <f>IF(E110="","",'Raw Payments'!B110)</f>
        <v/>
      </c>
      <c r="G110" t="str">
        <f>IF(E110="","",'Raw Payments'!F110)</f>
        <v/>
      </c>
      <c r="H110" t="str">
        <f>IF(E110="","",'Raw Payments'!H110)</f>
        <v/>
      </c>
      <c r="I110" t="str">
        <f>IF(E110="","",'Raw Payments'!I110)</f>
        <v/>
      </c>
      <c r="J110" t="str">
        <f>IF(A110="","",IF(COUNTIF('Raw Payments'!$C:$C,A110)&gt;0,"Payment Linked","No Payment"))</f>
        <v/>
      </c>
      <c r="K110" t="str">
        <f>IF(F110="","Missing Reference",IF(COUNTIF('Raw Payments'!$B:$B,F110)&gt;1,"Possible Duplicate","Reference Present"))</f>
        <v>Missing Reference</v>
      </c>
      <c r="L110" t="str">
        <f t="shared" si="1"/>
        <v/>
      </c>
    </row>
    <row r="111" spans="1:12" x14ac:dyDescent="0.3">
      <c r="A111" t="str">
        <f>IF('Raw Enrollments'!A111="","",'Raw Enrollments'!A111)</f>
        <v/>
      </c>
      <c r="B111" t="str">
        <f>IF(A111="","",'Raw Enrollments'!B111)</f>
        <v/>
      </c>
      <c r="C111" t="str">
        <f>IF(A111="","",'Raw Enrollments'!C111)</f>
        <v/>
      </c>
      <c r="D111" t="str">
        <f>IF(A111="","",'Raw Enrollments'!E111)</f>
        <v/>
      </c>
      <c r="E111" t="str">
        <f>IF('Raw Payments'!A111="","",'Raw Payments'!A111)</f>
        <v/>
      </c>
      <c r="F111" t="str">
        <f>IF(E111="","",'Raw Payments'!B111)</f>
        <v/>
      </c>
      <c r="G111" t="str">
        <f>IF(E111="","",'Raw Payments'!F111)</f>
        <v/>
      </c>
      <c r="H111" t="str">
        <f>IF(E111="","",'Raw Payments'!H111)</f>
        <v/>
      </c>
      <c r="I111" t="str">
        <f>IF(E111="","",'Raw Payments'!I111)</f>
        <v/>
      </c>
      <c r="J111" t="str">
        <f>IF(A111="","",IF(COUNTIF('Raw Payments'!$C:$C,A111)&gt;0,"Payment Linked","No Payment"))</f>
        <v/>
      </c>
      <c r="K111" t="str">
        <f>IF(F111="","Missing Reference",IF(COUNTIF('Raw Payments'!$B:$B,F111)&gt;1,"Possible Duplicate","Reference Present"))</f>
        <v>Missing Reference</v>
      </c>
      <c r="L111" t="str">
        <f t="shared" si="1"/>
        <v/>
      </c>
    </row>
    <row r="112" spans="1:12" x14ac:dyDescent="0.3">
      <c r="A112" t="str">
        <f>IF('Raw Enrollments'!A112="","",'Raw Enrollments'!A112)</f>
        <v/>
      </c>
      <c r="B112" t="str">
        <f>IF(A112="","",'Raw Enrollments'!B112)</f>
        <v/>
      </c>
      <c r="C112" t="str">
        <f>IF(A112="","",'Raw Enrollments'!C112)</f>
        <v/>
      </c>
      <c r="D112" t="str">
        <f>IF(A112="","",'Raw Enrollments'!E112)</f>
        <v/>
      </c>
      <c r="E112" t="str">
        <f>IF('Raw Payments'!A112="","",'Raw Payments'!A112)</f>
        <v/>
      </c>
      <c r="F112" t="str">
        <f>IF(E112="","",'Raw Payments'!B112)</f>
        <v/>
      </c>
      <c r="G112" t="str">
        <f>IF(E112="","",'Raw Payments'!F112)</f>
        <v/>
      </c>
      <c r="H112" t="str">
        <f>IF(E112="","",'Raw Payments'!H112)</f>
        <v/>
      </c>
      <c r="I112" t="str">
        <f>IF(E112="","",'Raw Payments'!I112)</f>
        <v/>
      </c>
      <c r="J112" t="str">
        <f>IF(A112="","",IF(COUNTIF('Raw Payments'!$C:$C,A112)&gt;0,"Payment Linked","No Payment"))</f>
        <v/>
      </c>
      <c r="K112" t="str">
        <f>IF(F112="","Missing Reference",IF(COUNTIF('Raw Payments'!$B:$B,F112)&gt;1,"Possible Duplicate","Reference Present"))</f>
        <v>Missing Reference</v>
      </c>
      <c r="L112" t="str">
        <f t="shared" si="1"/>
        <v/>
      </c>
    </row>
    <row r="113" spans="1:12" x14ac:dyDescent="0.3">
      <c r="A113" t="str">
        <f>IF('Raw Enrollments'!A113="","",'Raw Enrollments'!A113)</f>
        <v/>
      </c>
      <c r="B113" t="str">
        <f>IF(A113="","",'Raw Enrollments'!B113)</f>
        <v/>
      </c>
      <c r="C113" t="str">
        <f>IF(A113="","",'Raw Enrollments'!C113)</f>
        <v/>
      </c>
      <c r="D113" t="str">
        <f>IF(A113="","",'Raw Enrollments'!E113)</f>
        <v/>
      </c>
      <c r="E113" t="str">
        <f>IF('Raw Payments'!A113="","",'Raw Payments'!A113)</f>
        <v/>
      </c>
      <c r="F113" t="str">
        <f>IF(E113="","",'Raw Payments'!B113)</f>
        <v/>
      </c>
      <c r="G113" t="str">
        <f>IF(E113="","",'Raw Payments'!F113)</f>
        <v/>
      </c>
      <c r="H113" t="str">
        <f>IF(E113="","",'Raw Payments'!H113)</f>
        <v/>
      </c>
      <c r="I113" t="str">
        <f>IF(E113="","",'Raw Payments'!I113)</f>
        <v/>
      </c>
      <c r="J113" t="str">
        <f>IF(A113="","",IF(COUNTIF('Raw Payments'!$C:$C,A113)&gt;0,"Payment Linked","No Payment"))</f>
        <v/>
      </c>
      <c r="K113" t="str">
        <f>IF(F113="","Missing Reference",IF(COUNTIF('Raw Payments'!$B:$B,F113)&gt;1,"Possible Duplicate","Reference Present"))</f>
        <v>Missing Reference</v>
      </c>
      <c r="L113" t="str">
        <f t="shared" si="1"/>
        <v/>
      </c>
    </row>
    <row r="114" spans="1:12" x14ac:dyDescent="0.3">
      <c r="A114" t="str">
        <f>IF('Raw Enrollments'!A114="","",'Raw Enrollments'!A114)</f>
        <v/>
      </c>
      <c r="B114" t="str">
        <f>IF(A114="","",'Raw Enrollments'!B114)</f>
        <v/>
      </c>
      <c r="C114" t="str">
        <f>IF(A114="","",'Raw Enrollments'!C114)</f>
        <v/>
      </c>
      <c r="D114" t="str">
        <f>IF(A114="","",'Raw Enrollments'!E114)</f>
        <v/>
      </c>
      <c r="E114" t="str">
        <f>IF('Raw Payments'!A114="","",'Raw Payments'!A114)</f>
        <v/>
      </c>
      <c r="F114" t="str">
        <f>IF(E114="","",'Raw Payments'!B114)</f>
        <v/>
      </c>
      <c r="G114" t="str">
        <f>IF(E114="","",'Raw Payments'!F114)</f>
        <v/>
      </c>
      <c r="H114" t="str">
        <f>IF(E114="","",'Raw Payments'!H114)</f>
        <v/>
      </c>
      <c r="I114" t="str">
        <f>IF(E114="","",'Raw Payments'!I114)</f>
        <v/>
      </c>
      <c r="J114" t="str">
        <f>IF(A114="","",IF(COUNTIF('Raw Payments'!$C:$C,A114)&gt;0,"Payment Linked","No Payment"))</f>
        <v/>
      </c>
      <c r="K114" t="str">
        <f>IF(F114="","Missing Reference",IF(COUNTIF('Raw Payments'!$B:$B,F114)&gt;1,"Possible Duplicate","Reference Present"))</f>
        <v>Missing Reference</v>
      </c>
      <c r="L114" t="str">
        <f t="shared" si="1"/>
        <v/>
      </c>
    </row>
    <row r="115" spans="1:12" x14ac:dyDescent="0.3">
      <c r="A115" t="str">
        <f>IF('Raw Enrollments'!A115="","",'Raw Enrollments'!A115)</f>
        <v/>
      </c>
      <c r="B115" t="str">
        <f>IF(A115="","",'Raw Enrollments'!B115)</f>
        <v/>
      </c>
      <c r="C115" t="str">
        <f>IF(A115="","",'Raw Enrollments'!C115)</f>
        <v/>
      </c>
      <c r="D115" t="str">
        <f>IF(A115="","",'Raw Enrollments'!E115)</f>
        <v/>
      </c>
      <c r="E115" t="str">
        <f>IF('Raw Payments'!A115="","",'Raw Payments'!A115)</f>
        <v/>
      </c>
      <c r="F115" t="str">
        <f>IF(E115="","",'Raw Payments'!B115)</f>
        <v/>
      </c>
      <c r="G115" t="str">
        <f>IF(E115="","",'Raw Payments'!F115)</f>
        <v/>
      </c>
      <c r="H115" t="str">
        <f>IF(E115="","",'Raw Payments'!H115)</f>
        <v/>
      </c>
      <c r="I115" t="str">
        <f>IF(E115="","",'Raw Payments'!I115)</f>
        <v/>
      </c>
      <c r="J115" t="str">
        <f>IF(A115="","",IF(COUNTIF('Raw Payments'!$C:$C,A115)&gt;0,"Payment Linked","No Payment"))</f>
        <v/>
      </c>
      <c r="K115" t="str">
        <f>IF(F115="","Missing Reference",IF(COUNTIF('Raw Payments'!$B:$B,F115)&gt;1,"Possible Duplicate","Reference Present"))</f>
        <v>Missing Reference</v>
      </c>
      <c r="L115" t="str">
        <f t="shared" si="1"/>
        <v/>
      </c>
    </row>
    <row r="116" spans="1:12" x14ac:dyDescent="0.3">
      <c r="A116" t="str">
        <f>IF('Raw Enrollments'!A116="","",'Raw Enrollments'!A116)</f>
        <v/>
      </c>
      <c r="B116" t="str">
        <f>IF(A116="","",'Raw Enrollments'!B116)</f>
        <v/>
      </c>
      <c r="C116" t="str">
        <f>IF(A116="","",'Raw Enrollments'!C116)</f>
        <v/>
      </c>
      <c r="D116" t="str">
        <f>IF(A116="","",'Raw Enrollments'!E116)</f>
        <v/>
      </c>
      <c r="E116" t="str">
        <f>IF('Raw Payments'!A116="","",'Raw Payments'!A116)</f>
        <v/>
      </c>
      <c r="F116" t="str">
        <f>IF(E116="","",'Raw Payments'!B116)</f>
        <v/>
      </c>
      <c r="G116" t="str">
        <f>IF(E116="","",'Raw Payments'!F116)</f>
        <v/>
      </c>
      <c r="H116" t="str">
        <f>IF(E116="","",'Raw Payments'!H116)</f>
        <v/>
      </c>
      <c r="I116" t="str">
        <f>IF(E116="","",'Raw Payments'!I116)</f>
        <v/>
      </c>
      <c r="J116" t="str">
        <f>IF(A116="","",IF(COUNTIF('Raw Payments'!$C:$C,A116)&gt;0,"Payment Linked","No Payment"))</f>
        <v/>
      </c>
      <c r="K116" t="str">
        <f>IF(F116="","Missing Reference",IF(COUNTIF('Raw Payments'!$B:$B,F116)&gt;1,"Possible Duplicate","Reference Present"))</f>
        <v>Missing Reference</v>
      </c>
      <c r="L116" t="str">
        <f t="shared" si="1"/>
        <v/>
      </c>
    </row>
    <row r="117" spans="1:12" x14ac:dyDescent="0.3">
      <c r="A117" t="str">
        <f>IF('Raw Enrollments'!A117="","",'Raw Enrollments'!A117)</f>
        <v/>
      </c>
      <c r="B117" t="str">
        <f>IF(A117="","",'Raw Enrollments'!B117)</f>
        <v/>
      </c>
      <c r="C117" t="str">
        <f>IF(A117="","",'Raw Enrollments'!C117)</f>
        <v/>
      </c>
      <c r="D117" t="str">
        <f>IF(A117="","",'Raw Enrollments'!E117)</f>
        <v/>
      </c>
      <c r="E117" t="str">
        <f>IF('Raw Payments'!A117="","",'Raw Payments'!A117)</f>
        <v/>
      </c>
      <c r="F117" t="str">
        <f>IF(E117="","",'Raw Payments'!B117)</f>
        <v/>
      </c>
      <c r="G117" t="str">
        <f>IF(E117="","",'Raw Payments'!F117)</f>
        <v/>
      </c>
      <c r="H117" t="str">
        <f>IF(E117="","",'Raw Payments'!H117)</f>
        <v/>
      </c>
      <c r="I117" t="str">
        <f>IF(E117="","",'Raw Payments'!I117)</f>
        <v/>
      </c>
      <c r="J117" t="str">
        <f>IF(A117="","",IF(COUNTIF('Raw Payments'!$C:$C,A117)&gt;0,"Payment Linked","No Payment"))</f>
        <v/>
      </c>
      <c r="K117" t="str">
        <f>IF(F117="","Missing Reference",IF(COUNTIF('Raw Payments'!$B:$B,F117)&gt;1,"Possible Duplicate","Reference Present"))</f>
        <v>Missing Reference</v>
      </c>
      <c r="L117" t="str">
        <f t="shared" si="1"/>
        <v/>
      </c>
    </row>
    <row r="118" spans="1:12" x14ac:dyDescent="0.3">
      <c r="A118" t="str">
        <f>IF('Raw Enrollments'!A118="","",'Raw Enrollments'!A118)</f>
        <v/>
      </c>
      <c r="B118" t="str">
        <f>IF(A118="","",'Raw Enrollments'!B118)</f>
        <v/>
      </c>
      <c r="C118" t="str">
        <f>IF(A118="","",'Raw Enrollments'!C118)</f>
        <v/>
      </c>
      <c r="D118" t="str">
        <f>IF(A118="","",'Raw Enrollments'!E118)</f>
        <v/>
      </c>
      <c r="E118" t="str">
        <f>IF('Raw Payments'!A118="","",'Raw Payments'!A118)</f>
        <v/>
      </c>
      <c r="F118" t="str">
        <f>IF(E118="","",'Raw Payments'!B118)</f>
        <v/>
      </c>
      <c r="G118" t="str">
        <f>IF(E118="","",'Raw Payments'!F118)</f>
        <v/>
      </c>
      <c r="H118" t="str">
        <f>IF(E118="","",'Raw Payments'!H118)</f>
        <v/>
      </c>
      <c r="I118" t="str">
        <f>IF(E118="","",'Raw Payments'!I118)</f>
        <v/>
      </c>
      <c r="J118" t="str">
        <f>IF(A118="","",IF(COUNTIF('Raw Payments'!$C:$C,A118)&gt;0,"Payment Linked","No Payment"))</f>
        <v/>
      </c>
      <c r="K118" t="str">
        <f>IF(F118="","Missing Reference",IF(COUNTIF('Raw Payments'!$B:$B,F118)&gt;1,"Possible Duplicate","Reference Present"))</f>
        <v>Missing Reference</v>
      </c>
      <c r="L118" t="str">
        <f t="shared" si="1"/>
        <v/>
      </c>
    </row>
    <row r="119" spans="1:12" x14ac:dyDescent="0.3">
      <c r="A119" t="str">
        <f>IF('Raw Enrollments'!A119="","",'Raw Enrollments'!A119)</f>
        <v/>
      </c>
      <c r="B119" t="str">
        <f>IF(A119="","",'Raw Enrollments'!B119)</f>
        <v/>
      </c>
      <c r="C119" t="str">
        <f>IF(A119="","",'Raw Enrollments'!C119)</f>
        <v/>
      </c>
      <c r="D119" t="str">
        <f>IF(A119="","",'Raw Enrollments'!E119)</f>
        <v/>
      </c>
      <c r="E119" t="str">
        <f>IF('Raw Payments'!A119="","",'Raw Payments'!A119)</f>
        <v/>
      </c>
      <c r="F119" t="str">
        <f>IF(E119="","",'Raw Payments'!B119)</f>
        <v/>
      </c>
      <c r="G119" t="str">
        <f>IF(E119="","",'Raw Payments'!F119)</f>
        <v/>
      </c>
      <c r="H119" t="str">
        <f>IF(E119="","",'Raw Payments'!H119)</f>
        <v/>
      </c>
      <c r="I119" t="str">
        <f>IF(E119="","",'Raw Payments'!I119)</f>
        <v/>
      </c>
      <c r="J119" t="str">
        <f>IF(A119="","",IF(COUNTIF('Raw Payments'!$C:$C,A119)&gt;0,"Payment Linked","No Payment"))</f>
        <v/>
      </c>
      <c r="K119" t="str">
        <f>IF(F119="","Missing Reference",IF(COUNTIF('Raw Payments'!$B:$B,F119)&gt;1,"Possible Duplicate","Reference Present"))</f>
        <v>Missing Reference</v>
      </c>
      <c r="L119" t="str">
        <f t="shared" si="1"/>
        <v/>
      </c>
    </row>
    <row r="120" spans="1:12" x14ac:dyDescent="0.3">
      <c r="A120" t="str">
        <f>IF('Raw Enrollments'!A120="","",'Raw Enrollments'!A120)</f>
        <v/>
      </c>
      <c r="B120" t="str">
        <f>IF(A120="","",'Raw Enrollments'!B120)</f>
        <v/>
      </c>
      <c r="C120" t="str">
        <f>IF(A120="","",'Raw Enrollments'!C120)</f>
        <v/>
      </c>
      <c r="D120" t="str">
        <f>IF(A120="","",'Raw Enrollments'!E120)</f>
        <v/>
      </c>
      <c r="E120" t="str">
        <f>IF('Raw Payments'!A120="","",'Raw Payments'!A120)</f>
        <v/>
      </c>
      <c r="F120" t="str">
        <f>IF(E120="","",'Raw Payments'!B120)</f>
        <v/>
      </c>
      <c r="G120" t="str">
        <f>IF(E120="","",'Raw Payments'!F120)</f>
        <v/>
      </c>
      <c r="H120" t="str">
        <f>IF(E120="","",'Raw Payments'!H120)</f>
        <v/>
      </c>
      <c r="I120" t="str">
        <f>IF(E120="","",'Raw Payments'!I120)</f>
        <v/>
      </c>
      <c r="J120" t="str">
        <f>IF(A120="","",IF(COUNTIF('Raw Payments'!$C:$C,A120)&gt;0,"Payment Linked","No Payment"))</f>
        <v/>
      </c>
      <c r="K120" t="str">
        <f>IF(F120="","Missing Reference",IF(COUNTIF('Raw Payments'!$B:$B,F120)&gt;1,"Possible Duplicate","Reference Present"))</f>
        <v>Missing Reference</v>
      </c>
      <c r="L120" t="str">
        <f t="shared" si="1"/>
        <v/>
      </c>
    </row>
    <row r="121" spans="1:12" x14ac:dyDescent="0.3">
      <c r="A121" t="str">
        <f>IF('Raw Enrollments'!A121="","",'Raw Enrollments'!A121)</f>
        <v/>
      </c>
      <c r="B121" t="str">
        <f>IF(A121="","",'Raw Enrollments'!B121)</f>
        <v/>
      </c>
      <c r="C121" t="str">
        <f>IF(A121="","",'Raw Enrollments'!C121)</f>
        <v/>
      </c>
      <c r="D121" t="str">
        <f>IF(A121="","",'Raw Enrollments'!E121)</f>
        <v/>
      </c>
      <c r="E121" t="str">
        <f>IF('Raw Payments'!A121="","",'Raw Payments'!A121)</f>
        <v/>
      </c>
      <c r="F121" t="str">
        <f>IF(E121="","",'Raw Payments'!B121)</f>
        <v/>
      </c>
      <c r="G121" t="str">
        <f>IF(E121="","",'Raw Payments'!F121)</f>
        <v/>
      </c>
      <c r="H121" t="str">
        <f>IF(E121="","",'Raw Payments'!H121)</f>
        <v/>
      </c>
      <c r="I121" t="str">
        <f>IF(E121="","",'Raw Payments'!I121)</f>
        <v/>
      </c>
      <c r="J121" t="str">
        <f>IF(A121="","",IF(COUNTIF('Raw Payments'!$C:$C,A121)&gt;0,"Payment Linked","No Payment"))</f>
        <v/>
      </c>
      <c r="K121" t="str">
        <f>IF(F121="","Missing Reference",IF(COUNTIF('Raw Payments'!$B:$B,F121)&gt;1,"Possible Duplicate","Reference Present"))</f>
        <v>Missing Reference</v>
      </c>
      <c r="L121" t="str">
        <f t="shared" si="1"/>
        <v/>
      </c>
    </row>
    <row r="122" spans="1:12" x14ac:dyDescent="0.3">
      <c r="A122" t="str">
        <f>IF('Raw Enrollments'!A122="","",'Raw Enrollments'!A122)</f>
        <v/>
      </c>
      <c r="B122" t="str">
        <f>IF(A122="","",'Raw Enrollments'!B122)</f>
        <v/>
      </c>
      <c r="C122" t="str">
        <f>IF(A122="","",'Raw Enrollments'!C122)</f>
        <v/>
      </c>
      <c r="D122" t="str">
        <f>IF(A122="","",'Raw Enrollments'!E122)</f>
        <v/>
      </c>
      <c r="E122" t="str">
        <f>IF('Raw Payments'!A122="","",'Raw Payments'!A122)</f>
        <v/>
      </c>
      <c r="F122" t="str">
        <f>IF(E122="","",'Raw Payments'!B122)</f>
        <v/>
      </c>
      <c r="G122" t="str">
        <f>IF(E122="","",'Raw Payments'!F122)</f>
        <v/>
      </c>
      <c r="H122" t="str">
        <f>IF(E122="","",'Raw Payments'!H122)</f>
        <v/>
      </c>
      <c r="I122" t="str">
        <f>IF(E122="","",'Raw Payments'!I122)</f>
        <v/>
      </c>
      <c r="J122" t="str">
        <f>IF(A122="","",IF(COUNTIF('Raw Payments'!$C:$C,A122)&gt;0,"Payment Linked","No Payment"))</f>
        <v/>
      </c>
      <c r="K122" t="str">
        <f>IF(F122="","Missing Reference",IF(COUNTIF('Raw Payments'!$B:$B,F122)&gt;1,"Possible Duplicate","Reference Present"))</f>
        <v>Missing Reference</v>
      </c>
      <c r="L122" t="str">
        <f t="shared" si="1"/>
        <v/>
      </c>
    </row>
    <row r="123" spans="1:12" x14ac:dyDescent="0.3">
      <c r="A123" t="str">
        <f>IF('Raw Enrollments'!A123="","",'Raw Enrollments'!A123)</f>
        <v/>
      </c>
      <c r="B123" t="str">
        <f>IF(A123="","",'Raw Enrollments'!B123)</f>
        <v/>
      </c>
      <c r="C123" t="str">
        <f>IF(A123="","",'Raw Enrollments'!C123)</f>
        <v/>
      </c>
      <c r="D123" t="str">
        <f>IF(A123="","",'Raw Enrollments'!E123)</f>
        <v/>
      </c>
      <c r="E123" t="str">
        <f>IF('Raw Payments'!A123="","",'Raw Payments'!A123)</f>
        <v/>
      </c>
      <c r="F123" t="str">
        <f>IF(E123="","",'Raw Payments'!B123)</f>
        <v/>
      </c>
      <c r="G123" t="str">
        <f>IF(E123="","",'Raw Payments'!F123)</f>
        <v/>
      </c>
      <c r="H123" t="str">
        <f>IF(E123="","",'Raw Payments'!H123)</f>
        <v/>
      </c>
      <c r="I123" t="str">
        <f>IF(E123="","",'Raw Payments'!I123)</f>
        <v/>
      </c>
      <c r="J123" t="str">
        <f>IF(A123="","",IF(COUNTIF('Raw Payments'!$C:$C,A123)&gt;0,"Payment Linked","No Payment"))</f>
        <v/>
      </c>
      <c r="K123" t="str">
        <f>IF(F123="","Missing Reference",IF(COUNTIF('Raw Payments'!$B:$B,F123)&gt;1,"Possible Duplicate","Reference Present"))</f>
        <v>Missing Reference</v>
      </c>
      <c r="L123" t="str">
        <f t="shared" si="1"/>
        <v/>
      </c>
    </row>
    <row r="124" spans="1:12" x14ac:dyDescent="0.3">
      <c r="A124" t="str">
        <f>IF('Raw Enrollments'!A124="","",'Raw Enrollments'!A124)</f>
        <v/>
      </c>
      <c r="B124" t="str">
        <f>IF(A124="","",'Raw Enrollments'!B124)</f>
        <v/>
      </c>
      <c r="C124" t="str">
        <f>IF(A124="","",'Raw Enrollments'!C124)</f>
        <v/>
      </c>
      <c r="D124" t="str">
        <f>IF(A124="","",'Raw Enrollments'!E124)</f>
        <v/>
      </c>
      <c r="E124" t="str">
        <f>IF('Raw Payments'!A124="","",'Raw Payments'!A124)</f>
        <v/>
      </c>
      <c r="F124" t="str">
        <f>IF(E124="","",'Raw Payments'!B124)</f>
        <v/>
      </c>
      <c r="G124" t="str">
        <f>IF(E124="","",'Raw Payments'!F124)</f>
        <v/>
      </c>
      <c r="H124" t="str">
        <f>IF(E124="","",'Raw Payments'!H124)</f>
        <v/>
      </c>
      <c r="I124" t="str">
        <f>IF(E124="","",'Raw Payments'!I124)</f>
        <v/>
      </c>
      <c r="J124" t="str">
        <f>IF(A124="","",IF(COUNTIF('Raw Payments'!$C:$C,A124)&gt;0,"Payment Linked","No Payment"))</f>
        <v/>
      </c>
      <c r="K124" t="str">
        <f>IF(F124="","Missing Reference",IF(COUNTIF('Raw Payments'!$B:$B,F124)&gt;1,"Possible Duplicate","Reference Present"))</f>
        <v>Missing Reference</v>
      </c>
      <c r="L124" t="str">
        <f t="shared" si="1"/>
        <v/>
      </c>
    </row>
    <row r="125" spans="1:12" x14ac:dyDescent="0.3">
      <c r="A125" t="str">
        <f>IF('Raw Enrollments'!A125="","",'Raw Enrollments'!A125)</f>
        <v/>
      </c>
      <c r="B125" t="str">
        <f>IF(A125="","",'Raw Enrollments'!B125)</f>
        <v/>
      </c>
      <c r="C125" t="str">
        <f>IF(A125="","",'Raw Enrollments'!C125)</f>
        <v/>
      </c>
      <c r="D125" t="str">
        <f>IF(A125="","",'Raw Enrollments'!E125)</f>
        <v/>
      </c>
      <c r="E125" t="str">
        <f>IF('Raw Payments'!A125="","",'Raw Payments'!A125)</f>
        <v/>
      </c>
      <c r="F125" t="str">
        <f>IF(E125="","",'Raw Payments'!B125)</f>
        <v/>
      </c>
      <c r="G125" t="str">
        <f>IF(E125="","",'Raw Payments'!F125)</f>
        <v/>
      </c>
      <c r="H125" t="str">
        <f>IF(E125="","",'Raw Payments'!H125)</f>
        <v/>
      </c>
      <c r="I125" t="str">
        <f>IF(E125="","",'Raw Payments'!I125)</f>
        <v/>
      </c>
      <c r="J125" t="str">
        <f>IF(A125="","",IF(COUNTIF('Raw Payments'!$C:$C,A125)&gt;0,"Payment Linked","No Payment"))</f>
        <v/>
      </c>
      <c r="K125" t="str">
        <f>IF(F125="","Missing Reference",IF(COUNTIF('Raw Payments'!$B:$B,F125)&gt;1,"Possible Duplicate","Reference Present"))</f>
        <v>Missing Reference</v>
      </c>
      <c r="L125" t="str">
        <f t="shared" si="1"/>
        <v/>
      </c>
    </row>
    <row r="126" spans="1:12" x14ac:dyDescent="0.3">
      <c r="A126" t="str">
        <f>IF('Raw Enrollments'!A126="","",'Raw Enrollments'!A126)</f>
        <v/>
      </c>
      <c r="B126" t="str">
        <f>IF(A126="","",'Raw Enrollments'!B126)</f>
        <v/>
      </c>
      <c r="C126" t="str">
        <f>IF(A126="","",'Raw Enrollments'!C126)</f>
        <v/>
      </c>
      <c r="D126" t="str">
        <f>IF(A126="","",'Raw Enrollments'!E126)</f>
        <v/>
      </c>
      <c r="E126" t="str">
        <f>IF('Raw Payments'!A126="","",'Raw Payments'!A126)</f>
        <v/>
      </c>
      <c r="F126" t="str">
        <f>IF(E126="","",'Raw Payments'!B126)</f>
        <v/>
      </c>
      <c r="G126" t="str">
        <f>IF(E126="","",'Raw Payments'!F126)</f>
        <v/>
      </c>
      <c r="H126" t="str">
        <f>IF(E126="","",'Raw Payments'!H126)</f>
        <v/>
      </c>
      <c r="I126" t="str">
        <f>IF(E126="","",'Raw Payments'!I126)</f>
        <v/>
      </c>
      <c r="J126" t="str">
        <f>IF(A126="","",IF(COUNTIF('Raw Payments'!$C:$C,A126)&gt;0,"Payment Linked","No Payment"))</f>
        <v/>
      </c>
      <c r="K126" t="str">
        <f>IF(F126="","Missing Reference",IF(COUNTIF('Raw Payments'!$B:$B,F126)&gt;1,"Possible Duplicate","Reference Present"))</f>
        <v>Missing Reference</v>
      </c>
      <c r="L126" t="str">
        <f t="shared" si="1"/>
        <v/>
      </c>
    </row>
    <row r="127" spans="1:12" x14ac:dyDescent="0.3">
      <c r="A127" t="str">
        <f>IF('Raw Enrollments'!A127="","",'Raw Enrollments'!A127)</f>
        <v/>
      </c>
      <c r="B127" t="str">
        <f>IF(A127="","",'Raw Enrollments'!B127)</f>
        <v/>
      </c>
      <c r="C127" t="str">
        <f>IF(A127="","",'Raw Enrollments'!C127)</f>
        <v/>
      </c>
      <c r="D127" t="str">
        <f>IF(A127="","",'Raw Enrollments'!E127)</f>
        <v/>
      </c>
      <c r="E127" t="str">
        <f>IF('Raw Payments'!A127="","",'Raw Payments'!A127)</f>
        <v/>
      </c>
      <c r="F127" t="str">
        <f>IF(E127="","",'Raw Payments'!B127)</f>
        <v/>
      </c>
      <c r="G127" t="str">
        <f>IF(E127="","",'Raw Payments'!F127)</f>
        <v/>
      </c>
      <c r="H127" t="str">
        <f>IF(E127="","",'Raw Payments'!H127)</f>
        <v/>
      </c>
      <c r="I127" t="str">
        <f>IF(E127="","",'Raw Payments'!I127)</f>
        <v/>
      </c>
      <c r="J127" t="str">
        <f>IF(A127="","",IF(COUNTIF('Raw Payments'!$C:$C,A127)&gt;0,"Payment Linked","No Payment"))</f>
        <v/>
      </c>
      <c r="K127" t="str">
        <f>IF(F127="","Missing Reference",IF(COUNTIF('Raw Payments'!$B:$B,F127)&gt;1,"Possible Duplicate","Reference Present"))</f>
        <v>Missing Reference</v>
      </c>
      <c r="L127" t="str">
        <f t="shared" si="1"/>
        <v/>
      </c>
    </row>
    <row r="128" spans="1:12" x14ac:dyDescent="0.3">
      <c r="A128" t="str">
        <f>IF('Raw Enrollments'!A128="","",'Raw Enrollments'!A128)</f>
        <v/>
      </c>
      <c r="B128" t="str">
        <f>IF(A128="","",'Raw Enrollments'!B128)</f>
        <v/>
      </c>
      <c r="C128" t="str">
        <f>IF(A128="","",'Raw Enrollments'!C128)</f>
        <v/>
      </c>
      <c r="D128" t="str">
        <f>IF(A128="","",'Raw Enrollments'!E128)</f>
        <v/>
      </c>
      <c r="E128" t="str">
        <f>IF('Raw Payments'!A128="","",'Raw Payments'!A128)</f>
        <v/>
      </c>
      <c r="F128" t="str">
        <f>IF(E128="","",'Raw Payments'!B128)</f>
        <v/>
      </c>
      <c r="G128" t="str">
        <f>IF(E128="","",'Raw Payments'!F128)</f>
        <v/>
      </c>
      <c r="H128" t="str">
        <f>IF(E128="","",'Raw Payments'!H128)</f>
        <v/>
      </c>
      <c r="I128" t="str">
        <f>IF(E128="","",'Raw Payments'!I128)</f>
        <v/>
      </c>
      <c r="J128" t="str">
        <f>IF(A128="","",IF(COUNTIF('Raw Payments'!$C:$C,A128)&gt;0,"Payment Linked","No Payment"))</f>
        <v/>
      </c>
      <c r="K128" t="str">
        <f>IF(F128="","Missing Reference",IF(COUNTIF('Raw Payments'!$B:$B,F128)&gt;1,"Possible Duplicate","Reference Present"))</f>
        <v>Missing Reference</v>
      </c>
      <c r="L128" t="str">
        <f t="shared" si="1"/>
        <v/>
      </c>
    </row>
    <row r="129" spans="1:12" x14ac:dyDescent="0.3">
      <c r="A129" t="str">
        <f>IF('Raw Enrollments'!A129="","",'Raw Enrollments'!A129)</f>
        <v/>
      </c>
      <c r="B129" t="str">
        <f>IF(A129="","",'Raw Enrollments'!B129)</f>
        <v/>
      </c>
      <c r="C129" t="str">
        <f>IF(A129="","",'Raw Enrollments'!C129)</f>
        <v/>
      </c>
      <c r="D129" t="str">
        <f>IF(A129="","",'Raw Enrollments'!E129)</f>
        <v/>
      </c>
      <c r="E129" t="str">
        <f>IF('Raw Payments'!A129="","",'Raw Payments'!A129)</f>
        <v/>
      </c>
      <c r="F129" t="str">
        <f>IF(E129="","",'Raw Payments'!B129)</f>
        <v/>
      </c>
      <c r="G129" t="str">
        <f>IF(E129="","",'Raw Payments'!F129)</f>
        <v/>
      </c>
      <c r="H129" t="str">
        <f>IF(E129="","",'Raw Payments'!H129)</f>
        <v/>
      </c>
      <c r="I129" t="str">
        <f>IF(E129="","",'Raw Payments'!I129)</f>
        <v/>
      </c>
      <c r="J129" t="str">
        <f>IF(A129="","",IF(COUNTIF('Raw Payments'!$C:$C,A129)&gt;0,"Payment Linked","No Payment"))</f>
        <v/>
      </c>
      <c r="K129" t="str">
        <f>IF(F129="","Missing Reference",IF(COUNTIF('Raw Payments'!$B:$B,F129)&gt;1,"Possible Duplicate","Reference Present"))</f>
        <v>Missing Reference</v>
      </c>
      <c r="L129" t="str">
        <f t="shared" si="1"/>
        <v/>
      </c>
    </row>
    <row r="130" spans="1:12" x14ac:dyDescent="0.3">
      <c r="A130" t="str">
        <f>IF('Raw Enrollments'!A130="","",'Raw Enrollments'!A130)</f>
        <v/>
      </c>
      <c r="B130" t="str">
        <f>IF(A130="","",'Raw Enrollments'!B130)</f>
        <v/>
      </c>
      <c r="C130" t="str">
        <f>IF(A130="","",'Raw Enrollments'!C130)</f>
        <v/>
      </c>
      <c r="D130" t="str">
        <f>IF(A130="","",'Raw Enrollments'!E130)</f>
        <v/>
      </c>
      <c r="E130" t="str">
        <f>IF('Raw Payments'!A130="","",'Raw Payments'!A130)</f>
        <v/>
      </c>
      <c r="F130" t="str">
        <f>IF(E130="","",'Raw Payments'!B130)</f>
        <v/>
      </c>
      <c r="G130" t="str">
        <f>IF(E130="","",'Raw Payments'!F130)</f>
        <v/>
      </c>
      <c r="H130" t="str">
        <f>IF(E130="","",'Raw Payments'!H130)</f>
        <v/>
      </c>
      <c r="I130" t="str">
        <f>IF(E130="","",'Raw Payments'!I130)</f>
        <v/>
      </c>
      <c r="J130" t="str">
        <f>IF(A130="","",IF(COUNTIF('Raw Payments'!$C:$C,A130)&gt;0,"Payment Linked","No Payment"))</f>
        <v/>
      </c>
      <c r="K130" t="str">
        <f>IF(F130="","Missing Reference",IF(COUNTIF('Raw Payments'!$B:$B,F130)&gt;1,"Possible Duplicate","Reference Present"))</f>
        <v>Missing Reference</v>
      </c>
      <c r="L130" t="str">
        <f t="shared" si="1"/>
        <v/>
      </c>
    </row>
    <row r="131" spans="1:12" x14ac:dyDescent="0.3">
      <c r="A131" t="str">
        <f>IF('Raw Enrollments'!A131="","",'Raw Enrollments'!A131)</f>
        <v/>
      </c>
      <c r="B131" t="str">
        <f>IF(A131="","",'Raw Enrollments'!B131)</f>
        <v/>
      </c>
      <c r="C131" t="str">
        <f>IF(A131="","",'Raw Enrollments'!C131)</f>
        <v/>
      </c>
      <c r="D131" t="str">
        <f>IF(A131="","",'Raw Enrollments'!E131)</f>
        <v/>
      </c>
      <c r="E131" t="str">
        <f>IF('Raw Payments'!A131="","",'Raw Payments'!A131)</f>
        <v/>
      </c>
      <c r="F131" t="str">
        <f>IF(E131="","",'Raw Payments'!B131)</f>
        <v/>
      </c>
      <c r="G131" t="str">
        <f>IF(E131="","",'Raw Payments'!F131)</f>
        <v/>
      </c>
      <c r="H131" t="str">
        <f>IF(E131="","",'Raw Payments'!H131)</f>
        <v/>
      </c>
      <c r="I131" t="str">
        <f>IF(E131="","",'Raw Payments'!I131)</f>
        <v/>
      </c>
      <c r="J131" t="str">
        <f>IF(A131="","",IF(COUNTIF('Raw Payments'!$C:$C,A131)&gt;0,"Payment Linked","No Payment"))</f>
        <v/>
      </c>
      <c r="K131" t="str">
        <f>IF(F131="","Missing Reference",IF(COUNTIF('Raw Payments'!$B:$B,F131)&gt;1,"Possible Duplicate","Reference Present"))</f>
        <v>Missing Reference</v>
      </c>
      <c r="L131" t="str">
        <f t="shared" si="1"/>
        <v/>
      </c>
    </row>
    <row r="132" spans="1:12" x14ac:dyDescent="0.3">
      <c r="A132" t="str">
        <f>IF('Raw Enrollments'!A132="","",'Raw Enrollments'!A132)</f>
        <v/>
      </c>
      <c r="B132" t="str">
        <f>IF(A132="","",'Raw Enrollments'!B132)</f>
        <v/>
      </c>
      <c r="C132" t="str">
        <f>IF(A132="","",'Raw Enrollments'!C132)</f>
        <v/>
      </c>
      <c r="D132" t="str">
        <f>IF(A132="","",'Raw Enrollments'!E132)</f>
        <v/>
      </c>
      <c r="E132" t="str">
        <f>IF('Raw Payments'!A132="","",'Raw Payments'!A132)</f>
        <v/>
      </c>
      <c r="F132" t="str">
        <f>IF(E132="","",'Raw Payments'!B132)</f>
        <v/>
      </c>
      <c r="G132" t="str">
        <f>IF(E132="","",'Raw Payments'!F132)</f>
        <v/>
      </c>
      <c r="H132" t="str">
        <f>IF(E132="","",'Raw Payments'!H132)</f>
        <v/>
      </c>
      <c r="I132" t="str">
        <f>IF(E132="","",'Raw Payments'!I132)</f>
        <v/>
      </c>
      <c r="J132" t="str">
        <f>IF(A132="","",IF(COUNTIF('Raw Payments'!$C:$C,A132)&gt;0,"Payment Linked","No Payment"))</f>
        <v/>
      </c>
      <c r="K132" t="str">
        <f>IF(F132="","Missing Reference",IF(COUNTIF('Raw Payments'!$B:$B,F132)&gt;1,"Possible Duplicate","Reference Present"))</f>
        <v>Missing Reference</v>
      </c>
      <c r="L132" t="str">
        <f t="shared" si="1"/>
        <v/>
      </c>
    </row>
    <row r="133" spans="1:12" x14ac:dyDescent="0.3">
      <c r="A133" t="str">
        <f>IF('Raw Enrollments'!A133="","",'Raw Enrollments'!A133)</f>
        <v/>
      </c>
      <c r="B133" t="str">
        <f>IF(A133="","",'Raw Enrollments'!B133)</f>
        <v/>
      </c>
      <c r="C133" t="str">
        <f>IF(A133="","",'Raw Enrollments'!C133)</f>
        <v/>
      </c>
      <c r="D133" t="str">
        <f>IF(A133="","",'Raw Enrollments'!E133)</f>
        <v/>
      </c>
      <c r="E133" t="str">
        <f>IF('Raw Payments'!A133="","",'Raw Payments'!A133)</f>
        <v/>
      </c>
      <c r="F133" t="str">
        <f>IF(E133="","",'Raw Payments'!B133)</f>
        <v/>
      </c>
      <c r="G133" t="str">
        <f>IF(E133="","",'Raw Payments'!F133)</f>
        <v/>
      </c>
      <c r="H133" t="str">
        <f>IF(E133="","",'Raw Payments'!H133)</f>
        <v/>
      </c>
      <c r="I133" t="str">
        <f>IF(E133="","",'Raw Payments'!I133)</f>
        <v/>
      </c>
      <c r="J133" t="str">
        <f>IF(A133="","",IF(COUNTIF('Raw Payments'!$C:$C,A133)&gt;0,"Payment Linked","No Payment"))</f>
        <v/>
      </c>
      <c r="K133" t="str">
        <f>IF(F133="","Missing Reference",IF(COUNTIF('Raw Payments'!$B:$B,F133)&gt;1,"Possible Duplicate","Reference Present"))</f>
        <v>Missing Reference</v>
      </c>
      <c r="L133" t="str">
        <f t="shared" ref="L133:L196" si="2">IF(A133="","",IF(OR(J133="No Payment",K133="Missing Reference",K133="Possible Duplicate",H133=""),"Review","Check Student/Course/Status"))</f>
        <v/>
      </c>
    </row>
    <row r="134" spans="1:12" x14ac:dyDescent="0.3">
      <c r="A134" t="str">
        <f>IF('Raw Enrollments'!A134="","",'Raw Enrollments'!A134)</f>
        <v/>
      </c>
      <c r="B134" t="str">
        <f>IF(A134="","",'Raw Enrollments'!B134)</f>
        <v/>
      </c>
      <c r="C134" t="str">
        <f>IF(A134="","",'Raw Enrollments'!C134)</f>
        <v/>
      </c>
      <c r="D134" t="str">
        <f>IF(A134="","",'Raw Enrollments'!E134)</f>
        <v/>
      </c>
      <c r="E134" t="str">
        <f>IF('Raw Payments'!A134="","",'Raw Payments'!A134)</f>
        <v/>
      </c>
      <c r="F134" t="str">
        <f>IF(E134="","",'Raw Payments'!B134)</f>
        <v/>
      </c>
      <c r="G134" t="str">
        <f>IF(E134="","",'Raw Payments'!F134)</f>
        <v/>
      </c>
      <c r="H134" t="str">
        <f>IF(E134="","",'Raw Payments'!H134)</f>
        <v/>
      </c>
      <c r="I134" t="str">
        <f>IF(E134="","",'Raw Payments'!I134)</f>
        <v/>
      </c>
      <c r="J134" t="str">
        <f>IF(A134="","",IF(COUNTIF('Raw Payments'!$C:$C,A134)&gt;0,"Payment Linked","No Payment"))</f>
        <v/>
      </c>
      <c r="K134" t="str">
        <f>IF(F134="","Missing Reference",IF(COUNTIF('Raw Payments'!$B:$B,F134)&gt;1,"Possible Duplicate","Reference Present"))</f>
        <v>Missing Reference</v>
      </c>
      <c r="L134" t="str">
        <f t="shared" si="2"/>
        <v/>
      </c>
    </row>
    <row r="135" spans="1:12" x14ac:dyDescent="0.3">
      <c r="A135" t="str">
        <f>IF('Raw Enrollments'!A135="","",'Raw Enrollments'!A135)</f>
        <v/>
      </c>
      <c r="B135" t="str">
        <f>IF(A135="","",'Raw Enrollments'!B135)</f>
        <v/>
      </c>
      <c r="C135" t="str">
        <f>IF(A135="","",'Raw Enrollments'!C135)</f>
        <v/>
      </c>
      <c r="D135" t="str">
        <f>IF(A135="","",'Raw Enrollments'!E135)</f>
        <v/>
      </c>
      <c r="E135" t="str">
        <f>IF('Raw Payments'!A135="","",'Raw Payments'!A135)</f>
        <v/>
      </c>
      <c r="F135" t="str">
        <f>IF(E135="","",'Raw Payments'!B135)</f>
        <v/>
      </c>
      <c r="G135" t="str">
        <f>IF(E135="","",'Raw Payments'!F135)</f>
        <v/>
      </c>
      <c r="H135" t="str">
        <f>IF(E135="","",'Raw Payments'!H135)</f>
        <v/>
      </c>
      <c r="I135" t="str">
        <f>IF(E135="","",'Raw Payments'!I135)</f>
        <v/>
      </c>
      <c r="J135" t="str">
        <f>IF(A135="","",IF(COUNTIF('Raw Payments'!$C:$C,A135)&gt;0,"Payment Linked","No Payment"))</f>
        <v/>
      </c>
      <c r="K135" t="str">
        <f>IF(F135="","Missing Reference",IF(COUNTIF('Raw Payments'!$B:$B,F135)&gt;1,"Possible Duplicate","Reference Present"))</f>
        <v>Missing Reference</v>
      </c>
      <c r="L135" t="str">
        <f t="shared" si="2"/>
        <v/>
      </c>
    </row>
    <row r="136" spans="1:12" x14ac:dyDescent="0.3">
      <c r="A136" t="str">
        <f>IF('Raw Enrollments'!A136="","",'Raw Enrollments'!A136)</f>
        <v/>
      </c>
      <c r="B136" t="str">
        <f>IF(A136="","",'Raw Enrollments'!B136)</f>
        <v/>
      </c>
      <c r="C136" t="str">
        <f>IF(A136="","",'Raw Enrollments'!C136)</f>
        <v/>
      </c>
      <c r="D136" t="str">
        <f>IF(A136="","",'Raw Enrollments'!E136)</f>
        <v/>
      </c>
      <c r="E136" t="str">
        <f>IF('Raw Payments'!A136="","",'Raw Payments'!A136)</f>
        <v/>
      </c>
      <c r="F136" t="str">
        <f>IF(E136="","",'Raw Payments'!B136)</f>
        <v/>
      </c>
      <c r="G136" t="str">
        <f>IF(E136="","",'Raw Payments'!F136)</f>
        <v/>
      </c>
      <c r="H136" t="str">
        <f>IF(E136="","",'Raw Payments'!H136)</f>
        <v/>
      </c>
      <c r="I136" t="str">
        <f>IF(E136="","",'Raw Payments'!I136)</f>
        <v/>
      </c>
      <c r="J136" t="str">
        <f>IF(A136="","",IF(COUNTIF('Raw Payments'!$C:$C,A136)&gt;0,"Payment Linked","No Payment"))</f>
        <v/>
      </c>
      <c r="K136" t="str">
        <f>IF(F136="","Missing Reference",IF(COUNTIF('Raw Payments'!$B:$B,F136)&gt;1,"Possible Duplicate","Reference Present"))</f>
        <v>Missing Reference</v>
      </c>
      <c r="L136" t="str">
        <f t="shared" si="2"/>
        <v/>
      </c>
    </row>
    <row r="137" spans="1:12" x14ac:dyDescent="0.3">
      <c r="A137" t="str">
        <f>IF('Raw Enrollments'!A137="","",'Raw Enrollments'!A137)</f>
        <v/>
      </c>
      <c r="B137" t="str">
        <f>IF(A137="","",'Raw Enrollments'!B137)</f>
        <v/>
      </c>
      <c r="C137" t="str">
        <f>IF(A137="","",'Raw Enrollments'!C137)</f>
        <v/>
      </c>
      <c r="D137" t="str">
        <f>IF(A137="","",'Raw Enrollments'!E137)</f>
        <v/>
      </c>
      <c r="E137" t="str">
        <f>IF('Raw Payments'!A137="","",'Raw Payments'!A137)</f>
        <v/>
      </c>
      <c r="F137" t="str">
        <f>IF(E137="","",'Raw Payments'!B137)</f>
        <v/>
      </c>
      <c r="G137" t="str">
        <f>IF(E137="","",'Raw Payments'!F137)</f>
        <v/>
      </c>
      <c r="H137" t="str">
        <f>IF(E137="","",'Raw Payments'!H137)</f>
        <v/>
      </c>
      <c r="I137" t="str">
        <f>IF(E137="","",'Raw Payments'!I137)</f>
        <v/>
      </c>
      <c r="J137" t="str">
        <f>IF(A137="","",IF(COUNTIF('Raw Payments'!$C:$C,A137)&gt;0,"Payment Linked","No Payment"))</f>
        <v/>
      </c>
      <c r="K137" t="str">
        <f>IF(F137="","Missing Reference",IF(COUNTIF('Raw Payments'!$B:$B,F137)&gt;1,"Possible Duplicate","Reference Present"))</f>
        <v>Missing Reference</v>
      </c>
      <c r="L137" t="str">
        <f t="shared" si="2"/>
        <v/>
      </c>
    </row>
    <row r="138" spans="1:12" x14ac:dyDescent="0.3">
      <c r="A138" t="str">
        <f>IF('Raw Enrollments'!A138="","",'Raw Enrollments'!A138)</f>
        <v/>
      </c>
      <c r="B138" t="str">
        <f>IF(A138="","",'Raw Enrollments'!B138)</f>
        <v/>
      </c>
      <c r="C138" t="str">
        <f>IF(A138="","",'Raw Enrollments'!C138)</f>
        <v/>
      </c>
      <c r="D138" t="str">
        <f>IF(A138="","",'Raw Enrollments'!E138)</f>
        <v/>
      </c>
      <c r="E138" t="str">
        <f>IF('Raw Payments'!A138="","",'Raw Payments'!A138)</f>
        <v/>
      </c>
      <c r="F138" t="str">
        <f>IF(E138="","",'Raw Payments'!B138)</f>
        <v/>
      </c>
      <c r="G138" t="str">
        <f>IF(E138="","",'Raw Payments'!F138)</f>
        <v/>
      </c>
      <c r="H138" t="str">
        <f>IF(E138="","",'Raw Payments'!H138)</f>
        <v/>
      </c>
      <c r="I138" t="str">
        <f>IF(E138="","",'Raw Payments'!I138)</f>
        <v/>
      </c>
      <c r="J138" t="str">
        <f>IF(A138="","",IF(COUNTIF('Raw Payments'!$C:$C,A138)&gt;0,"Payment Linked","No Payment"))</f>
        <v/>
      </c>
      <c r="K138" t="str">
        <f>IF(F138="","Missing Reference",IF(COUNTIF('Raw Payments'!$B:$B,F138)&gt;1,"Possible Duplicate","Reference Present"))</f>
        <v>Missing Reference</v>
      </c>
      <c r="L138" t="str">
        <f t="shared" si="2"/>
        <v/>
      </c>
    </row>
    <row r="139" spans="1:12" x14ac:dyDescent="0.3">
      <c r="A139" t="str">
        <f>IF('Raw Enrollments'!A139="","",'Raw Enrollments'!A139)</f>
        <v/>
      </c>
      <c r="B139" t="str">
        <f>IF(A139="","",'Raw Enrollments'!B139)</f>
        <v/>
      </c>
      <c r="C139" t="str">
        <f>IF(A139="","",'Raw Enrollments'!C139)</f>
        <v/>
      </c>
      <c r="D139" t="str">
        <f>IF(A139="","",'Raw Enrollments'!E139)</f>
        <v/>
      </c>
      <c r="E139" t="str">
        <f>IF('Raw Payments'!A139="","",'Raw Payments'!A139)</f>
        <v/>
      </c>
      <c r="F139" t="str">
        <f>IF(E139="","",'Raw Payments'!B139)</f>
        <v/>
      </c>
      <c r="G139" t="str">
        <f>IF(E139="","",'Raw Payments'!F139)</f>
        <v/>
      </c>
      <c r="H139" t="str">
        <f>IF(E139="","",'Raw Payments'!H139)</f>
        <v/>
      </c>
      <c r="I139" t="str">
        <f>IF(E139="","",'Raw Payments'!I139)</f>
        <v/>
      </c>
      <c r="J139" t="str">
        <f>IF(A139="","",IF(COUNTIF('Raw Payments'!$C:$C,A139)&gt;0,"Payment Linked","No Payment"))</f>
        <v/>
      </c>
      <c r="K139" t="str">
        <f>IF(F139="","Missing Reference",IF(COUNTIF('Raw Payments'!$B:$B,F139)&gt;1,"Possible Duplicate","Reference Present"))</f>
        <v>Missing Reference</v>
      </c>
      <c r="L139" t="str">
        <f t="shared" si="2"/>
        <v/>
      </c>
    </row>
    <row r="140" spans="1:12" x14ac:dyDescent="0.3">
      <c r="A140" t="str">
        <f>IF('Raw Enrollments'!A140="","",'Raw Enrollments'!A140)</f>
        <v/>
      </c>
      <c r="B140" t="str">
        <f>IF(A140="","",'Raw Enrollments'!B140)</f>
        <v/>
      </c>
      <c r="C140" t="str">
        <f>IF(A140="","",'Raw Enrollments'!C140)</f>
        <v/>
      </c>
      <c r="D140" t="str">
        <f>IF(A140="","",'Raw Enrollments'!E140)</f>
        <v/>
      </c>
      <c r="E140" t="str">
        <f>IF('Raw Payments'!A140="","",'Raw Payments'!A140)</f>
        <v/>
      </c>
      <c r="F140" t="str">
        <f>IF(E140="","",'Raw Payments'!B140)</f>
        <v/>
      </c>
      <c r="G140" t="str">
        <f>IF(E140="","",'Raw Payments'!F140)</f>
        <v/>
      </c>
      <c r="H140" t="str">
        <f>IF(E140="","",'Raw Payments'!H140)</f>
        <v/>
      </c>
      <c r="I140" t="str">
        <f>IF(E140="","",'Raw Payments'!I140)</f>
        <v/>
      </c>
      <c r="J140" t="str">
        <f>IF(A140="","",IF(COUNTIF('Raw Payments'!$C:$C,A140)&gt;0,"Payment Linked","No Payment"))</f>
        <v/>
      </c>
      <c r="K140" t="str">
        <f>IF(F140="","Missing Reference",IF(COUNTIF('Raw Payments'!$B:$B,F140)&gt;1,"Possible Duplicate","Reference Present"))</f>
        <v>Missing Reference</v>
      </c>
      <c r="L140" t="str">
        <f t="shared" si="2"/>
        <v/>
      </c>
    </row>
    <row r="141" spans="1:12" x14ac:dyDescent="0.3">
      <c r="A141" t="str">
        <f>IF('Raw Enrollments'!A141="","",'Raw Enrollments'!A141)</f>
        <v/>
      </c>
      <c r="B141" t="str">
        <f>IF(A141="","",'Raw Enrollments'!B141)</f>
        <v/>
      </c>
      <c r="C141" t="str">
        <f>IF(A141="","",'Raw Enrollments'!C141)</f>
        <v/>
      </c>
      <c r="D141" t="str">
        <f>IF(A141="","",'Raw Enrollments'!E141)</f>
        <v/>
      </c>
      <c r="E141" t="str">
        <f>IF('Raw Payments'!A141="","",'Raw Payments'!A141)</f>
        <v/>
      </c>
      <c r="F141" t="str">
        <f>IF(E141="","",'Raw Payments'!B141)</f>
        <v/>
      </c>
      <c r="G141" t="str">
        <f>IF(E141="","",'Raw Payments'!F141)</f>
        <v/>
      </c>
      <c r="H141" t="str">
        <f>IF(E141="","",'Raw Payments'!H141)</f>
        <v/>
      </c>
      <c r="I141" t="str">
        <f>IF(E141="","",'Raw Payments'!I141)</f>
        <v/>
      </c>
      <c r="J141" t="str">
        <f>IF(A141="","",IF(COUNTIF('Raw Payments'!$C:$C,A141)&gt;0,"Payment Linked","No Payment"))</f>
        <v/>
      </c>
      <c r="K141" t="str">
        <f>IF(F141="","Missing Reference",IF(COUNTIF('Raw Payments'!$B:$B,F141)&gt;1,"Possible Duplicate","Reference Present"))</f>
        <v>Missing Reference</v>
      </c>
      <c r="L141" t="str">
        <f t="shared" si="2"/>
        <v/>
      </c>
    </row>
    <row r="142" spans="1:12" x14ac:dyDescent="0.3">
      <c r="A142" t="str">
        <f>IF('Raw Enrollments'!A142="","",'Raw Enrollments'!A142)</f>
        <v/>
      </c>
      <c r="B142" t="str">
        <f>IF(A142="","",'Raw Enrollments'!B142)</f>
        <v/>
      </c>
      <c r="C142" t="str">
        <f>IF(A142="","",'Raw Enrollments'!C142)</f>
        <v/>
      </c>
      <c r="D142" t="str">
        <f>IF(A142="","",'Raw Enrollments'!E142)</f>
        <v/>
      </c>
      <c r="E142" t="str">
        <f>IF('Raw Payments'!A142="","",'Raw Payments'!A142)</f>
        <v/>
      </c>
      <c r="F142" t="str">
        <f>IF(E142="","",'Raw Payments'!B142)</f>
        <v/>
      </c>
      <c r="G142" t="str">
        <f>IF(E142="","",'Raw Payments'!F142)</f>
        <v/>
      </c>
      <c r="H142" t="str">
        <f>IF(E142="","",'Raw Payments'!H142)</f>
        <v/>
      </c>
      <c r="I142" t="str">
        <f>IF(E142="","",'Raw Payments'!I142)</f>
        <v/>
      </c>
      <c r="J142" t="str">
        <f>IF(A142="","",IF(COUNTIF('Raw Payments'!$C:$C,A142)&gt;0,"Payment Linked","No Payment"))</f>
        <v/>
      </c>
      <c r="K142" t="str">
        <f>IF(F142="","Missing Reference",IF(COUNTIF('Raw Payments'!$B:$B,F142)&gt;1,"Possible Duplicate","Reference Present"))</f>
        <v>Missing Reference</v>
      </c>
      <c r="L142" t="str">
        <f t="shared" si="2"/>
        <v/>
      </c>
    </row>
    <row r="143" spans="1:12" x14ac:dyDescent="0.3">
      <c r="A143" t="str">
        <f>IF('Raw Enrollments'!A143="","",'Raw Enrollments'!A143)</f>
        <v/>
      </c>
      <c r="B143" t="str">
        <f>IF(A143="","",'Raw Enrollments'!B143)</f>
        <v/>
      </c>
      <c r="C143" t="str">
        <f>IF(A143="","",'Raw Enrollments'!C143)</f>
        <v/>
      </c>
      <c r="D143" t="str">
        <f>IF(A143="","",'Raw Enrollments'!E143)</f>
        <v/>
      </c>
      <c r="E143" t="str">
        <f>IF('Raw Payments'!A143="","",'Raw Payments'!A143)</f>
        <v/>
      </c>
      <c r="F143" t="str">
        <f>IF(E143="","",'Raw Payments'!B143)</f>
        <v/>
      </c>
      <c r="G143" t="str">
        <f>IF(E143="","",'Raw Payments'!F143)</f>
        <v/>
      </c>
      <c r="H143" t="str">
        <f>IF(E143="","",'Raw Payments'!H143)</f>
        <v/>
      </c>
      <c r="I143" t="str">
        <f>IF(E143="","",'Raw Payments'!I143)</f>
        <v/>
      </c>
      <c r="J143" t="str">
        <f>IF(A143="","",IF(COUNTIF('Raw Payments'!$C:$C,A143)&gt;0,"Payment Linked","No Payment"))</f>
        <v/>
      </c>
      <c r="K143" t="str">
        <f>IF(F143="","Missing Reference",IF(COUNTIF('Raw Payments'!$B:$B,F143)&gt;1,"Possible Duplicate","Reference Present"))</f>
        <v>Missing Reference</v>
      </c>
      <c r="L143" t="str">
        <f t="shared" si="2"/>
        <v/>
      </c>
    </row>
    <row r="144" spans="1:12" x14ac:dyDescent="0.3">
      <c r="A144" t="str">
        <f>IF('Raw Enrollments'!A144="","",'Raw Enrollments'!A144)</f>
        <v/>
      </c>
      <c r="B144" t="str">
        <f>IF(A144="","",'Raw Enrollments'!B144)</f>
        <v/>
      </c>
      <c r="C144" t="str">
        <f>IF(A144="","",'Raw Enrollments'!C144)</f>
        <v/>
      </c>
      <c r="D144" t="str">
        <f>IF(A144="","",'Raw Enrollments'!E144)</f>
        <v/>
      </c>
      <c r="E144" t="str">
        <f>IF('Raw Payments'!A144="","",'Raw Payments'!A144)</f>
        <v/>
      </c>
      <c r="F144" t="str">
        <f>IF(E144="","",'Raw Payments'!B144)</f>
        <v/>
      </c>
      <c r="G144" t="str">
        <f>IF(E144="","",'Raw Payments'!F144)</f>
        <v/>
      </c>
      <c r="H144" t="str">
        <f>IF(E144="","",'Raw Payments'!H144)</f>
        <v/>
      </c>
      <c r="I144" t="str">
        <f>IF(E144="","",'Raw Payments'!I144)</f>
        <v/>
      </c>
      <c r="J144" t="str">
        <f>IF(A144="","",IF(COUNTIF('Raw Payments'!$C:$C,A144)&gt;0,"Payment Linked","No Payment"))</f>
        <v/>
      </c>
      <c r="K144" t="str">
        <f>IF(F144="","Missing Reference",IF(COUNTIF('Raw Payments'!$B:$B,F144)&gt;1,"Possible Duplicate","Reference Present"))</f>
        <v>Missing Reference</v>
      </c>
      <c r="L144" t="str">
        <f t="shared" si="2"/>
        <v/>
      </c>
    </row>
    <row r="145" spans="1:12" x14ac:dyDescent="0.3">
      <c r="A145" t="str">
        <f>IF('Raw Enrollments'!A145="","",'Raw Enrollments'!A145)</f>
        <v/>
      </c>
      <c r="B145" t="str">
        <f>IF(A145="","",'Raw Enrollments'!B145)</f>
        <v/>
      </c>
      <c r="C145" t="str">
        <f>IF(A145="","",'Raw Enrollments'!C145)</f>
        <v/>
      </c>
      <c r="D145" t="str">
        <f>IF(A145="","",'Raw Enrollments'!E145)</f>
        <v/>
      </c>
      <c r="E145" t="str">
        <f>IF('Raw Payments'!A145="","",'Raw Payments'!A145)</f>
        <v/>
      </c>
      <c r="F145" t="str">
        <f>IF(E145="","",'Raw Payments'!B145)</f>
        <v/>
      </c>
      <c r="G145" t="str">
        <f>IF(E145="","",'Raw Payments'!F145)</f>
        <v/>
      </c>
      <c r="H145" t="str">
        <f>IF(E145="","",'Raw Payments'!H145)</f>
        <v/>
      </c>
      <c r="I145" t="str">
        <f>IF(E145="","",'Raw Payments'!I145)</f>
        <v/>
      </c>
      <c r="J145" t="str">
        <f>IF(A145="","",IF(COUNTIF('Raw Payments'!$C:$C,A145)&gt;0,"Payment Linked","No Payment"))</f>
        <v/>
      </c>
      <c r="K145" t="str">
        <f>IF(F145="","Missing Reference",IF(COUNTIF('Raw Payments'!$B:$B,F145)&gt;1,"Possible Duplicate","Reference Present"))</f>
        <v>Missing Reference</v>
      </c>
      <c r="L145" t="str">
        <f t="shared" si="2"/>
        <v/>
      </c>
    </row>
    <row r="146" spans="1:12" x14ac:dyDescent="0.3">
      <c r="A146" t="str">
        <f>IF('Raw Enrollments'!A146="","",'Raw Enrollments'!A146)</f>
        <v/>
      </c>
      <c r="B146" t="str">
        <f>IF(A146="","",'Raw Enrollments'!B146)</f>
        <v/>
      </c>
      <c r="C146" t="str">
        <f>IF(A146="","",'Raw Enrollments'!C146)</f>
        <v/>
      </c>
      <c r="D146" t="str">
        <f>IF(A146="","",'Raw Enrollments'!E146)</f>
        <v/>
      </c>
      <c r="E146" t="str">
        <f>IF('Raw Payments'!A146="","",'Raw Payments'!A146)</f>
        <v/>
      </c>
      <c r="F146" t="str">
        <f>IF(E146="","",'Raw Payments'!B146)</f>
        <v/>
      </c>
      <c r="G146" t="str">
        <f>IF(E146="","",'Raw Payments'!F146)</f>
        <v/>
      </c>
      <c r="H146" t="str">
        <f>IF(E146="","",'Raw Payments'!H146)</f>
        <v/>
      </c>
      <c r="I146" t="str">
        <f>IF(E146="","",'Raw Payments'!I146)</f>
        <v/>
      </c>
      <c r="J146" t="str">
        <f>IF(A146="","",IF(COUNTIF('Raw Payments'!$C:$C,A146)&gt;0,"Payment Linked","No Payment"))</f>
        <v/>
      </c>
      <c r="K146" t="str">
        <f>IF(F146="","Missing Reference",IF(COUNTIF('Raw Payments'!$B:$B,F146)&gt;1,"Possible Duplicate","Reference Present"))</f>
        <v>Missing Reference</v>
      </c>
      <c r="L146" t="str">
        <f t="shared" si="2"/>
        <v/>
      </c>
    </row>
    <row r="147" spans="1:12" x14ac:dyDescent="0.3">
      <c r="A147" t="str">
        <f>IF('Raw Enrollments'!A147="","",'Raw Enrollments'!A147)</f>
        <v/>
      </c>
      <c r="B147" t="str">
        <f>IF(A147="","",'Raw Enrollments'!B147)</f>
        <v/>
      </c>
      <c r="C147" t="str">
        <f>IF(A147="","",'Raw Enrollments'!C147)</f>
        <v/>
      </c>
      <c r="D147" t="str">
        <f>IF(A147="","",'Raw Enrollments'!E147)</f>
        <v/>
      </c>
      <c r="E147" t="str">
        <f>IF('Raw Payments'!A147="","",'Raw Payments'!A147)</f>
        <v/>
      </c>
      <c r="F147" t="str">
        <f>IF(E147="","",'Raw Payments'!B147)</f>
        <v/>
      </c>
      <c r="G147" t="str">
        <f>IF(E147="","",'Raw Payments'!F147)</f>
        <v/>
      </c>
      <c r="H147" t="str">
        <f>IF(E147="","",'Raw Payments'!H147)</f>
        <v/>
      </c>
      <c r="I147" t="str">
        <f>IF(E147="","",'Raw Payments'!I147)</f>
        <v/>
      </c>
      <c r="J147" t="str">
        <f>IF(A147="","",IF(COUNTIF('Raw Payments'!$C:$C,A147)&gt;0,"Payment Linked","No Payment"))</f>
        <v/>
      </c>
      <c r="K147" t="str">
        <f>IF(F147="","Missing Reference",IF(COUNTIF('Raw Payments'!$B:$B,F147)&gt;1,"Possible Duplicate","Reference Present"))</f>
        <v>Missing Reference</v>
      </c>
      <c r="L147" t="str">
        <f t="shared" si="2"/>
        <v/>
      </c>
    </row>
    <row r="148" spans="1:12" x14ac:dyDescent="0.3">
      <c r="A148" t="str">
        <f>IF('Raw Enrollments'!A148="","",'Raw Enrollments'!A148)</f>
        <v/>
      </c>
      <c r="B148" t="str">
        <f>IF(A148="","",'Raw Enrollments'!B148)</f>
        <v/>
      </c>
      <c r="C148" t="str">
        <f>IF(A148="","",'Raw Enrollments'!C148)</f>
        <v/>
      </c>
      <c r="D148" t="str">
        <f>IF(A148="","",'Raw Enrollments'!E148)</f>
        <v/>
      </c>
      <c r="E148" t="str">
        <f>IF('Raw Payments'!A148="","",'Raw Payments'!A148)</f>
        <v/>
      </c>
      <c r="F148" t="str">
        <f>IF(E148="","",'Raw Payments'!B148)</f>
        <v/>
      </c>
      <c r="G148" t="str">
        <f>IF(E148="","",'Raw Payments'!F148)</f>
        <v/>
      </c>
      <c r="H148" t="str">
        <f>IF(E148="","",'Raw Payments'!H148)</f>
        <v/>
      </c>
      <c r="I148" t="str">
        <f>IF(E148="","",'Raw Payments'!I148)</f>
        <v/>
      </c>
      <c r="J148" t="str">
        <f>IF(A148="","",IF(COUNTIF('Raw Payments'!$C:$C,A148)&gt;0,"Payment Linked","No Payment"))</f>
        <v/>
      </c>
      <c r="K148" t="str">
        <f>IF(F148="","Missing Reference",IF(COUNTIF('Raw Payments'!$B:$B,F148)&gt;1,"Possible Duplicate","Reference Present"))</f>
        <v>Missing Reference</v>
      </c>
      <c r="L148" t="str">
        <f t="shared" si="2"/>
        <v/>
      </c>
    </row>
    <row r="149" spans="1:12" x14ac:dyDescent="0.3">
      <c r="A149" t="str">
        <f>IF('Raw Enrollments'!A149="","",'Raw Enrollments'!A149)</f>
        <v/>
      </c>
      <c r="B149" t="str">
        <f>IF(A149="","",'Raw Enrollments'!B149)</f>
        <v/>
      </c>
      <c r="C149" t="str">
        <f>IF(A149="","",'Raw Enrollments'!C149)</f>
        <v/>
      </c>
      <c r="D149" t="str">
        <f>IF(A149="","",'Raw Enrollments'!E149)</f>
        <v/>
      </c>
      <c r="E149" t="str">
        <f>IF('Raw Payments'!A149="","",'Raw Payments'!A149)</f>
        <v/>
      </c>
      <c r="F149" t="str">
        <f>IF(E149="","",'Raw Payments'!B149)</f>
        <v/>
      </c>
      <c r="G149" t="str">
        <f>IF(E149="","",'Raw Payments'!F149)</f>
        <v/>
      </c>
      <c r="H149" t="str">
        <f>IF(E149="","",'Raw Payments'!H149)</f>
        <v/>
      </c>
      <c r="I149" t="str">
        <f>IF(E149="","",'Raw Payments'!I149)</f>
        <v/>
      </c>
      <c r="J149" t="str">
        <f>IF(A149="","",IF(COUNTIF('Raw Payments'!$C:$C,A149)&gt;0,"Payment Linked","No Payment"))</f>
        <v/>
      </c>
      <c r="K149" t="str">
        <f>IF(F149="","Missing Reference",IF(COUNTIF('Raw Payments'!$B:$B,F149)&gt;1,"Possible Duplicate","Reference Present"))</f>
        <v>Missing Reference</v>
      </c>
      <c r="L149" t="str">
        <f t="shared" si="2"/>
        <v/>
      </c>
    </row>
    <row r="150" spans="1:12" x14ac:dyDescent="0.3">
      <c r="A150" t="str">
        <f>IF('Raw Enrollments'!A150="","",'Raw Enrollments'!A150)</f>
        <v/>
      </c>
      <c r="B150" t="str">
        <f>IF(A150="","",'Raw Enrollments'!B150)</f>
        <v/>
      </c>
      <c r="C150" t="str">
        <f>IF(A150="","",'Raw Enrollments'!C150)</f>
        <v/>
      </c>
      <c r="D150" t="str">
        <f>IF(A150="","",'Raw Enrollments'!E150)</f>
        <v/>
      </c>
      <c r="E150" t="str">
        <f>IF('Raw Payments'!A150="","",'Raw Payments'!A150)</f>
        <v/>
      </c>
      <c r="F150" t="str">
        <f>IF(E150="","",'Raw Payments'!B150)</f>
        <v/>
      </c>
      <c r="G150" t="str">
        <f>IF(E150="","",'Raw Payments'!F150)</f>
        <v/>
      </c>
      <c r="H150" t="str">
        <f>IF(E150="","",'Raw Payments'!H150)</f>
        <v/>
      </c>
      <c r="I150" t="str">
        <f>IF(E150="","",'Raw Payments'!I150)</f>
        <v/>
      </c>
      <c r="J150" t="str">
        <f>IF(A150="","",IF(COUNTIF('Raw Payments'!$C:$C,A150)&gt;0,"Payment Linked","No Payment"))</f>
        <v/>
      </c>
      <c r="K150" t="str">
        <f>IF(F150="","Missing Reference",IF(COUNTIF('Raw Payments'!$B:$B,F150)&gt;1,"Possible Duplicate","Reference Present"))</f>
        <v>Missing Reference</v>
      </c>
      <c r="L150" t="str">
        <f t="shared" si="2"/>
        <v/>
      </c>
    </row>
    <row r="151" spans="1:12" x14ac:dyDescent="0.3">
      <c r="A151" t="str">
        <f>IF('Raw Enrollments'!A151="","",'Raw Enrollments'!A151)</f>
        <v/>
      </c>
      <c r="B151" t="str">
        <f>IF(A151="","",'Raw Enrollments'!B151)</f>
        <v/>
      </c>
      <c r="C151" t="str">
        <f>IF(A151="","",'Raw Enrollments'!C151)</f>
        <v/>
      </c>
      <c r="D151" t="str">
        <f>IF(A151="","",'Raw Enrollments'!E151)</f>
        <v/>
      </c>
      <c r="E151" t="str">
        <f>IF('Raw Payments'!A151="","",'Raw Payments'!A151)</f>
        <v/>
      </c>
      <c r="F151" t="str">
        <f>IF(E151="","",'Raw Payments'!B151)</f>
        <v/>
      </c>
      <c r="G151" t="str">
        <f>IF(E151="","",'Raw Payments'!F151)</f>
        <v/>
      </c>
      <c r="H151" t="str">
        <f>IF(E151="","",'Raw Payments'!H151)</f>
        <v/>
      </c>
      <c r="I151" t="str">
        <f>IF(E151="","",'Raw Payments'!I151)</f>
        <v/>
      </c>
      <c r="J151" t="str">
        <f>IF(A151="","",IF(COUNTIF('Raw Payments'!$C:$C,A151)&gt;0,"Payment Linked","No Payment"))</f>
        <v/>
      </c>
      <c r="K151" t="str">
        <f>IF(F151="","Missing Reference",IF(COUNTIF('Raw Payments'!$B:$B,F151)&gt;1,"Possible Duplicate","Reference Present"))</f>
        <v>Missing Reference</v>
      </c>
      <c r="L151" t="str">
        <f t="shared" si="2"/>
        <v/>
      </c>
    </row>
    <row r="152" spans="1:12" x14ac:dyDescent="0.3">
      <c r="A152" t="str">
        <f>IF('Raw Enrollments'!A152="","",'Raw Enrollments'!A152)</f>
        <v/>
      </c>
      <c r="B152" t="str">
        <f>IF(A152="","",'Raw Enrollments'!B152)</f>
        <v/>
      </c>
      <c r="C152" t="str">
        <f>IF(A152="","",'Raw Enrollments'!C152)</f>
        <v/>
      </c>
      <c r="D152" t="str">
        <f>IF(A152="","",'Raw Enrollments'!E152)</f>
        <v/>
      </c>
      <c r="E152" t="str">
        <f>IF('Raw Payments'!A152="","",'Raw Payments'!A152)</f>
        <v/>
      </c>
      <c r="F152" t="str">
        <f>IF(E152="","",'Raw Payments'!B152)</f>
        <v/>
      </c>
      <c r="G152" t="str">
        <f>IF(E152="","",'Raw Payments'!F152)</f>
        <v/>
      </c>
      <c r="H152" t="str">
        <f>IF(E152="","",'Raw Payments'!H152)</f>
        <v/>
      </c>
      <c r="I152" t="str">
        <f>IF(E152="","",'Raw Payments'!I152)</f>
        <v/>
      </c>
      <c r="J152" t="str">
        <f>IF(A152="","",IF(COUNTIF('Raw Payments'!$C:$C,A152)&gt;0,"Payment Linked","No Payment"))</f>
        <v/>
      </c>
      <c r="K152" t="str">
        <f>IF(F152="","Missing Reference",IF(COUNTIF('Raw Payments'!$B:$B,F152)&gt;1,"Possible Duplicate","Reference Present"))</f>
        <v>Missing Reference</v>
      </c>
      <c r="L152" t="str">
        <f t="shared" si="2"/>
        <v/>
      </c>
    </row>
    <row r="153" spans="1:12" x14ac:dyDescent="0.3">
      <c r="A153" t="str">
        <f>IF('Raw Enrollments'!A153="","",'Raw Enrollments'!A153)</f>
        <v/>
      </c>
      <c r="B153" t="str">
        <f>IF(A153="","",'Raw Enrollments'!B153)</f>
        <v/>
      </c>
      <c r="C153" t="str">
        <f>IF(A153="","",'Raw Enrollments'!C153)</f>
        <v/>
      </c>
      <c r="D153" t="str">
        <f>IF(A153="","",'Raw Enrollments'!E153)</f>
        <v/>
      </c>
      <c r="E153" t="str">
        <f>IF('Raw Payments'!A153="","",'Raw Payments'!A153)</f>
        <v/>
      </c>
      <c r="F153" t="str">
        <f>IF(E153="","",'Raw Payments'!B153)</f>
        <v/>
      </c>
      <c r="G153" t="str">
        <f>IF(E153="","",'Raw Payments'!F153)</f>
        <v/>
      </c>
      <c r="H153" t="str">
        <f>IF(E153="","",'Raw Payments'!H153)</f>
        <v/>
      </c>
      <c r="I153" t="str">
        <f>IF(E153="","",'Raw Payments'!I153)</f>
        <v/>
      </c>
      <c r="J153" t="str">
        <f>IF(A153="","",IF(COUNTIF('Raw Payments'!$C:$C,A153)&gt;0,"Payment Linked","No Payment"))</f>
        <v/>
      </c>
      <c r="K153" t="str">
        <f>IF(F153="","Missing Reference",IF(COUNTIF('Raw Payments'!$B:$B,F153)&gt;1,"Possible Duplicate","Reference Present"))</f>
        <v>Missing Reference</v>
      </c>
      <c r="L153" t="str">
        <f t="shared" si="2"/>
        <v/>
      </c>
    </row>
    <row r="154" spans="1:12" x14ac:dyDescent="0.3">
      <c r="A154" t="str">
        <f>IF('Raw Enrollments'!A154="","",'Raw Enrollments'!A154)</f>
        <v/>
      </c>
      <c r="B154" t="str">
        <f>IF(A154="","",'Raw Enrollments'!B154)</f>
        <v/>
      </c>
      <c r="C154" t="str">
        <f>IF(A154="","",'Raw Enrollments'!C154)</f>
        <v/>
      </c>
      <c r="D154" t="str">
        <f>IF(A154="","",'Raw Enrollments'!E154)</f>
        <v/>
      </c>
      <c r="E154" t="str">
        <f>IF('Raw Payments'!A154="","",'Raw Payments'!A154)</f>
        <v/>
      </c>
      <c r="F154" t="str">
        <f>IF(E154="","",'Raw Payments'!B154)</f>
        <v/>
      </c>
      <c r="G154" t="str">
        <f>IF(E154="","",'Raw Payments'!F154)</f>
        <v/>
      </c>
      <c r="H154" t="str">
        <f>IF(E154="","",'Raw Payments'!H154)</f>
        <v/>
      </c>
      <c r="I154" t="str">
        <f>IF(E154="","",'Raw Payments'!I154)</f>
        <v/>
      </c>
      <c r="J154" t="str">
        <f>IF(A154="","",IF(COUNTIF('Raw Payments'!$C:$C,A154)&gt;0,"Payment Linked","No Payment"))</f>
        <v/>
      </c>
      <c r="K154" t="str">
        <f>IF(F154="","Missing Reference",IF(COUNTIF('Raw Payments'!$B:$B,F154)&gt;1,"Possible Duplicate","Reference Present"))</f>
        <v>Missing Reference</v>
      </c>
      <c r="L154" t="str">
        <f t="shared" si="2"/>
        <v/>
      </c>
    </row>
    <row r="155" spans="1:12" x14ac:dyDescent="0.3">
      <c r="A155" t="str">
        <f>IF('Raw Enrollments'!A155="","",'Raw Enrollments'!A155)</f>
        <v/>
      </c>
      <c r="B155" t="str">
        <f>IF(A155="","",'Raw Enrollments'!B155)</f>
        <v/>
      </c>
      <c r="C155" t="str">
        <f>IF(A155="","",'Raw Enrollments'!C155)</f>
        <v/>
      </c>
      <c r="D155" t="str">
        <f>IF(A155="","",'Raw Enrollments'!E155)</f>
        <v/>
      </c>
      <c r="E155" t="str">
        <f>IF('Raw Payments'!A155="","",'Raw Payments'!A155)</f>
        <v/>
      </c>
      <c r="F155" t="str">
        <f>IF(E155="","",'Raw Payments'!B155)</f>
        <v/>
      </c>
      <c r="G155" t="str">
        <f>IF(E155="","",'Raw Payments'!F155)</f>
        <v/>
      </c>
      <c r="H155" t="str">
        <f>IF(E155="","",'Raw Payments'!H155)</f>
        <v/>
      </c>
      <c r="I155" t="str">
        <f>IF(E155="","",'Raw Payments'!I155)</f>
        <v/>
      </c>
      <c r="J155" t="str">
        <f>IF(A155="","",IF(COUNTIF('Raw Payments'!$C:$C,A155)&gt;0,"Payment Linked","No Payment"))</f>
        <v/>
      </c>
      <c r="K155" t="str">
        <f>IF(F155="","Missing Reference",IF(COUNTIF('Raw Payments'!$B:$B,F155)&gt;1,"Possible Duplicate","Reference Present"))</f>
        <v>Missing Reference</v>
      </c>
      <c r="L155" t="str">
        <f t="shared" si="2"/>
        <v/>
      </c>
    </row>
    <row r="156" spans="1:12" x14ac:dyDescent="0.3">
      <c r="A156" t="str">
        <f>IF('Raw Enrollments'!A156="","",'Raw Enrollments'!A156)</f>
        <v/>
      </c>
      <c r="B156" t="str">
        <f>IF(A156="","",'Raw Enrollments'!B156)</f>
        <v/>
      </c>
      <c r="C156" t="str">
        <f>IF(A156="","",'Raw Enrollments'!C156)</f>
        <v/>
      </c>
      <c r="D156" t="str">
        <f>IF(A156="","",'Raw Enrollments'!E156)</f>
        <v/>
      </c>
      <c r="E156" t="str">
        <f>IF('Raw Payments'!A156="","",'Raw Payments'!A156)</f>
        <v/>
      </c>
      <c r="F156" t="str">
        <f>IF(E156="","",'Raw Payments'!B156)</f>
        <v/>
      </c>
      <c r="G156" t="str">
        <f>IF(E156="","",'Raw Payments'!F156)</f>
        <v/>
      </c>
      <c r="H156" t="str">
        <f>IF(E156="","",'Raw Payments'!H156)</f>
        <v/>
      </c>
      <c r="I156" t="str">
        <f>IF(E156="","",'Raw Payments'!I156)</f>
        <v/>
      </c>
      <c r="J156" t="str">
        <f>IF(A156="","",IF(COUNTIF('Raw Payments'!$C:$C,A156)&gt;0,"Payment Linked","No Payment"))</f>
        <v/>
      </c>
      <c r="K156" t="str">
        <f>IF(F156="","Missing Reference",IF(COUNTIF('Raw Payments'!$B:$B,F156)&gt;1,"Possible Duplicate","Reference Present"))</f>
        <v>Missing Reference</v>
      </c>
      <c r="L156" t="str">
        <f t="shared" si="2"/>
        <v/>
      </c>
    </row>
    <row r="157" spans="1:12" x14ac:dyDescent="0.3">
      <c r="A157" t="str">
        <f>IF('Raw Enrollments'!A157="","",'Raw Enrollments'!A157)</f>
        <v/>
      </c>
      <c r="B157" t="str">
        <f>IF(A157="","",'Raw Enrollments'!B157)</f>
        <v/>
      </c>
      <c r="C157" t="str">
        <f>IF(A157="","",'Raw Enrollments'!C157)</f>
        <v/>
      </c>
      <c r="D157" t="str">
        <f>IF(A157="","",'Raw Enrollments'!E157)</f>
        <v/>
      </c>
      <c r="E157" t="str">
        <f>IF('Raw Payments'!A157="","",'Raw Payments'!A157)</f>
        <v/>
      </c>
      <c r="F157" t="str">
        <f>IF(E157="","",'Raw Payments'!B157)</f>
        <v/>
      </c>
      <c r="G157" t="str">
        <f>IF(E157="","",'Raw Payments'!F157)</f>
        <v/>
      </c>
      <c r="H157" t="str">
        <f>IF(E157="","",'Raw Payments'!H157)</f>
        <v/>
      </c>
      <c r="I157" t="str">
        <f>IF(E157="","",'Raw Payments'!I157)</f>
        <v/>
      </c>
      <c r="J157" t="str">
        <f>IF(A157="","",IF(COUNTIF('Raw Payments'!$C:$C,A157)&gt;0,"Payment Linked","No Payment"))</f>
        <v/>
      </c>
      <c r="K157" t="str">
        <f>IF(F157="","Missing Reference",IF(COUNTIF('Raw Payments'!$B:$B,F157)&gt;1,"Possible Duplicate","Reference Present"))</f>
        <v>Missing Reference</v>
      </c>
      <c r="L157" t="str">
        <f t="shared" si="2"/>
        <v/>
      </c>
    </row>
    <row r="158" spans="1:12" x14ac:dyDescent="0.3">
      <c r="A158" t="str">
        <f>IF('Raw Enrollments'!A158="","",'Raw Enrollments'!A158)</f>
        <v/>
      </c>
      <c r="B158" t="str">
        <f>IF(A158="","",'Raw Enrollments'!B158)</f>
        <v/>
      </c>
      <c r="C158" t="str">
        <f>IF(A158="","",'Raw Enrollments'!C158)</f>
        <v/>
      </c>
      <c r="D158" t="str">
        <f>IF(A158="","",'Raw Enrollments'!E158)</f>
        <v/>
      </c>
      <c r="E158" t="str">
        <f>IF('Raw Payments'!A158="","",'Raw Payments'!A158)</f>
        <v/>
      </c>
      <c r="F158" t="str">
        <f>IF(E158="","",'Raw Payments'!B158)</f>
        <v/>
      </c>
      <c r="G158" t="str">
        <f>IF(E158="","",'Raw Payments'!F158)</f>
        <v/>
      </c>
      <c r="H158" t="str">
        <f>IF(E158="","",'Raw Payments'!H158)</f>
        <v/>
      </c>
      <c r="I158" t="str">
        <f>IF(E158="","",'Raw Payments'!I158)</f>
        <v/>
      </c>
      <c r="J158" t="str">
        <f>IF(A158="","",IF(COUNTIF('Raw Payments'!$C:$C,A158)&gt;0,"Payment Linked","No Payment"))</f>
        <v/>
      </c>
      <c r="K158" t="str">
        <f>IF(F158="","Missing Reference",IF(COUNTIF('Raw Payments'!$B:$B,F158)&gt;1,"Possible Duplicate","Reference Present"))</f>
        <v>Missing Reference</v>
      </c>
      <c r="L158" t="str">
        <f t="shared" si="2"/>
        <v/>
      </c>
    </row>
    <row r="159" spans="1:12" x14ac:dyDescent="0.3">
      <c r="A159" t="str">
        <f>IF('Raw Enrollments'!A159="","",'Raw Enrollments'!A159)</f>
        <v/>
      </c>
      <c r="B159" t="str">
        <f>IF(A159="","",'Raw Enrollments'!B159)</f>
        <v/>
      </c>
      <c r="C159" t="str">
        <f>IF(A159="","",'Raw Enrollments'!C159)</f>
        <v/>
      </c>
      <c r="D159" t="str">
        <f>IF(A159="","",'Raw Enrollments'!E159)</f>
        <v/>
      </c>
      <c r="E159" t="str">
        <f>IF('Raw Payments'!A159="","",'Raw Payments'!A159)</f>
        <v/>
      </c>
      <c r="F159" t="str">
        <f>IF(E159="","",'Raw Payments'!B159)</f>
        <v/>
      </c>
      <c r="G159" t="str">
        <f>IF(E159="","",'Raw Payments'!F159)</f>
        <v/>
      </c>
      <c r="H159" t="str">
        <f>IF(E159="","",'Raw Payments'!H159)</f>
        <v/>
      </c>
      <c r="I159" t="str">
        <f>IF(E159="","",'Raw Payments'!I159)</f>
        <v/>
      </c>
      <c r="J159" t="str">
        <f>IF(A159="","",IF(COUNTIF('Raw Payments'!$C:$C,A159)&gt;0,"Payment Linked","No Payment"))</f>
        <v/>
      </c>
      <c r="K159" t="str">
        <f>IF(F159="","Missing Reference",IF(COUNTIF('Raw Payments'!$B:$B,F159)&gt;1,"Possible Duplicate","Reference Present"))</f>
        <v>Missing Reference</v>
      </c>
      <c r="L159" t="str">
        <f t="shared" si="2"/>
        <v/>
      </c>
    </row>
    <row r="160" spans="1:12" x14ac:dyDescent="0.3">
      <c r="A160" t="str">
        <f>IF('Raw Enrollments'!A160="","",'Raw Enrollments'!A160)</f>
        <v/>
      </c>
      <c r="B160" t="str">
        <f>IF(A160="","",'Raw Enrollments'!B160)</f>
        <v/>
      </c>
      <c r="C160" t="str">
        <f>IF(A160="","",'Raw Enrollments'!C160)</f>
        <v/>
      </c>
      <c r="D160" t="str">
        <f>IF(A160="","",'Raw Enrollments'!E160)</f>
        <v/>
      </c>
      <c r="E160" t="str">
        <f>IF('Raw Payments'!A160="","",'Raw Payments'!A160)</f>
        <v/>
      </c>
      <c r="F160" t="str">
        <f>IF(E160="","",'Raw Payments'!B160)</f>
        <v/>
      </c>
      <c r="G160" t="str">
        <f>IF(E160="","",'Raw Payments'!F160)</f>
        <v/>
      </c>
      <c r="H160" t="str">
        <f>IF(E160="","",'Raw Payments'!H160)</f>
        <v/>
      </c>
      <c r="I160" t="str">
        <f>IF(E160="","",'Raw Payments'!I160)</f>
        <v/>
      </c>
      <c r="J160" t="str">
        <f>IF(A160="","",IF(COUNTIF('Raw Payments'!$C:$C,A160)&gt;0,"Payment Linked","No Payment"))</f>
        <v/>
      </c>
      <c r="K160" t="str">
        <f>IF(F160="","Missing Reference",IF(COUNTIF('Raw Payments'!$B:$B,F160)&gt;1,"Possible Duplicate","Reference Present"))</f>
        <v>Missing Reference</v>
      </c>
      <c r="L160" t="str">
        <f t="shared" si="2"/>
        <v/>
      </c>
    </row>
    <row r="161" spans="1:12" x14ac:dyDescent="0.3">
      <c r="A161" t="str">
        <f>IF('Raw Enrollments'!A161="","",'Raw Enrollments'!A161)</f>
        <v/>
      </c>
      <c r="B161" t="str">
        <f>IF(A161="","",'Raw Enrollments'!B161)</f>
        <v/>
      </c>
      <c r="C161" t="str">
        <f>IF(A161="","",'Raw Enrollments'!C161)</f>
        <v/>
      </c>
      <c r="D161" t="str">
        <f>IF(A161="","",'Raw Enrollments'!E161)</f>
        <v/>
      </c>
      <c r="E161" t="str">
        <f>IF('Raw Payments'!A161="","",'Raw Payments'!A161)</f>
        <v/>
      </c>
      <c r="F161" t="str">
        <f>IF(E161="","",'Raw Payments'!B161)</f>
        <v/>
      </c>
      <c r="G161" t="str">
        <f>IF(E161="","",'Raw Payments'!F161)</f>
        <v/>
      </c>
      <c r="H161" t="str">
        <f>IF(E161="","",'Raw Payments'!H161)</f>
        <v/>
      </c>
      <c r="I161" t="str">
        <f>IF(E161="","",'Raw Payments'!I161)</f>
        <v/>
      </c>
      <c r="J161" t="str">
        <f>IF(A161="","",IF(COUNTIF('Raw Payments'!$C:$C,A161)&gt;0,"Payment Linked","No Payment"))</f>
        <v/>
      </c>
      <c r="K161" t="str">
        <f>IF(F161="","Missing Reference",IF(COUNTIF('Raw Payments'!$B:$B,F161)&gt;1,"Possible Duplicate","Reference Present"))</f>
        <v>Missing Reference</v>
      </c>
      <c r="L161" t="str">
        <f t="shared" si="2"/>
        <v/>
      </c>
    </row>
    <row r="162" spans="1:12" x14ac:dyDescent="0.3">
      <c r="A162" t="str">
        <f>IF('Raw Enrollments'!A162="","",'Raw Enrollments'!A162)</f>
        <v/>
      </c>
      <c r="B162" t="str">
        <f>IF(A162="","",'Raw Enrollments'!B162)</f>
        <v/>
      </c>
      <c r="C162" t="str">
        <f>IF(A162="","",'Raw Enrollments'!C162)</f>
        <v/>
      </c>
      <c r="D162" t="str">
        <f>IF(A162="","",'Raw Enrollments'!E162)</f>
        <v/>
      </c>
      <c r="E162" t="str">
        <f>IF('Raw Payments'!A162="","",'Raw Payments'!A162)</f>
        <v/>
      </c>
      <c r="F162" t="str">
        <f>IF(E162="","",'Raw Payments'!B162)</f>
        <v/>
      </c>
      <c r="G162" t="str">
        <f>IF(E162="","",'Raw Payments'!F162)</f>
        <v/>
      </c>
      <c r="H162" t="str">
        <f>IF(E162="","",'Raw Payments'!H162)</f>
        <v/>
      </c>
      <c r="I162" t="str">
        <f>IF(E162="","",'Raw Payments'!I162)</f>
        <v/>
      </c>
      <c r="J162" t="str">
        <f>IF(A162="","",IF(COUNTIF('Raw Payments'!$C:$C,A162)&gt;0,"Payment Linked","No Payment"))</f>
        <v/>
      </c>
      <c r="K162" t="str">
        <f>IF(F162="","Missing Reference",IF(COUNTIF('Raw Payments'!$B:$B,F162)&gt;1,"Possible Duplicate","Reference Present"))</f>
        <v>Missing Reference</v>
      </c>
      <c r="L162" t="str">
        <f t="shared" si="2"/>
        <v/>
      </c>
    </row>
    <row r="163" spans="1:12" x14ac:dyDescent="0.3">
      <c r="A163" t="str">
        <f>IF('Raw Enrollments'!A163="","",'Raw Enrollments'!A163)</f>
        <v/>
      </c>
      <c r="B163" t="str">
        <f>IF(A163="","",'Raw Enrollments'!B163)</f>
        <v/>
      </c>
      <c r="C163" t="str">
        <f>IF(A163="","",'Raw Enrollments'!C163)</f>
        <v/>
      </c>
      <c r="D163" t="str">
        <f>IF(A163="","",'Raw Enrollments'!E163)</f>
        <v/>
      </c>
      <c r="E163" t="str">
        <f>IF('Raw Payments'!A163="","",'Raw Payments'!A163)</f>
        <v/>
      </c>
      <c r="F163" t="str">
        <f>IF(E163="","",'Raw Payments'!B163)</f>
        <v/>
      </c>
      <c r="G163" t="str">
        <f>IF(E163="","",'Raw Payments'!F163)</f>
        <v/>
      </c>
      <c r="H163" t="str">
        <f>IF(E163="","",'Raw Payments'!H163)</f>
        <v/>
      </c>
      <c r="I163" t="str">
        <f>IF(E163="","",'Raw Payments'!I163)</f>
        <v/>
      </c>
      <c r="J163" t="str">
        <f>IF(A163="","",IF(COUNTIF('Raw Payments'!$C:$C,A163)&gt;0,"Payment Linked","No Payment"))</f>
        <v/>
      </c>
      <c r="K163" t="str">
        <f>IF(F163="","Missing Reference",IF(COUNTIF('Raw Payments'!$B:$B,F163)&gt;1,"Possible Duplicate","Reference Present"))</f>
        <v>Missing Reference</v>
      </c>
      <c r="L163" t="str">
        <f t="shared" si="2"/>
        <v/>
      </c>
    </row>
    <row r="164" spans="1:12" x14ac:dyDescent="0.3">
      <c r="A164" t="str">
        <f>IF('Raw Enrollments'!A164="","",'Raw Enrollments'!A164)</f>
        <v/>
      </c>
      <c r="B164" t="str">
        <f>IF(A164="","",'Raw Enrollments'!B164)</f>
        <v/>
      </c>
      <c r="C164" t="str">
        <f>IF(A164="","",'Raw Enrollments'!C164)</f>
        <v/>
      </c>
      <c r="D164" t="str">
        <f>IF(A164="","",'Raw Enrollments'!E164)</f>
        <v/>
      </c>
      <c r="E164" t="str">
        <f>IF('Raw Payments'!A164="","",'Raw Payments'!A164)</f>
        <v/>
      </c>
      <c r="F164" t="str">
        <f>IF(E164="","",'Raw Payments'!B164)</f>
        <v/>
      </c>
      <c r="G164" t="str">
        <f>IF(E164="","",'Raw Payments'!F164)</f>
        <v/>
      </c>
      <c r="H164" t="str">
        <f>IF(E164="","",'Raw Payments'!H164)</f>
        <v/>
      </c>
      <c r="I164" t="str">
        <f>IF(E164="","",'Raw Payments'!I164)</f>
        <v/>
      </c>
      <c r="J164" t="str">
        <f>IF(A164="","",IF(COUNTIF('Raw Payments'!$C:$C,A164)&gt;0,"Payment Linked","No Payment"))</f>
        <v/>
      </c>
      <c r="K164" t="str">
        <f>IF(F164="","Missing Reference",IF(COUNTIF('Raw Payments'!$B:$B,F164)&gt;1,"Possible Duplicate","Reference Present"))</f>
        <v>Missing Reference</v>
      </c>
      <c r="L164" t="str">
        <f t="shared" si="2"/>
        <v/>
      </c>
    </row>
    <row r="165" spans="1:12" x14ac:dyDescent="0.3">
      <c r="A165" t="str">
        <f>IF('Raw Enrollments'!A165="","",'Raw Enrollments'!A165)</f>
        <v/>
      </c>
      <c r="B165" t="str">
        <f>IF(A165="","",'Raw Enrollments'!B165)</f>
        <v/>
      </c>
      <c r="C165" t="str">
        <f>IF(A165="","",'Raw Enrollments'!C165)</f>
        <v/>
      </c>
      <c r="D165" t="str">
        <f>IF(A165="","",'Raw Enrollments'!E165)</f>
        <v/>
      </c>
      <c r="E165" t="str">
        <f>IF('Raw Payments'!A165="","",'Raw Payments'!A165)</f>
        <v/>
      </c>
      <c r="F165" t="str">
        <f>IF(E165="","",'Raw Payments'!B165)</f>
        <v/>
      </c>
      <c r="G165" t="str">
        <f>IF(E165="","",'Raw Payments'!F165)</f>
        <v/>
      </c>
      <c r="H165" t="str">
        <f>IF(E165="","",'Raw Payments'!H165)</f>
        <v/>
      </c>
      <c r="I165" t="str">
        <f>IF(E165="","",'Raw Payments'!I165)</f>
        <v/>
      </c>
      <c r="J165" t="str">
        <f>IF(A165="","",IF(COUNTIF('Raw Payments'!$C:$C,A165)&gt;0,"Payment Linked","No Payment"))</f>
        <v/>
      </c>
      <c r="K165" t="str">
        <f>IF(F165="","Missing Reference",IF(COUNTIF('Raw Payments'!$B:$B,F165)&gt;1,"Possible Duplicate","Reference Present"))</f>
        <v>Missing Reference</v>
      </c>
      <c r="L165" t="str">
        <f t="shared" si="2"/>
        <v/>
      </c>
    </row>
    <row r="166" spans="1:12" x14ac:dyDescent="0.3">
      <c r="A166" t="str">
        <f>IF('Raw Enrollments'!A166="","",'Raw Enrollments'!A166)</f>
        <v/>
      </c>
      <c r="B166" t="str">
        <f>IF(A166="","",'Raw Enrollments'!B166)</f>
        <v/>
      </c>
      <c r="C166" t="str">
        <f>IF(A166="","",'Raw Enrollments'!C166)</f>
        <v/>
      </c>
      <c r="D166" t="str">
        <f>IF(A166="","",'Raw Enrollments'!E166)</f>
        <v/>
      </c>
      <c r="E166" t="str">
        <f>IF('Raw Payments'!A166="","",'Raw Payments'!A166)</f>
        <v/>
      </c>
      <c r="F166" t="str">
        <f>IF(E166="","",'Raw Payments'!B166)</f>
        <v/>
      </c>
      <c r="G166" t="str">
        <f>IF(E166="","",'Raw Payments'!F166)</f>
        <v/>
      </c>
      <c r="H166" t="str">
        <f>IF(E166="","",'Raw Payments'!H166)</f>
        <v/>
      </c>
      <c r="I166" t="str">
        <f>IF(E166="","",'Raw Payments'!I166)</f>
        <v/>
      </c>
      <c r="J166" t="str">
        <f>IF(A166="","",IF(COUNTIF('Raw Payments'!$C:$C,A166)&gt;0,"Payment Linked","No Payment"))</f>
        <v/>
      </c>
      <c r="K166" t="str">
        <f>IF(F166="","Missing Reference",IF(COUNTIF('Raw Payments'!$B:$B,F166)&gt;1,"Possible Duplicate","Reference Present"))</f>
        <v>Missing Reference</v>
      </c>
      <c r="L166" t="str">
        <f t="shared" si="2"/>
        <v/>
      </c>
    </row>
    <row r="167" spans="1:12" x14ac:dyDescent="0.3">
      <c r="A167" t="str">
        <f>IF('Raw Enrollments'!A167="","",'Raw Enrollments'!A167)</f>
        <v/>
      </c>
      <c r="B167" t="str">
        <f>IF(A167="","",'Raw Enrollments'!B167)</f>
        <v/>
      </c>
      <c r="C167" t="str">
        <f>IF(A167="","",'Raw Enrollments'!C167)</f>
        <v/>
      </c>
      <c r="D167" t="str">
        <f>IF(A167="","",'Raw Enrollments'!E167)</f>
        <v/>
      </c>
      <c r="E167" t="str">
        <f>IF('Raw Payments'!A167="","",'Raw Payments'!A167)</f>
        <v/>
      </c>
      <c r="F167" t="str">
        <f>IF(E167="","",'Raw Payments'!B167)</f>
        <v/>
      </c>
      <c r="G167" t="str">
        <f>IF(E167="","",'Raw Payments'!F167)</f>
        <v/>
      </c>
      <c r="H167" t="str">
        <f>IF(E167="","",'Raw Payments'!H167)</f>
        <v/>
      </c>
      <c r="I167" t="str">
        <f>IF(E167="","",'Raw Payments'!I167)</f>
        <v/>
      </c>
      <c r="J167" t="str">
        <f>IF(A167="","",IF(COUNTIF('Raw Payments'!$C:$C,A167)&gt;0,"Payment Linked","No Payment"))</f>
        <v/>
      </c>
      <c r="K167" t="str">
        <f>IF(F167="","Missing Reference",IF(COUNTIF('Raw Payments'!$B:$B,F167)&gt;1,"Possible Duplicate","Reference Present"))</f>
        <v>Missing Reference</v>
      </c>
      <c r="L167" t="str">
        <f t="shared" si="2"/>
        <v/>
      </c>
    </row>
    <row r="168" spans="1:12" x14ac:dyDescent="0.3">
      <c r="A168" t="str">
        <f>IF('Raw Enrollments'!A168="","",'Raw Enrollments'!A168)</f>
        <v/>
      </c>
      <c r="B168" t="str">
        <f>IF(A168="","",'Raw Enrollments'!B168)</f>
        <v/>
      </c>
      <c r="C168" t="str">
        <f>IF(A168="","",'Raw Enrollments'!C168)</f>
        <v/>
      </c>
      <c r="D168" t="str">
        <f>IF(A168="","",'Raw Enrollments'!E168)</f>
        <v/>
      </c>
      <c r="E168" t="str">
        <f>IF('Raw Payments'!A168="","",'Raw Payments'!A168)</f>
        <v/>
      </c>
      <c r="F168" t="str">
        <f>IF(E168="","",'Raw Payments'!B168)</f>
        <v/>
      </c>
      <c r="G168" t="str">
        <f>IF(E168="","",'Raw Payments'!F168)</f>
        <v/>
      </c>
      <c r="H168" t="str">
        <f>IF(E168="","",'Raw Payments'!H168)</f>
        <v/>
      </c>
      <c r="I168" t="str">
        <f>IF(E168="","",'Raw Payments'!I168)</f>
        <v/>
      </c>
      <c r="J168" t="str">
        <f>IF(A168="","",IF(COUNTIF('Raw Payments'!$C:$C,A168)&gt;0,"Payment Linked","No Payment"))</f>
        <v/>
      </c>
      <c r="K168" t="str">
        <f>IF(F168="","Missing Reference",IF(COUNTIF('Raw Payments'!$B:$B,F168)&gt;1,"Possible Duplicate","Reference Present"))</f>
        <v>Missing Reference</v>
      </c>
      <c r="L168" t="str">
        <f t="shared" si="2"/>
        <v/>
      </c>
    </row>
    <row r="169" spans="1:12" x14ac:dyDescent="0.3">
      <c r="A169" t="str">
        <f>IF('Raw Enrollments'!A169="","",'Raw Enrollments'!A169)</f>
        <v/>
      </c>
      <c r="B169" t="str">
        <f>IF(A169="","",'Raw Enrollments'!B169)</f>
        <v/>
      </c>
      <c r="C169" t="str">
        <f>IF(A169="","",'Raw Enrollments'!C169)</f>
        <v/>
      </c>
      <c r="D169" t="str">
        <f>IF(A169="","",'Raw Enrollments'!E169)</f>
        <v/>
      </c>
      <c r="E169" t="str">
        <f>IF('Raw Payments'!A169="","",'Raw Payments'!A169)</f>
        <v/>
      </c>
      <c r="F169" t="str">
        <f>IF(E169="","",'Raw Payments'!B169)</f>
        <v/>
      </c>
      <c r="G169" t="str">
        <f>IF(E169="","",'Raw Payments'!F169)</f>
        <v/>
      </c>
      <c r="H169" t="str">
        <f>IF(E169="","",'Raw Payments'!H169)</f>
        <v/>
      </c>
      <c r="I169" t="str">
        <f>IF(E169="","",'Raw Payments'!I169)</f>
        <v/>
      </c>
      <c r="J169" t="str">
        <f>IF(A169="","",IF(COUNTIF('Raw Payments'!$C:$C,A169)&gt;0,"Payment Linked","No Payment"))</f>
        <v/>
      </c>
      <c r="K169" t="str">
        <f>IF(F169="","Missing Reference",IF(COUNTIF('Raw Payments'!$B:$B,F169)&gt;1,"Possible Duplicate","Reference Present"))</f>
        <v>Missing Reference</v>
      </c>
      <c r="L169" t="str">
        <f t="shared" si="2"/>
        <v/>
      </c>
    </row>
    <row r="170" spans="1:12" x14ac:dyDescent="0.3">
      <c r="A170" t="str">
        <f>IF('Raw Enrollments'!A170="","",'Raw Enrollments'!A170)</f>
        <v/>
      </c>
      <c r="B170" t="str">
        <f>IF(A170="","",'Raw Enrollments'!B170)</f>
        <v/>
      </c>
      <c r="C170" t="str">
        <f>IF(A170="","",'Raw Enrollments'!C170)</f>
        <v/>
      </c>
      <c r="D170" t="str">
        <f>IF(A170="","",'Raw Enrollments'!E170)</f>
        <v/>
      </c>
      <c r="E170" t="str">
        <f>IF('Raw Payments'!A170="","",'Raw Payments'!A170)</f>
        <v/>
      </c>
      <c r="F170" t="str">
        <f>IF(E170="","",'Raw Payments'!B170)</f>
        <v/>
      </c>
      <c r="G170" t="str">
        <f>IF(E170="","",'Raw Payments'!F170)</f>
        <v/>
      </c>
      <c r="H170" t="str">
        <f>IF(E170="","",'Raw Payments'!H170)</f>
        <v/>
      </c>
      <c r="I170" t="str">
        <f>IF(E170="","",'Raw Payments'!I170)</f>
        <v/>
      </c>
      <c r="J170" t="str">
        <f>IF(A170="","",IF(COUNTIF('Raw Payments'!$C:$C,A170)&gt;0,"Payment Linked","No Payment"))</f>
        <v/>
      </c>
      <c r="K170" t="str">
        <f>IF(F170="","Missing Reference",IF(COUNTIF('Raw Payments'!$B:$B,F170)&gt;1,"Possible Duplicate","Reference Present"))</f>
        <v>Missing Reference</v>
      </c>
      <c r="L170" t="str">
        <f t="shared" si="2"/>
        <v/>
      </c>
    </row>
    <row r="171" spans="1:12" x14ac:dyDescent="0.3">
      <c r="A171" t="str">
        <f>IF('Raw Enrollments'!A171="","",'Raw Enrollments'!A171)</f>
        <v/>
      </c>
      <c r="B171" t="str">
        <f>IF(A171="","",'Raw Enrollments'!B171)</f>
        <v/>
      </c>
      <c r="C171" t="str">
        <f>IF(A171="","",'Raw Enrollments'!C171)</f>
        <v/>
      </c>
      <c r="D171" t="str">
        <f>IF(A171="","",'Raw Enrollments'!E171)</f>
        <v/>
      </c>
      <c r="E171" t="str">
        <f>IF('Raw Payments'!A171="","",'Raw Payments'!A171)</f>
        <v/>
      </c>
      <c r="F171" t="str">
        <f>IF(E171="","",'Raw Payments'!B171)</f>
        <v/>
      </c>
      <c r="G171" t="str">
        <f>IF(E171="","",'Raw Payments'!F171)</f>
        <v/>
      </c>
      <c r="H171" t="str">
        <f>IF(E171="","",'Raw Payments'!H171)</f>
        <v/>
      </c>
      <c r="I171" t="str">
        <f>IF(E171="","",'Raw Payments'!I171)</f>
        <v/>
      </c>
      <c r="J171" t="str">
        <f>IF(A171="","",IF(COUNTIF('Raw Payments'!$C:$C,A171)&gt;0,"Payment Linked","No Payment"))</f>
        <v/>
      </c>
      <c r="K171" t="str">
        <f>IF(F171="","Missing Reference",IF(COUNTIF('Raw Payments'!$B:$B,F171)&gt;1,"Possible Duplicate","Reference Present"))</f>
        <v>Missing Reference</v>
      </c>
      <c r="L171" t="str">
        <f t="shared" si="2"/>
        <v/>
      </c>
    </row>
    <row r="172" spans="1:12" x14ac:dyDescent="0.3">
      <c r="A172" t="str">
        <f>IF('Raw Enrollments'!A172="","",'Raw Enrollments'!A172)</f>
        <v/>
      </c>
      <c r="B172" t="str">
        <f>IF(A172="","",'Raw Enrollments'!B172)</f>
        <v/>
      </c>
      <c r="C172" t="str">
        <f>IF(A172="","",'Raw Enrollments'!C172)</f>
        <v/>
      </c>
      <c r="D172" t="str">
        <f>IF(A172="","",'Raw Enrollments'!E172)</f>
        <v/>
      </c>
      <c r="E172" t="str">
        <f>IF('Raw Payments'!A172="","",'Raw Payments'!A172)</f>
        <v/>
      </c>
      <c r="F172" t="str">
        <f>IF(E172="","",'Raw Payments'!B172)</f>
        <v/>
      </c>
      <c r="G172" t="str">
        <f>IF(E172="","",'Raw Payments'!F172)</f>
        <v/>
      </c>
      <c r="H172" t="str">
        <f>IF(E172="","",'Raw Payments'!H172)</f>
        <v/>
      </c>
      <c r="I172" t="str">
        <f>IF(E172="","",'Raw Payments'!I172)</f>
        <v/>
      </c>
      <c r="J172" t="str">
        <f>IF(A172="","",IF(COUNTIF('Raw Payments'!$C:$C,A172)&gt;0,"Payment Linked","No Payment"))</f>
        <v/>
      </c>
      <c r="K172" t="str">
        <f>IF(F172="","Missing Reference",IF(COUNTIF('Raw Payments'!$B:$B,F172)&gt;1,"Possible Duplicate","Reference Present"))</f>
        <v>Missing Reference</v>
      </c>
      <c r="L172" t="str">
        <f t="shared" si="2"/>
        <v/>
      </c>
    </row>
    <row r="173" spans="1:12" x14ac:dyDescent="0.3">
      <c r="A173" t="str">
        <f>IF('Raw Enrollments'!A173="","",'Raw Enrollments'!A173)</f>
        <v/>
      </c>
      <c r="B173" t="str">
        <f>IF(A173="","",'Raw Enrollments'!B173)</f>
        <v/>
      </c>
      <c r="C173" t="str">
        <f>IF(A173="","",'Raw Enrollments'!C173)</f>
        <v/>
      </c>
      <c r="D173" t="str">
        <f>IF(A173="","",'Raw Enrollments'!E173)</f>
        <v/>
      </c>
      <c r="E173" t="str">
        <f>IF('Raw Payments'!A173="","",'Raw Payments'!A173)</f>
        <v/>
      </c>
      <c r="F173" t="str">
        <f>IF(E173="","",'Raw Payments'!B173)</f>
        <v/>
      </c>
      <c r="G173" t="str">
        <f>IF(E173="","",'Raw Payments'!F173)</f>
        <v/>
      </c>
      <c r="H173" t="str">
        <f>IF(E173="","",'Raw Payments'!H173)</f>
        <v/>
      </c>
      <c r="I173" t="str">
        <f>IF(E173="","",'Raw Payments'!I173)</f>
        <v/>
      </c>
      <c r="J173" t="str">
        <f>IF(A173="","",IF(COUNTIF('Raw Payments'!$C:$C,A173)&gt;0,"Payment Linked","No Payment"))</f>
        <v/>
      </c>
      <c r="K173" t="str">
        <f>IF(F173="","Missing Reference",IF(COUNTIF('Raw Payments'!$B:$B,F173)&gt;1,"Possible Duplicate","Reference Present"))</f>
        <v>Missing Reference</v>
      </c>
      <c r="L173" t="str">
        <f t="shared" si="2"/>
        <v/>
      </c>
    </row>
    <row r="174" spans="1:12" x14ac:dyDescent="0.3">
      <c r="A174" t="str">
        <f>IF('Raw Enrollments'!A174="","",'Raw Enrollments'!A174)</f>
        <v/>
      </c>
      <c r="B174" t="str">
        <f>IF(A174="","",'Raw Enrollments'!B174)</f>
        <v/>
      </c>
      <c r="C174" t="str">
        <f>IF(A174="","",'Raw Enrollments'!C174)</f>
        <v/>
      </c>
      <c r="D174" t="str">
        <f>IF(A174="","",'Raw Enrollments'!E174)</f>
        <v/>
      </c>
      <c r="E174" t="str">
        <f>IF('Raw Payments'!A174="","",'Raw Payments'!A174)</f>
        <v/>
      </c>
      <c r="F174" t="str">
        <f>IF(E174="","",'Raw Payments'!B174)</f>
        <v/>
      </c>
      <c r="G174" t="str">
        <f>IF(E174="","",'Raw Payments'!F174)</f>
        <v/>
      </c>
      <c r="H174" t="str">
        <f>IF(E174="","",'Raw Payments'!H174)</f>
        <v/>
      </c>
      <c r="I174" t="str">
        <f>IF(E174="","",'Raw Payments'!I174)</f>
        <v/>
      </c>
      <c r="J174" t="str">
        <f>IF(A174="","",IF(COUNTIF('Raw Payments'!$C:$C,A174)&gt;0,"Payment Linked","No Payment"))</f>
        <v/>
      </c>
      <c r="K174" t="str">
        <f>IF(F174="","Missing Reference",IF(COUNTIF('Raw Payments'!$B:$B,F174)&gt;1,"Possible Duplicate","Reference Present"))</f>
        <v>Missing Reference</v>
      </c>
      <c r="L174" t="str">
        <f t="shared" si="2"/>
        <v/>
      </c>
    </row>
    <row r="175" spans="1:12" x14ac:dyDescent="0.3">
      <c r="A175" t="str">
        <f>IF('Raw Enrollments'!A175="","",'Raw Enrollments'!A175)</f>
        <v/>
      </c>
      <c r="B175" t="str">
        <f>IF(A175="","",'Raw Enrollments'!B175)</f>
        <v/>
      </c>
      <c r="C175" t="str">
        <f>IF(A175="","",'Raw Enrollments'!C175)</f>
        <v/>
      </c>
      <c r="D175" t="str">
        <f>IF(A175="","",'Raw Enrollments'!E175)</f>
        <v/>
      </c>
      <c r="E175" t="str">
        <f>IF('Raw Payments'!A175="","",'Raw Payments'!A175)</f>
        <v/>
      </c>
      <c r="F175" t="str">
        <f>IF(E175="","",'Raw Payments'!B175)</f>
        <v/>
      </c>
      <c r="G175" t="str">
        <f>IF(E175="","",'Raw Payments'!F175)</f>
        <v/>
      </c>
      <c r="H175" t="str">
        <f>IF(E175="","",'Raw Payments'!H175)</f>
        <v/>
      </c>
      <c r="I175" t="str">
        <f>IF(E175="","",'Raw Payments'!I175)</f>
        <v/>
      </c>
      <c r="J175" t="str">
        <f>IF(A175="","",IF(COUNTIF('Raw Payments'!$C:$C,A175)&gt;0,"Payment Linked","No Payment"))</f>
        <v/>
      </c>
      <c r="K175" t="str">
        <f>IF(F175="","Missing Reference",IF(COUNTIF('Raw Payments'!$B:$B,F175)&gt;1,"Possible Duplicate","Reference Present"))</f>
        <v>Missing Reference</v>
      </c>
      <c r="L175" t="str">
        <f t="shared" si="2"/>
        <v/>
      </c>
    </row>
    <row r="176" spans="1:12" x14ac:dyDescent="0.3">
      <c r="A176" t="str">
        <f>IF('Raw Enrollments'!A176="","",'Raw Enrollments'!A176)</f>
        <v/>
      </c>
      <c r="B176" t="str">
        <f>IF(A176="","",'Raw Enrollments'!B176)</f>
        <v/>
      </c>
      <c r="C176" t="str">
        <f>IF(A176="","",'Raw Enrollments'!C176)</f>
        <v/>
      </c>
      <c r="D176" t="str">
        <f>IF(A176="","",'Raw Enrollments'!E176)</f>
        <v/>
      </c>
      <c r="E176" t="str">
        <f>IF('Raw Payments'!A176="","",'Raw Payments'!A176)</f>
        <v/>
      </c>
      <c r="F176" t="str">
        <f>IF(E176="","",'Raw Payments'!B176)</f>
        <v/>
      </c>
      <c r="G176" t="str">
        <f>IF(E176="","",'Raw Payments'!F176)</f>
        <v/>
      </c>
      <c r="H176" t="str">
        <f>IF(E176="","",'Raw Payments'!H176)</f>
        <v/>
      </c>
      <c r="I176" t="str">
        <f>IF(E176="","",'Raw Payments'!I176)</f>
        <v/>
      </c>
      <c r="J176" t="str">
        <f>IF(A176="","",IF(COUNTIF('Raw Payments'!$C:$C,A176)&gt;0,"Payment Linked","No Payment"))</f>
        <v/>
      </c>
      <c r="K176" t="str">
        <f>IF(F176="","Missing Reference",IF(COUNTIF('Raw Payments'!$B:$B,F176)&gt;1,"Possible Duplicate","Reference Present"))</f>
        <v>Missing Reference</v>
      </c>
      <c r="L176" t="str">
        <f t="shared" si="2"/>
        <v/>
      </c>
    </row>
    <row r="177" spans="1:12" x14ac:dyDescent="0.3">
      <c r="A177" t="str">
        <f>IF('Raw Enrollments'!A177="","",'Raw Enrollments'!A177)</f>
        <v/>
      </c>
      <c r="B177" t="str">
        <f>IF(A177="","",'Raw Enrollments'!B177)</f>
        <v/>
      </c>
      <c r="C177" t="str">
        <f>IF(A177="","",'Raw Enrollments'!C177)</f>
        <v/>
      </c>
      <c r="D177" t="str">
        <f>IF(A177="","",'Raw Enrollments'!E177)</f>
        <v/>
      </c>
      <c r="E177" t="str">
        <f>IF('Raw Payments'!A177="","",'Raw Payments'!A177)</f>
        <v/>
      </c>
      <c r="F177" t="str">
        <f>IF(E177="","",'Raw Payments'!B177)</f>
        <v/>
      </c>
      <c r="G177" t="str">
        <f>IF(E177="","",'Raw Payments'!F177)</f>
        <v/>
      </c>
      <c r="H177" t="str">
        <f>IF(E177="","",'Raw Payments'!H177)</f>
        <v/>
      </c>
      <c r="I177" t="str">
        <f>IF(E177="","",'Raw Payments'!I177)</f>
        <v/>
      </c>
      <c r="J177" t="str">
        <f>IF(A177="","",IF(COUNTIF('Raw Payments'!$C:$C,A177)&gt;0,"Payment Linked","No Payment"))</f>
        <v/>
      </c>
      <c r="K177" t="str">
        <f>IF(F177="","Missing Reference",IF(COUNTIF('Raw Payments'!$B:$B,F177)&gt;1,"Possible Duplicate","Reference Present"))</f>
        <v>Missing Reference</v>
      </c>
      <c r="L177" t="str">
        <f t="shared" si="2"/>
        <v/>
      </c>
    </row>
    <row r="178" spans="1:12" x14ac:dyDescent="0.3">
      <c r="A178" t="str">
        <f>IF('Raw Enrollments'!A178="","",'Raw Enrollments'!A178)</f>
        <v/>
      </c>
      <c r="B178" t="str">
        <f>IF(A178="","",'Raw Enrollments'!B178)</f>
        <v/>
      </c>
      <c r="C178" t="str">
        <f>IF(A178="","",'Raw Enrollments'!C178)</f>
        <v/>
      </c>
      <c r="D178" t="str">
        <f>IF(A178="","",'Raw Enrollments'!E178)</f>
        <v/>
      </c>
      <c r="E178" t="str">
        <f>IF('Raw Payments'!A178="","",'Raw Payments'!A178)</f>
        <v/>
      </c>
      <c r="F178" t="str">
        <f>IF(E178="","",'Raw Payments'!B178)</f>
        <v/>
      </c>
      <c r="G178" t="str">
        <f>IF(E178="","",'Raw Payments'!F178)</f>
        <v/>
      </c>
      <c r="H178" t="str">
        <f>IF(E178="","",'Raw Payments'!H178)</f>
        <v/>
      </c>
      <c r="I178" t="str">
        <f>IF(E178="","",'Raw Payments'!I178)</f>
        <v/>
      </c>
      <c r="J178" t="str">
        <f>IF(A178="","",IF(COUNTIF('Raw Payments'!$C:$C,A178)&gt;0,"Payment Linked","No Payment"))</f>
        <v/>
      </c>
      <c r="K178" t="str">
        <f>IF(F178="","Missing Reference",IF(COUNTIF('Raw Payments'!$B:$B,F178)&gt;1,"Possible Duplicate","Reference Present"))</f>
        <v>Missing Reference</v>
      </c>
      <c r="L178" t="str">
        <f t="shared" si="2"/>
        <v/>
      </c>
    </row>
    <row r="179" spans="1:12" x14ac:dyDescent="0.3">
      <c r="A179" t="str">
        <f>IF('Raw Enrollments'!A179="","",'Raw Enrollments'!A179)</f>
        <v/>
      </c>
      <c r="B179" t="str">
        <f>IF(A179="","",'Raw Enrollments'!B179)</f>
        <v/>
      </c>
      <c r="C179" t="str">
        <f>IF(A179="","",'Raw Enrollments'!C179)</f>
        <v/>
      </c>
      <c r="D179" t="str">
        <f>IF(A179="","",'Raw Enrollments'!E179)</f>
        <v/>
      </c>
      <c r="E179" t="str">
        <f>IF('Raw Payments'!A179="","",'Raw Payments'!A179)</f>
        <v/>
      </c>
      <c r="F179" t="str">
        <f>IF(E179="","",'Raw Payments'!B179)</f>
        <v/>
      </c>
      <c r="G179" t="str">
        <f>IF(E179="","",'Raw Payments'!F179)</f>
        <v/>
      </c>
      <c r="H179" t="str">
        <f>IF(E179="","",'Raw Payments'!H179)</f>
        <v/>
      </c>
      <c r="I179" t="str">
        <f>IF(E179="","",'Raw Payments'!I179)</f>
        <v/>
      </c>
      <c r="J179" t="str">
        <f>IF(A179="","",IF(COUNTIF('Raw Payments'!$C:$C,A179)&gt;0,"Payment Linked","No Payment"))</f>
        <v/>
      </c>
      <c r="K179" t="str">
        <f>IF(F179="","Missing Reference",IF(COUNTIF('Raw Payments'!$B:$B,F179)&gt;1,"Possible Duplicate","Reference Present"))</f>
        <v>Missing Reference</v>
      </c>
      <c r="L179" t="str">
        <f t="shared" si="2"/>
        <v/>
      </c>
    </row>
    <row r="180" spans="1:12" x14ac:dyDescent="0.3">
      <c r="A180" t="str">
        <f>IF('Raw Enrollments'!A180="","",'Raw Enrollments'!A180)</f>
        <v/>
      </c>
      <c r="B180" t="str">
        <f>IF(A180="","",'Raw Enrollments'!B180)</f>
        <v/>
      </c>
      <c r="C180" t="str">
        <f>IF(A180="","",'Raw Enrollments'!C180)</f>
        <v/>
      </c>
      <c r="D180" t="str">
        <f>IF(A180="","",'Raw Enrollments'!E180)</f>
        <v/>
      </c>
      <c r="E180" t="str">
        <f>IF('Raw Payments'!A180="","",'Raw Payments'!A180)</f>
        <v/>
      </c>
      <c r="F180" t="str">
        <f>IF(E180="","",'Raw Payments'!B180)</f>
        <v/>
      </c>
      <c r="G180" t="str">
        <f>IF(E180="","",'Raw Payments'!F180)</f>
        <v/>
      </c>
      <c r="H180" t="str">
        <f>IF(E180="","",'Raw Payments'!H180)</f>
        <v/>
      </c>
      <c r="I180" t="str">
        <f>IF(E180="","",'Raw Payments'!I180)</f>
        <v/>
      </c>
      <c r="J180" t="str">
        <f>IF(A180="","",IF(COUNTIF('Raw Payments'!$C:$C,A180)&gt;0,"Payment Linked","No Payment"))</f>
        <v/>
      </c>
      <c r="K180" t="str">
        <f>IF(F180="","Missing Reference",IF(COUNTIF('Raw Payments'!$B:$B,F180)&gt;1,"Possible Duplicate","Reference Present"))</f>
        <v>Missing Reference</v>
      </c>
      <c r="L180" t="str">
        <f t="shared" si="2"/>
        <v/>
      </c>
    </row>
    <row r="181" spans="1:12" x14ac:dyDescent="0.3">
      <c r="A181" t="str">
        <f>IF('Raw Enrollments'!A181="","",'Raw Enrollments'!A181)</f>
        <v/>
      </c>
      <c r="B181" t="str">
        <f>IF(A181="","",'Raw Enrollments'!B181)</f>
        <v/>
      </c>
      <c r="C181" t="str">
        <f>IF(A181="","",'Raw Enrollments'!C181)</f>
        <v/>
      </c>
      <c r="D181" t="str">
        <f>IF(A181="","",'Raw Enrollments'!E181)</f>
        <v/>
      </c>
      <c r="E181" t="str">
        <f>IF('Raw Payments'!A181="","",'Raw Payments'!A181)</f>
        <v/>
      </c>
      <c r="F181" t="str">
        <f>IF(E181="","",'Raw Payments'!B181)</f>
        <v/>
      </c>
      <c r="G181" t="str">
        <f>IF(E181="","",'Raw Payments'!F181)</f>
        <v/>
      </c>
      <c r="H181" t="str">
        <f>IF(E181="","",'Raw Payments'!H181)</f>
        <v/>
      </c>
      <c r="I181" t="str">
        <f>IF(E181="","",'Raw Payments'!I181)</f>
        <v/>
      </c>
      <c r="J181" t="str">
        <f>IF(A181="","",IF(COUNTIF('Raw Payments'!$C:$C,A181)&gt;0,"Payment Linked","No Payment"))</f>
        <v/>
      </c>
      <c r="K181" t="str">
        <f>IF(F181="","Missing Reference",IF(COUNTIF('Raw Payments'!$B:$B,F181)&gt;1,"Possible Duplicate","Reference Present"))</f>
        <v>Missing Reference</v>
      </c>
      <c r="L181" t="str">
        <f t="shared" si="2"/>
        <v/>
      </c>
    </row>
    <row r="182" spans="1:12" x14ac:dyDescent="0.3">
      <c r="A182" t="str">
        <f>IF('Raw Enrollments'!A182="","",'Raw Enrollments'!A182)</f>
        <v/>
      </c>
      <c r="B182" t="str">
        <f>IF(A182="","",'Raw Enrollments'!B182)</f>
        <v/>
      </c>
      <c r="C182" t="str">
        <f>IF(A182="","",'Raw Enrollments'!C182)</f>
        <v/>
      </c>
      <c r="D182" t="str">
        <f>IF(A182="","",'Raw Enrollments'!E182)</f>
        <v/>
      </c>
      <c r="E182" t="str">
        <f>IF('Raw Payments'!A182="","",'Raw Payments'!A182)</f>
        <v/>
      </c>
      <c r="F182" t="str">
        <f>IF(E182="","",'Raw Payments'!B182)</f>
        <v/>
      </c>
      <c r="G182" t="str">
        <f>IF(E182="","",'Raw Payments'!F182)</f>
        <v/>
      </c>
      <c r="H182" t="str">
        <f>IF(E182="","",'Raw Payments'!H182)</f>
        <v/>
      </c>
      <c r="I182" t="str">
        <f>IF(E182="","",'Raw Payments'!I182)</f>
        <v/>
      </c>
      <c r="J182" t="str">
        <f>IF(A182="","",IF(COUNTIF('Raw Payments'!$C:$C,A182)&gt;0,"Payment Linked","No Payment"))</f>
        <v/>
      </c>
      <c r="K182" t="str">
        <f>IF(F182="","Missing Reference",IF(COUNTIF('Raw Payments'!$B:$B,F182)&gt;1,"Possible Duplicate","Reference Present"))</f>
        <v>Missing Reference</v>
      </c>
      <c r="L182" t="str">
        <f t="shared" si="2"/>
        <v/>
      </c>
    </row>
    <row r="183" spans="1:12" x14ac:dyDescent="0.3">
      <c r="A183" t="str">
        <f>IF('Raw Enrollments'!A183="","",'Raw Enrollments'!A183)</f>
        <v/>
      </c>
      <c r="B183" t="str">
        <f>IF(A183="","",'Raw Enrollments'!B183)</f>
        <v/>
      </c>
      <c r="C183" t="str">
        <f>IF(A183="","",'Raw Enrollments'!C183)</f>
        <v/>
      </c>
      <c r="D183" t="str">
        <f>IF(A183="","",'Raw Enrollments'!E183)</f>
        <v/>
      </c>
      <c r="E183" t="str">
        <f>IF('Raw Payments'!A183="","",'Raw Payments'!A183)</f>
        <v/>
      </c>
      <c r="F183" t="str">
        <f>IF(E183="","",'Raw Payments'!B183)</f>
        <v/>
      </c>
      <c r="G183" t="str">
        <f>IF(E183="","",'Raw Payments'!F183)</f>
        <v/>
      </c>
      <c r="H183" t="str">
        <f>IF(E183="","",'Raw Payments'!H183)</f>
        <v/>
      </c>
      <c r="I183" t="str">
        <f>IF(E183="","",'Raw Payments'!I183)</f>
        <v/>
      </c>
      <c r="J183" t="str">
        <f>IF(A183="","",IF(COUNTIF('Raw Payments'!$C:$C,A183)&gt;0,"Payment Linked","No Payment"))</f>
        <v/>
      </c>
      <c r="K183" t="str">
        <f>IF(F183="","Missing Reference",IF(COUNTIF('Raw Payments'!$B:$B,F183)&gt;1,"Possible Duplicate","Reference Present"))</f>
        <v>Missing Reference</v>
      </c>
      <c r="L183" t="str">
        <f t="shared" si="2"/>
        <v/>
      </c>
    </row>
    <row r="184" spans="1:12" x14ac:dyDescent="0.3">
      <c r="A184" t="str">
        <f>IF('Raw Enrollments'!A184="","",'Raw Enrollments'!A184)</f>
        <v/>
      </c>
      <c r="B184" t="str">
        <f>IF(A184="","",'Raw Enrollments'!B184)</f>
        <v/>
      </c>
      <c r="C184" t="str">
        <f>IF(A184="","",'Raw Enrollments'!C184)</f>
        <v/>
      </c>
      <c r="D184" t="str">
        <f>IF(A184="","",'Raw Enrollments'!E184)</f>
        <v/>
      </c>
      <c r="E184" t="str">
        <f>IF('Raw Payments'!A184="","",'Raw Payments'!A184)</f>
        <v/>
      </c>
      <c r="F184" t="str">
        <f>IF(E184="","",'Raw Payments'!B184)</f>
        <v/>
      </c>
      <c r="G184" t="str">
        <f>IF(E184="","",'Raw Payments'!F184)</f>
        <v/>
      </c>
      <c r="H184" t="str">
        <f>IF(E184="","",'Raw Payments'!H184)</f>
        <v/>
      </c>
      <c r="I184" t="str">
        <f>IF(E184="","",'Raw Payments'!I184)</f>
        <v/>
      </c>
      <c r="J184" t="str">
        <f>IF(A184="","",IF(COUNTIF('Raw Payments'!$C:$C,A184)&gt;0,"Payment Linked","No Payment"))</f>
        <v/>
      </c>
      <c r="K184" t="str">
        <f>IF(F184="","Missing Reference",IF(COUNTIF('Raw Payments'!$B:$B,F184)&gt;1,"Possible Duplicate","Reference Present"))</f>
        <v>Missing Reference</v>
      </c>
      <c r="L184" t="str">
        <f t="shared" si="2"/>
        <v/>
      </c>
    </row>
    <row r="185" spans="1:12" x14ac:dyDescent="0.3">
      <c r="A185" t="str">
        <f>IF('Raw Enrollments'!A185="","",'Raw Enrollments'!A185)</f>
        <v/>
      </c>
      <c r="B185" t="str">
        <f>IF(A185="","",'Raw Enrollments'!B185)</f>
        <v/>
      </c>
      <c r="C185" t="str">
        <f>IF(A185="","",'Raw Enrollments'!C185)</f>
        <v/>
      </c>
      <c r="D185" t="str">
        <f>IF(A185="","",'Raw Enrollments'!E185)</f>
        <v/>
      </c>
      <c r="E185" t="str">
        <f>IF('Raw Payments'!A185="","",'Raw Payments'!A185)</f>
        <v/>
      </c>
      <c r="F185" t="str">
        <f>IF(E185="","",'Raw Payments'!B185)</f>
        <v/>
      </c>
      <c r="G185" t="str">
        <f>IF(E185="","",'Raw Payments'!F185)</f>
        <v/>
      </c>
      <c r="H185" t="str">
        <f>IF(E185="","",'Raw Payments'!H185)</f>
        <v/>
      </c>
      <c r="I185" t="str">
        <f>IF(E185="","",'Raw Payments'!I185)</f>
        <v/>
      </c>
      <c r="J185" t="str">
        <f>IF(A185="","",IF(COUNTIF('Raw Payments'!$C:$C,A185)&gt;0,"Payment Linked","No Payment"))</f>
        <v/>
      </c>
      <c r="K185" t="str">
        <f>IF(F185="","Missing Reference",IF(COUNTIF('Raw Payments'!$B:$B,F185)&gt;1,"Possible Duplicate","Reference Present"))</f>
        <v>Missing Reference</v>
      </c>
      <c r="L185" t="str">
        <f t="shared" si="2"/>
        <v/>
      </c>
    </row>
    <row r="186" spans="1:12" x14ac:dyDescent="0.3">
      <c r="A186" t="str">
        <f>IF('Raw Enrollments'!A186="","",'Raw Enrollments'!A186)</f>
        <v/>
      </c>
      <c r="B186" t="str">
        <f>IF(A186="","",'Raw Enrollments'!B186)</f>
        <v/>
      </c>
      <c r="C186" t="str">
        <f>IF(A186="","",'Raw Enrollments'!C186)</f>
        <v/>
      </c>
      <c r="D186" t="str">
        <f>IF(A186="","",'Raw Enrollments'!E186)</f>
        <v/>
      </c>
      <c r="E186" t="str">
        <f>IF('Raw Payments'!A186="","",'Raw Payments'!A186)</f>
        <v/>
      </c>
      <c r="F186" t="str">
        <f>IF(E186="","",'Raw Payments'!B186)</f>
        <v/>
      </c>
      <c r="G186" t="str">
        <f>IF(E186="","",'Raw Payments'!F186)</f>
        <v/>
      </c>
      <c r="H186" t="str">
        <f>IF(E186="","",'Raw Payments'!H186)</f>
        <v/>
      </c>
      <c r="I186" t="str">
        <f>IF(E186="","",'Raw Payments'!I186)</f>
        <v/>
      </c>
      <c r="J186" t="str">
        <f>IF(A186="","",IF(COUNTIF('Raw Payments'!$C:$C,A186)&gt;0,"Payment Linked","No Payment"))</f>
        <v/>
      </c>
      <c r="K186" t="str">
        <f>IF(F186="","Missing Reference",IF(COUNTIF('Raw Payments'!$B:$B,F186)&gt;1,"Possible Duplicate","Reference Present"))</f>
        <v>Missing Reference</v>
      </c>
      <c r="L186" t="str">
        <f t="shared" si="2"/>
        <v/>
      </c>
    </row>
    <row r="187" spans="1:12" x14ac:dyDescent="0.3">
      <c r="A187" t="str">
        <f>IF('Raw Enrollments'!A187="","",'Raw Enrollments'!A187)</f>
        <v/>
      </c>
      <c r="B187" t="str">
        <f>IF(A187="","",'Raw Enrollments'!B187)</f>
        <v/>
      </c>
      <c r="C187" t="str">
        <f>IF(A187="","",'Raw Enrollments'!C187)</f>
        <v/>
      </c>
      <c r="D187" t="str">
        <f>IF(A187="","",'Raw Enrollments'!E187)</f>
        <v/>
      </c>
      <c r="E187" t="str">
        <f>IF('Raw Payments'!A187="","",'Raw Payments'!A187)</f>
        <v/>
      </c>
      <c r="F187" t="str">
        <f>IF(E187="","",'Raw Payments'!B187)</f>
        <v/>
      </c>
      <c r="G187" t="str">
        <f>IF(E187="","",'Raw Payments'!F187)</f>
        <v/>
      </c>
      <c r="H187" t="str">
        <f>IF(E187="","",'Raw Payments'!H187)</f>
        <v/>
      </c>
      <c r="I187" t="str">
        <f>IF(E187="","",'Raw Payments'!I187)</f>
        <v/>
      </c>
      <c r="J187" t="str">
        <f>IF(A187="","",IF(COUNTIF('Raw Payments'!$C:$C,A187)&gt;0,"Payment Linked","No Payment"))</f>
        <v/>
      </c>
      <c r="K187" t="str">
        <f>IF(F187="","Missing Reference",IF(COUNTIF('Raw Payments'!$B:$B,F187)&gt;1,"Possible Duplicate","Reference Present"))</f>
        <v>Missing Reference</v>
      </c>
      <c r="L187" t="str">
        <f t="shared" si="2"/>
        <v/>
      </c>
    </row>
    <row r="188" spans="1:12" x14ac:dyDescent="0.3">
      <c r="A188" t="str">
        <f>IF('Raw Enrollments'!A188="","",'Raw Enrollments'!A188)</f>
        <v/>
      </c>
      <c r="B188" t="str">
        <f>IF(A188="","",'Raw Enrollments'!B188)</f>
        <v/>
      </c>
      <c r="C188" t="str">
        <f>IF(A188="","",'Raw Enrollments'!C188)</f>
        <v/>
      </c>
      <c r="D188" t="str">
        <f>IF(A188="","",'Raw Enrollments'!E188)</f>
        <v/>
      </c>
      <c r="E188" t="str">
        <f>IF('Raw Payments'!A188="","",'Raw Payments'!A188)</f>
        <v/>
      </c>
      <c r="F188" t="str">
        <f>IF(E188="","",'Raw Payments'!B188)</f>
        <v/>
      </c>
      <c r="G188" t="str">
        <f>IF(E188="","",'Raw Payments'!F188)</f>
        <v/>
      </c>
      <c r="H188" t="str">
        <f>IF(E188="","",'Raw Payments'!H188)</f>
        <v/>
      </c>
      <c r="I188" t="str">
        <f>IF(E188="","",'Raw Payments'!I188)</f>
        <v/>
      </c>
      <c r="J188" t="str">
        <f>IF(A188="","",IF(COUNTIF('Raw Payments'!$C:$C,A188)&gt;0,"Payment Linked","No Payment"))</f>
        <v/>
      </c>
      <c r="K188" t="str">
        <f>IF(F188="","Missing Reference",IF(COUNTIF('Raw Payments'!$B:$B,F188)&gt;1,"Possible Duplicate","Reference Present"))</f>
        <v>Missing Reference</v>
      </c>
      <c r="L188" t="str">
        <f t="shared" si="2"/>
        <v/>
      </c>
    </row>
    <row r="189" spans="1:12" x14ac:dyDescent="0.3">
      <c r="A189" t="str">
        <f>IF('Raw Enrollments'!A189="","",'Raw Enrollments'!A189)</f>
        <v/>
      </c>
      <c r="B189" t="str">
        <f>IF(A189="","",'Raw Enrollments'!B189)</f>
        <v/>
      </c>
      <c r="C189" t="str">
        <f>IF(A189="","",'Raw Enrollments'!C189)</f>
        <v/>
      </c>
      <c r="D189" t="str">
        <f>IF(A189="","",'Raw Enrollments'!E189)</f>
        <v/>
      </c>
      <c r="E189" t="str">
        <f>IF('Raw Payments'!A189="","",'Raw Payments'!A189)</f>
        <v/>
      </c>
      <c r="F189" t="str">
        <f>IF(E189="","",'Raw Payments'!B189)</f>
        <v/>
      </c>
      <c r="G189" t="str">
        <f>IF(E189="","",'Raw Payments'!F189)</f>
        <v/>
      </c>
      <c r="H189" t="str">
        <f>IF(E189="","",'Raw Payments'!H189)</f>
        <v/>
      </c>
      <c r="I189" t="str">
        <f>IF(E189="","",'Raw Payments'!I189)</f>
        <v/>
      </c>
      <c r="J189" t="str">
        <f>IF(A189="","",IF(COUNTIF('Raw Payments'!$C:$C,A189)&gt;0,"Payment Linked","No Payment"))</f>
        <v/>
      </c>
      <c r="K189" t="str">
        <f>IF(F189="","Missing Reference",IF(COUNTIF('Raw Payments'!$B:$B,F189)&gt;1,"Possible Duplicate","Reference Present"))</f>
        <v>Missing Reference</v>
      </c>
      <c r="L189" t="str">
        <f t="shared" si="2"/>
        <v/>
      </c>
    </row>
    <row r="190" spans="1:12" x14ac:dyDescent="0.3">
      <c r="A190" t="str">
        <f>IF('Raw Enrollments'!A190="","",'Raw Enrollments'!A190)</f>
        <v/>
      </c>
      <c r="B190" t="str">
        <f>IF(A190="","",'Raw Enrollments'!B190)</f>
        <v/>
      </c>
      <c r="C190" t="str">
        <f>IF(A190="","",'Raw Enrollments'!C190)</f>
        <v/>
      </c>
      <c r="D190" t="str">
        <f>IF(A190="","",'Raw Enrollments'!E190)</f>
        <v/>
      </c>
      <c r="E190" t="str">
        <f>IF('Raw Payments'!A190="","",'Raw Payments'!A190)</f>
        <v/>
      </c>
      <c r="F190" t="str">
        <f>IF(E190="","",'Raw Payments'!B190)</f>
        <v/>
      </c>
      <c r="G190" t="str">
        <f>IF(E190="","",'Raw Payments'!F190)</f>
        <v/>
      </c>
      <c r="H190" t="str">
        <f>IF(E190="","",'Raw Payments'!H190)</f>
        <v/>
      </c>
      <c r="I190" t="str">
        <f>IF(E190="","",'Raw Payments'!I190)</f>
        <v/>
      </c>
      <c r="J190" t="str">
        <f>IF(A190="","",IF(COUNTIF('Raw Payments'!$C:$C,A190)&gt;0,"Payment Linked","No Payment"))</f>
        <v/>
      </c>
      <c r="K190" t="str">
        <f>IF(F190="","Missing Reference",IF(COUNTIF('Raw Payments'!$B:$B,F190)&gt;1,"Possible Duplicate","Reference Present"))</f>
        <v>Missing Reference</v>
      </c>
      <c r="L190" t="str">
        <f t="shared" si="2"/>
        <v/>
      </c>
    </row>
    <row r="191" spans="1:12" x14ac:dyDescent="0.3">
      <c r="A191" t="str">
        <f>IF('Raw Enrollments'!A191="","",'Raw Enrollments'!A191)</f>
        <v/>
      </c>
      <c r="B191" t="str">
        <f>IF(A191="","",'Raw Enrollments'!B191)</f>
        <v/>
      </c>
      <c r="C191" t="str">
        <f>IF(A191="","",'Raw Enrollments'!C191)</f>
        <v/>
      </c>
      <c r="D191" t="str">
        <f>IF(A191="","",'Raw Enrollments'!E191)</f>
        <v/>
      </c>
      <c r="E191" t="str">
        <f>IF('Raw Payments'!A191="","",'Raw Payments'!A191)</f>
        <v/>
      </c>
      <c r="F191" t="str">
        <f>IF(E191="","",'Raw Payments'!B191)</f>
        <v/>
      </c>
      <c r="G191" t="str">
        <f>IF(E191="","",'Raw Payments'!F191)</f>
        <v/>
      </c>
      <c r="H191" t="str">
        <f>IF(E191="","",'Raw Payments'!H191)</f>
        <v/>
      </c>
      <c r="I191" t="str">
        <f>IF(E191="","",'Raw Payments'!I191)</f>
        <v/>
      </c>
      <c r="J191" t="str">
        <f>IF(A191="","",IF(COUNTIF('Raw Payments'!$C:$C,A191)&gt;0,"Payment Linked","No Payment"))</f>
        <v/>
      </c>
      <c r="K191" t="str">
        <f>IF(F191="","Missing Reference",IF(COUNTIF('Raw Payments'!$B:$B,F191)&gt;1,"Possible Duplicate","Reference Present"))</f>
        <v>Missing Reference</v>
      </c>
      <c r="L191" t="str">
        <f t="shared" si="2"/>
        <v/>
      </c>
    </row>
    <row r="192" spans="1:12" x14ac:dyDescent="0.3">
      <c r="A192" t="str">
        <f>IF('Raw Enrollments'!A192="","",'Raw Enrollments'!A192)</f>
        <v/>
      </c>
      <c r="B192" t="str">
        <f>IF(A192="","",'Raw Enrollments'!B192)</f>
        <v/>
      </c>
      <c r="C192" t="str">
        <f>IF(A192="","",'Raw Enrollments'!C192)</f>
        <v/>
      </c>
      <c r="D192" t="str">
        <f>IF(A192="","",'Raw Enrollments'!E192)</f>
        <v/>
      </c>
      <c r="E192" t="str">
        <f>IF('Raw Payments'!A192="","",'Raw Payments'!A192)</f>
        <v/>
      </c>
      <c r="F192" t="str">
        <f>IF(E192="","",'Raw Payments'!B192)</f>
        <v/>
      </c>
      <c r="G192" t="str">
        <f>IF(E192="","",'Raw Payments'!F192)</f>
        <v/>
      </c>
      <c r="H192" t="str">
        <f>IF(E192="","",'Raw Payments'!H192)</f>
        <v/>
      </c>
      <c r="I192" t="str">
        <f>IF(E192="","",'Raw Payments'!I192)</f>
        <v/>
      </c>
      <c r="J192" t="str">
        <f>IF(A192="","",IF(COUNTIF('Raw Payments'!$C:$C,A192)&gt;0,"Payment Linked","No Payment"))</f>
        <v/>
      </c>
      <c r="K192" t="str">
        <f>IF(F192="","Missing Reference",IF(COUNTIF('Raw Payments'!$B:$B,F192)&gt;1,"Possible Duplicate","Reference Present"))</f>
        <v>Missing Reference</v>
      </c>
      <c r="L192" t="str">
        <f t="shared" si="2"/>
        <v/>
      </c>
    </row>
    <row r="193" spans="1:12" x14ac:dyDescent="0.3">
      <c r="A193" t="str">
        <f>IF('Raw Enrollments'!A193="","",'Raw Enrollments'!A193)</f>
        <v/>
      </c>
      <c r="B193" t="str">
        <f>IF(A193="","",'Raw Enrollments'!B193)</f>
        <v/>
      </c>
      <c r="C193" t="str">
        <f>IF(A193="","",'Raw Enrollments'!C193)</f>
        <v/>
      </c>
      <c r="D193" t="str">
        <f>IF(A193="","",'Raw Enrollments'!E193)</f>
        <v/>
      </c>
      <c r="E193" t="str">
        <f>IF('Raw Payments'!A193="","",'Raw Payments'!A193)</f>
        <v/>
      </c>
      <c r="F193" t="str">
        <f>IF(E193="","",'Raw Payments'!B193)</f>
        <v/>
      </c>
      <c r="G193" t="str">
        <f>IF(E193="","",'Raw Payments'!F193)</f>
        <v/>
      </c>
      <c r="H193" t="str">
        <f>IF(E193="","",'Raw Payments'!H193)</f>
        <v/>
      </c>
      <c r="I193" t="str">
        <f>IF(E193="","",'Raw Payments'!I193)</f>
        <v/>
      </c>
      <c r="J193" t="str">
        <f>IF(A193="","",IF(COUNTIF('Raw Payments'!$C:$C,A193)&gt;0,"Payment Linked","No Payment"))</f>
        <v/>
      </c>
      <c r="K193" t="str">
        <f>IF(F193="","Missing Reference",IF(COUNTIF('Raw Payments'!$B:$B,F193)&gt;1,"Possible Duplicate","Reference Present"))</f>
        <v>Missing Reference</v>
      </c>
      <c r="L193" t="str">
        <f t="shared" si="2"/>
        <v/>
      </c>
    </row>
    <row r="194" spans="1:12" x14ac:dyDescent="0.3">
      <c r="A194" t="str">
        <f>IF('Raw Enrollments'!A194="","",'Raw Enrollments'!A194)</f>
        <v/>
      </c>
      <c r="B194" t="str">
        <f>IF(A194="","",'Raw Enrollments'!B194)</f>
        <v/>
      </c>
      <c r="C194" t="str">
        <f>IF(A194="","",'Raw Enrollments'!C194)</f>
        <v/>
      </c>
      <c r="D194" t="str">
        <f>IF(A194="","",'Raw Enrollments'!E194)</f>
        <v/>
      </c>
      <c r="E194" t="str">
        <f>IF('Raw Payments'!A194="","",'Raw Payments'!A194)</f>
        <v/>
      </c>
      <c r="F194" t="str">
        <f>IF(E194="","",'Raw Payments'!B194)</f>
        <v/>
      </c>
      <c r="G194" t="str">
        <f>IF(E194="","",'Raw Payments'!F194)</f>
        <v/>
      </c>
      <c r="H194" t="str">
        <f>IF(E194="","",'Raw Payments'!H194)</f>
        <v/>
      </c>
      <c r="I194" t="str">
        <f>IF(E194="","",'Raw Payments'!I194)</f>
        <v/>
      </c>
      <c r="J194" t="str">
        <f>IF(A194="","",IF(COUNTIF('Raw Payments'!$C:$C,A194)&gt;0,"Payment Linked","No Payment"))</f>
        <v/>
      </c>
      <c r="K194" t="str">
        <f>IF(F194="","Missing Reference",IF(COUNTIF('Raw Payments'!$B:$B,F194)&gt;1,"Possible Duplicate","Reference Present"))</f>
        <v>Missing Reference</v>
      </c>
      <c r="L194" t="str">
        <f t="shared" si="2"/>
        <v/>
      </c>
    </row>
    <row r="195" spans="1:12" x14ac:dyDescent="0.3">
      <c r="A195" t="str">
        <f>IF('Raw Enrollments'!A195="","",'Raw Enrollments'!A195)</f>
        <v/>
      </c>
      <c r="B195" t="str">
        <f>IF(A195="","",'Raw Enrollments'!B195)</f>
        <v/>
      </c>
      <c r="C195" t="str">
        <f>IF(A195="","",'Raw Enrollments'!C195)</f>
        <v/>
      </c>
      <c r="D195" t="str">
        <f>IF(A195="","",'Raw Enrollments'!E195)</f>
        <v/>
      </c>
      <c r="E195" t="str">
        <f>IF('Raw Payments'!A195="","",'Raw Payments'!A195)</f>
        <v/>
      </c>
      <c r="F195" t="str">
        <f>IF(E195="","",'Raw Payments'!B195)</f>
        <v/>
      </c>
      <c r="G195" t="str">
        <f>IF(E195="","",'Raw Payments'!F195)</f>
        <v/>
      </c>
      <c r="H195" t="str">
        <f>IF(E195="","",'Raw Payments'!H195)</f>
        <v/>
      </c>
      <c r="I195" t="str">
        <f>IF(E195="","",'Raw Payments'!I195)</f>
        <v/>
      </c>
      <c r="J195" t="str">
        <f>IF(A195="","",IF(COUNTIF('Raw Payments'!$C:$C,A195)&gt;0,"Payment Linked","No Payment"))</f>
        <v/>
      </c>
      <c r="K195" t="str">
        <f>IF(F195="","Missing Reference",IF(COUNTIF('Raw Payments'!$B:$B,F195)&gt;1,"Possible Duplicate","Reference Present"))</f>
        <v>Missing Reference</v>
      </c>
      <c r="L195" t="str">
        <f t="shared" si="2"/>
        <v/>
      </c>
    </row>
    <row r="196" spans="1:12" x14ac:dyDescent="0.3">
      <c r="A196" t="str">
        <f>IF('Raw Enrollments'!A196="","",'Raw Enrollments'!A196)</f>
        <v/>
      </c>
      <c r="B196" t="str">
        <f>IF(A196="","",'Raw Enrollments'!B196)</f>
        <v/>
      </c>
      <c r="C196" t="str">
        <f>IF(A196="","",'Raw Enrollments'!C196)</f>
        <v/>
      </c>
      <c r="D196" t="str">
        <f>IF(A196="","",'Raw Enrollments'!E196)</f>
        <v/>
      </c>
      <c r="E196" t="str">
        <f>IF('Raw Payments'!A196="","",'Raw Payments'!A196)</f>
        <v/>
      </c>
      <c r="F196" t="str">
        <f>IF(E196="","",'Raw Payments'!B196)</f>
        <v/>
      </c>
      <c r="G196" t="str">
        <f>IF(E196="","",'Raw Payments'!F196)</f>
        <v/>
      </c>
      <c r="H196" t="str">
        <f>IF(E196="","",'Raw Payments'!H196)</f>
        <v/>
      </c>
      <c r="I196" t="str">
        <f>IF(E196="","",'Raw Payments'!I196)</f>
        <v/>
      </c>
      <c r="J196" t="str">
        <f>IF(A196="","",IF(COUNTIF('Raw Payments'!$C:$C,A196)&gt;0,"Payment Linked","No Payment"))</f>
        <v/>
      </c>
      <c r="K196" t="str">
        <f>IF(F196="","Missing Reference",IF(COUNTIF('Raw Payments'!$B:$B,F196)&gt;1,"Possible Duplicate","Reference Present"))</f>
        <v>Missing Reference</v>
      </c>
      <c r="L196" t="str">
        <f t="shared" si="2"/>
        <v/>
      </c>
    </row>
    <row r="197" spans="1:12" x14ac:dyDescent="0.3">
      <c r="A197" t="str">
        <f>IF('Raw Enrollments'!A197="","",'Raw Enrollments'!A197)</f>
        <v/>
      </c>
      <c r="B197" t="str">
        <f>IF(A197="","",'Raw Enrollments'!B197)</f>
        <v/>
      </c>
      <c r="C197" t="str">
        <f>IF(A197="","",'Raw Enrollments'!C197)</f>
        <v/>
      </c>
      <c r="D197" t="str">
        <f>IF(A197="","",'Raw Enrollments'!E197)</f>
        <v/>
      </c>
      <c r="E197" t="str">
        <f>IF('Raw Payments'!A197="","",'Raw Payments'!A197)</f>
        <v/>
      </c>
      <c r="F197" t="str">
        <f>IF(E197="","",'Raw Payments'!B197)</f>
        <v/>
      </c>
      <c r="G197" t="str">
        <f>IF(E197="","",'Raw Payments'!F197)</f>
        <v/>
      </c>
      <c r="H197" t="str">
        <f>IF(E197="","",'Raw Payments'!H197)</f>
        <v/>
      </c>
      <c r="I197" t="str">
        <f>IF(E197="","",'Raw Payments'!I197)</f>
        <v/>
      </c>
      <c r="J197" t="str">
        <f>IF(A197="","",IF(COUNTIF('Raw Payments'!$C:$C,A197)&gt;0,"Payment Linked","No Payment"))</f>
        <v/>
      </c>
      <c r="K197" t="str">
        <f>IF(F197="","Missing Reference",IF(COUNTIF('Raw Payments'!$B:$B,F197)&gt;1,"Possible Duplicate","Reference Present"))</f>
        <v>Missing Reference</v>
      </c>
      <c r="L197" t="str">
        <f t="shared" ref="L197:L260" si="3">IF(A197="","",IF(OR(J197="No Payment",K197="Missing Reference",K197="Possible Duplicate",H197=""),"Review","Check Student/Course/Status"))</f>
        <v/>
      </c>
    </row>
    <row r="198" spans="1:12" x14ac:dyDescent="0.3">
      <c r="A198" t="str">
        <f>IF('Raw Enrollments'!A198="","",'Raw Enrollments'!A198)</f>
        <v/>
      </c>
      <c r="B198" t="str">
        <f>IF(A198="","",'Raw Enrollments'!B198)</f>
        <v/>
      </c>
      <c r="C198" t="str">
        <f>IF(A198="","",'Raw Enrollments'!C198)</f>
        <v/>
      </c>
      <c r="D198" t="str">
        <f>IF(A198="","",'Raw Enrollments'!E198)</f>
        <v/>
      </c>
      <c r="E198" t="str">
        <f>IF('Raw Payments'!A198="","",'Raw Payments'!A198)</f>
        <v/>
      </c>
      <c r="F198" t="str">
        <f>IF(E198="","",'Raw Payments'!B198)</f>
        <v/>
      </c>
      <c r="G198" t="str">
        <f>IF(E198="","",'Raw Payments'!F198)</f>
        <v/>
      </c>
      <c r="H198" t="str">
        <f>IF(E198="","",'Raw Payments'!H198)</f>
        <v/>
      </c>
      <c r="I198" t="str">
        <f>IF(E198="","",'Raw Payments'!I198)</f>
        <v/>
      </c>
      <c r="J198" t="str">
        <f>IF(A198="","",IF(COUNTIF('Raw Payments'!$C:$C,A198)&gt;0,"Payment Linked","No Payment"))</f>
        <v/>
      </c>
      <c r="K198" t="str">
        <f>IF(F198="","Missing Reference",IF(COUNTIF('Raw Payments'!$B:$B,F198)&gt;1,"Possible Duplicate","Reference Present"))</f>
        <v>Missing Reference</v>
      </c>
      <c r="L198" t="str">
        <f t="shared" si="3"/>
        <v/>
      </c>
    </row>
    <row r="199" spans="1:12" x14ac:dyDescent="0.3">
      <c r="A199" t="str">
        <f>IF('Raw Enrollments'!A199="","",'Raw Enrollments'!A199)</f>
        <v/>
      </c>
      <c r="B199" t="str">
        <f>IF(A199="","",'Raw Enrollments'!B199)</f>
        <v/>
      </c>
      <c r="C199" t="str">
        <f>IF(A199="","",'Raw Enrollments'!C199)</f>
        <v/>
      </c>
      <c r="D199" t="str">
        <f>IF(A199="","",'Raw Enrollments'!E199)</f>
        <v/>
      </c>
      <c r="E199" t="str">
        <f>IF('Raw Payments'!A199="","",'Raw Payments'!A199)</f>
        <v/>
      </c>
      <c r="F199" t="str">
        <f>IF(E199="","",'Raw Payments'!B199)</f>
        <v/>
      </c>
      <c r="G199" t="str">
        <f>IF(E199="","",'Raw Payments'!F199)</f>
        <v/>
      </c>
      <c r="H199" t="str">
        <f>IF(E199="","",'Raw Payments'!H199)</f>
        <v/>
      </c>
      <c r="I199" t="str">
        <f>IF(E199="","",'Raw Payments'!I199)</f>
        <v/>
      </c>
      <c r="J199" t="str">
        <f>IF(A199="","",IF(COUNTIF('Raw Payments'!$C:$C,A199)&gt;0,"Payment Linked","No Payment"))</f>
        <v/>
      </c>
      <c r="K199" t="str">
        <f>IF(F199="","Missing Reference",IF(COUNTIF('Raw Payments'!$B:$B,F199)&gt;1,"Possible Duplicate","Reference Present"))</f>
        <v>Missing Reference</v>
      </c>
      <c r="L199" t="str">
        <f t="shared" si="3"/>
        <v/>
      </c>
    </row>
    <row r="200" spans="1:12" x14ac:dyDescent="0.3">
      <c r="A200" t="str">
        <f>IF('Raw Enrollments'!A200="","",'Raw Enrollments'!A200)</f>
        <v/>
      </c>
      <c r="B200" t="str">
        <f>IF(A200="","",'Raw Enrollments'!B200)</f>
        <v/>
      </c>
      <c r="C200" t="str">
        <f>IF(A200="","",'Raw Enrollments'!C200)</f>
        <v/>
      </c>
      <c r="D200" t="str">
        <f>IF(A200="","",'Raw Enrollments'!E200)</f>
        <v/>
      </c>
      <c r="E200" t="str">
        <f>IF('Raw Payments'!A200="","",'Raw Payments'!A200)</f>
        <v/>
      </c>
      <c r="F200" t="str">
        <f>IF(E200="","",'Raw Payments'!B200)</f>
        <v/>
      </c>
      <c r="G200" t="str">
        <f>IF(E200="","",'Raw Payments'!F200)</f>
        <v/>
      </c>
      <c r="H200" t="str">
        <f>IF(E200="","",'Raw Payments'!H200)</f>
        <v/>
      </c>
      <c r="I200" t="str">
        <f>IF(E200="","",'Raw Payments'!I200)</f>
        <v/>
      </c>
      <c r="J200" t="str">
        <f>IF(A200="","",IF(COUNTIF('Raw Payments'!$C:$C,A200)&gt;0,"Payment Linked","No Payment"))</f>
        <v/>
      </c>
      <c r="K200" t="str">
        <f>IF(F200="","Missing Reference",IF(COUNTIF('Raw Payments'!$B:$B,F200)&gt;1,"Possible Duplicate","Reference Present"))</f>
        <v>Missing Reference</v>
      </c>
      <c r="L200" t="str">
        <f t="shared" si="3"/>
        <v/>
      </c>
    </row>
    <row r="201" spans="1:12" x14ac:dyDescent="0.3">
      <c r="A201" t="str">
        <f>IF('Raw Enrollments'!A201="","",'Raw Enrollments'!A201)</f>
        <v/>
      </c>
      <c r="B201" t="str">
        <f>IF(A201="","",'Raw Enrollments'!B201)</f>
        <v/>
      </c>
      <c r="C201" t="str">
        <f>IF(A201="","",'Raw Enrollments'!C201)</f>
        <v/>
      </c>
      <c r="D201" t="str">
        <f>IF(A201="","",'Raw Enrollments'!E201)</f>
        <v/>
      </c>
      <c r="E201" t="str">
        <f>IF('Raw Payments'!A201="","",'Raw Payments'!A201)</f>
        <v/>
      </c>
      <c r="F201" t="str">
        <f>IF(E201="","",'Raw Payments'!B201)</f>
        <v/>
      </c>
      <c r="G201" t="str">
        <f>IF(E201="","",'Raw Payments'!F201)</f>
        <v/>
      </c>
      <c r="H201" t="str">
        <f>IF(E201="","",'Raw Payments'!H201)</f>
        <v/>
      </c>
      <c r="I201" t="str">
        <f>IF(E201="","",'Raw Payments'!I201)</f>
        <v/>
      </c>
      <c r="J201" t="str">
        <f>IF(A201="","",IF(COUNTIF('Raw Payments'!$C:$C,A201)&gt;0,"Payment Linked","No Payment"))</f>
        <v/>
      </c>
      <c r="K201" t="str">
        <f>IF(F201="","Missing Reference",IF(COUNTIF('Raw Payments'!$B:$B,F201)&gt;1,"Possible Duplicate","Reference Present"))</f>
        <v>Missing Reference</v>
      </c>
      <c r="L201" t="str">
        <f t="shared" si="3"/>
        <v/>
      </c>
    </row>
    <row r="202" spans="1:12" x14ac:dyDescent="0.3">
      <c r="A202" t="str">
        <f>IF('Raw Enrollments'!A202="","",'Raw Enrollments'!A202)</f>
        <v/>
      </c>
      <c r="B202" t="str">
        <f>IF(A202="","",'Raw Enrollments'!B202)</f>
        <v/>
      </c>
      <c r="C202" t="str">
        <f>IF(A202="","",'Raw Enrollments'!C202)</f>
        <v/>
      </c>
      <c r="D202" t="str">
        <f>IF(A202="","",'Raw Enrollments'!E202)</f>
        <v/>
      </c>
      <c r="E202" t="str">
        <f>IF('Raw Payments'!A202="","",'Raw Payments'!A202)</f>
        <v/>
      </c>
      <c r="F202" t="str">
        <f>IF(E202="","",'Raw Payments'!B202)</f>
        <v/>
      </c>
      <c r="G202" t="str">
        <f>IF(E202="","",'Raw Payments'!F202)</f>
        <v/>
      </c>
      <c r="H202" t="str">
        <f>IF(E202="","",'Raw Payments'!H202)</f>
        <v/>
      </c>
      <c r="I202" t="str">
        <f>IF(E202="","",'Raw Payments'!I202)</f>
        <v/>
      </c>
      <c r="J202" t="str">
        <f>IF(A202="","",IF(COUNTIF('Raw Payments'!$C:$C,A202)&gt;0,"Payment Linked","No Payment"))</f>
        <v/>
      </c>
      <c r="K202" t="str">
        <f>IF(F202="","Missing Reference",IF(COUNTIF('Raw Payments'!$B:$B,F202)&gt;1,"Possible Duplicate","Reference Present"))</f>
        <v>Missing Reference</v>
      </c>
      <c r="L202" t="str">
        <f t="shared" si="3"/>
        <v/>
      </c>
    </row>
    <row r="203" spans="1:12" x14ac:dyDescent="0.3">
      <c r="A203" t="str">
        <f>IF('Raw Enrollments'!A203="","",'Raw Enrollments'!A203)</f>
        <v/>
      </c>
      <c r="B203" t="str">
        <f>IF(A203="","",'Raw Enrollments'!B203)</f>
        <v/>
      </c>
      <c r="C203" t="str">
        <f>IF(A203="","",'Raw Enrollments'!C203)</f>
        <v/>
      </c>
      <c r="D203" t="str">
        <f>IF(A203="","",'Raw Enrollments'!E203)</f>
        <v/>
      </c>
      <c r="E203" t="str">
        <f>IF('Raw Payments'!A203="","",'Raw Payments'!A203)</f>
        <v/>
      </c>
      <c r="F203" t="str">
        <f>IF(E203="","",'Raw Payments'!B203)</f>
        <v/>
      </c>
      <c r="G203" t="str">
        <f>IF(E203="","",'Raw Payments'!F203)</f>
        <v/>
      </c>
      <c r="H203" t="str">
        <f>IF(E203="","",'Raw Payments'!H203)</f>
        <v/>
      </c>
      <c r="I203" t="str">
        <f>IF(E203="","",'Raw Payments'!I203)</f>
        <v/>
      </c>
      <c r="J203" t="str">
        <f>IF(A203="","",IF(COUNTIF('Raw Payments'!$C:$C,A203)&gt;0,"Payment Linked","No Payment"))</f>
        <v/>
      </c>
      <c r="K203" t="str">
        <f>IF(F203="","Missing Reference",IF(COUNTIF('Raw Payments'!$B:$B,F203)&gt;1,"Possible Duplicate","Reference Present"))</f>
        <v>Missing Reference</v>
      </c>
      <c r="L203" t="str">
        <f t="shared" si="3"/>
        <v/>
      </c>
    </row>
    <row r="204" spans="1:12" x14ac:dyDescent="0.3">
      <c r="A204" t="str">
        <f>IF('Raw Enrollments'!A204="","",'Raw Enrollments'!A204)</f>
        <v/>
      </c>
      <c r="B204" t="str">
        <f>IF(A204="","",'Raw Enrollments'!B204)</f>
        <v/>
      </c>
      <c r="C204" t="str">
        <f>IF(A204="","",'Raw Enrollments'!C204)</f>
        <v/>
      </c>
      <c r="D204" t="str">
        <f>IF(A204="","",'Raw Enrollments'!E204)</f>
        <v/>
      </c>
      <c r="E204" t="str">
        <f>IF('Raw Payments'!A204="","",'Raw Payments'!A204)</f>
        <v/>
      </c>
      <c r="F204" t="str">
        <f>IF(E204="","",'Raw Payments'!B204)</f>
        <v/>
      </c>
      <c r="G204" t="str">
        <f>IF(E204="","",'Raw Payments'!F204)</f>
        <v/>
      </c>
      <c r="H204" t="str">
        <f>IF(E204="","",'Raw Payments'!H204)</f>
        <v/>
      </c>
      <c r="I204" t="str">
        <f>IF(E204="","",'Raw Payments'!I204)</f>
        <v/>
      </c>
      <c r="J204" t="str">
        <f>IF(A204="","",IF(COUNTIF('Raw Payments'!$C:$C,A204)&gt;0,"Payment Linked","No Payment"))</f>
        <v/>
      </c>
      <c r="K204" t="str">
        <f>IF(F204="","Missing Reference",IF(COUNTIF('Raw Payments'!$B:$B,F204)&gt;1,"Possible Duplicate","Reference Present"))</f>
        <v>Missing Reference</v>
      </c>
      <c r="L204" t="str">
        <f t="shared" si="3"/>
        <v/>
      </c>
    </row>
    <row r="205" spans="1:12" x14ac:dyDescent="0.3">
      <c r="A205" t="str">
        <f>IF('Raw Enrollments'!A205="","",'Raw Enrollments'!A205)</f>
        <v/>
      </c>
      <c r="B205" t="str">
        <f>IF(A205="","",'Raw Enrollments'!B205)</f>
        <v/>
      </c>
      <c r="C205" t="str">
        <f>IF(A205="","",'Raw Enrollments'!C205)</f>
        <v/>
      </c>
      <c r="D205" t="str">
        <f>IF(A205="","",'Raw Enrollments'!E205)</f>
        <v/>
      </c>
      <c r="E205" t="str">
        <f>IF('Raw Payments'!A205="","",'Raw Payments'!A205)</f>
        <v/>
      </c>
      <c r="F205" t="str">
        <f>IF(E205="","",'Raw Payments'!B205)</f>
        <v/>
      </c>
      <c r="G205" t="str">
        <f>IF(E205="","",'Raw Payments'!F205)</f>
        <v/>
      </c>
      <c r="H205" t="str">
        <f>IF(E205="","",'Raw Payments'!H205)</f>
        <v/>
      </c>
      <c r="I205" t="str">
        <f>IF(E205="","",'Raw Payments'!I205)</f>
        <v/>
      </c>
      <c r="J205" t="str">
        <f>IF(A205="","",IF(COUNTIF('Raw Payments'!$C:$C,A205)&gt;0,"Payment Linked","No Payment"))</f>
        <v/>
      </c>
      <c r="K205" t="str">
        <f>IF(F205="","Missing Reference",IF(COUNTIF('Raw Payments'!$B:$B,F205)&gt;1,"Possible Duplicate","Reference Present"))</f>
        <v>Missing Reference</v>
      </c>
      <c r="L205" t="str">
        <f t="shared" si="3"/>
        <v/>
      </c>
    </row>
    <row r="206" spans="1:12" x14ac:dyDescent="0.3">
      <c r="A206" t="str">
        <f>IF('Raw Enrollments'!A206="","",'Raw Enrollments'!A206)</f>
        <v/>
      </c>
      <c r="B206" t="str">
        <f>IF(A206="","",'Raw Enrollments'!B206)</f>
        <v/>
      </c>
      <c r="C206" t="str">
        <f>IF(A206="","",'Raw Enrollments'!C206)</f>
        <v/>
      </c>
      <c r="D206" t="str">
        <f>IF(A206="","",'Raw Enrollments'!E206)</f>
        <v/>
      </c>
      <c r="E206" t="str">
        <f>IF('Raw Payments'!A206="","",'Raw Payments'!A206)</f>
        <v/>
      </c>
      <c r="F206" t="str">
        <f>IF(E206="","",'Raw Payments'!B206)</f>
        <v/>
      </c>
      <c r="G206" t="str">
        <f>IF(E206="","",'Raw Payments'!F206)</f>
        <v/>
      </c>
      <c r="H206" t="str">
        <f>IF(E206="","",'Raw Payments'!H206)</f>
        <v/>
      </c>
      <c r="I206" t="str">
        <f>IF(E206="","",'Raw Payments'!I206)</f>
        <v/>
      </c>
      <c r="J206" t="str">
        <f>IF(A206="","",IF(COUNTIF('Raw Payments'!$C:$C,A206)&gt;0,"Payment Linked","No Payment"))</f>
        <v/>
      </c>
      <c r="K206" t="str">
        <f>IF(F206="","Missing Reference",IF(COUNTIF('Raw Payments'!$B:$B,F206)&gt;1,"Possible Duplicate","Reference Present"))</f>
        <v>Missing Reference</v>
      </c>
      <c r="L206" t="str">
        <f t="shared" si="3"/>
        <v/>
      </c>
    </row>
    <row r="207" spans="1:12" x14ac:dyDescent="0.3">
      <c r="A207" t="str">
        <f>IF('Raw Enrollments'!A207="","",'Raw Enrollments'!A207)</f>
        <v/>
      </c>
      <c r="B207" t="str">
        <f>IF(A207="","",'Raw Enrollments'!B207)</f>
        <v/>
      </c>
      <c r="C207" t="str">
        <f>IF(A207="","",'Raw Enrollments'!C207)</f>
        <v/>
      </c>
      <c r="D207" t="str">
        <f>IF(A207="","",'Raw Enrollments'!E207)</f>
        <v/>
      </c>
      <c r="E207" t="str">
        <f>IF('Raw Payments'!A207="","",'Raw Payments'!A207)</f>
        <v/>
      </c>
      <c r="F207" t="str">
        <f>IF(E207="","",'Raw Payments'!B207)</f>
        <v/>
      </c>
      <c r="G207" t="str">
        <f>IF(E207="","",'Raw Payments'!F207)</f>
        <v/>
      </c>
      <c r="H207" t="str">
        <f>IF(E207="","",'Raw Payments'!H207)</f>
        <v/>
      </c>
      <c r="I207" t="str">
        <f>IF(E207="","",'Raw Payments'!I207)</f>
        <v/>
      </c>
      <c r="J207" t="str">
        <f>IF(A207="","",IF(COUNTIF('Raw Payments'!$C:$C,A207)&gt;0,"Payment Linked","No Payment"))</f>
        <v/>
      </c>
      <c r="K207" t="str">
        <f>IF(F207="","Missing Reference",IF(COUNTIF('Raw Payments'!$B:$B,F207)&gt;1,"Possible Duplicate","Reference Present"))</f>
        <v>Missing Reference</v>
      </c>
      <c r="L207" t="str">
        <f t="shared" si="3"/>
        <v/>
      </c>
    </row>
    <row r="208" spans="1:12" x14ac:dyDescent="0.3">
      <c r="A208" t="str">
        <f>IF('Raw Enrollments'!A208="","",'Raw Enrollments'!A208)</f>
        <v/>
      </c>
      <c r="B208" t="str">
        <f>IF(A208="","",'Raw Enrollments'!B208)</f>
        <v/>
      </c>
      <c r="C208" t="str">
        <f>IF(A208="","",'Raw Enrollments'!C208)</f>
        <v/>
      </c>
      <c r="D208" t="str">
        <f>IF(A208="","",'Raw Enrollments'!E208)</f>
        <v/>
      </c>
      <c r="E208" t="str">
        <f>IF('Raw Payments'!A208="","",'Raw Payments'!A208)</f>
        <v/>
      </c>
      <c r="F208" t="str">
        <f>IF(E208="","",'Raw Payments'!B208)</f>
        <v/>
      </c>
      <c r="G208" t="str">
        <f>IF(E208="","",'Raw Payments'!F208)</f>
        <v/>
      </c>
      <c r="H208" t="str">
        <f>IF(E208="","",'Raw Payments'!H208)</f>
        <v/>
      </c>
      <c r="I208" t="str">
        <f>IF(E208="","",'Raw Payments'!I208)</f>
        <v/>
      </c>
      <c r="J208" t="str">
        <f>IF(A208="","",IF(COUNTIF('Raw Payments'!$C:$C,A208)&gt;0,"Payment Linked","No Payment"))</f>
        <v/>
      </c>
      <c r="K208" t="str">
        <f>IF(F208="","Missing Reference",IF(COUNTIF('Raw Payments'!$B:$B,F208)&gt;1,"Possible Duplicate","Reference Present"))</f>
        <v>Missing Reference</v>
      </c>
      <c r="L208" t="str">
        <f t="shared" si="3"/>
        <v/>
      </c>
    </row>
    <row r="209" spans="1:12" x14ac:dyDescent="0.3">
      <c r="A209" t="str">
        <f>IF('Raw Enrollments'!A209="","",'Raw Enrollments'!A209)</f>
        <v/>
      </c>
      <c r="B209" t="str">
        <f>IF(A209="","",'Raw Enrollments'!B209)</f>
        <v/>
      </c>
      <c r="C209" t="str">
        <f>IF(A209="","",'Raw Enrollments'!C209)</f>
        <v/>
      </c>
      <c r="D209" t="str">
        <f>IF(A209="","",'Raw Enrollments'!E209)</f>
        <v/>
      </c>
      <c r="E209" t="str">
        <f>IF('Raw Payments'!A209="","",'Raw Payments'!A209)</f>
        <v/>
      </c>
      <c r="F209" t="str">
        <f>IF(E209="","",'Raw Payments'!B209)</f>
        <v/>
      </c>
      <c r="G209" t="str">
        <f>IF(E209="","",'Raw Payments'!F209)</f>
        <v/>
      </c>
      <c r="H209" t="str">
        <f>IF(E209="","",'Raw Payments'!H209)</f>
        <v/>
      </c>
      <c r="I209" t="str">
        <f>IF(E209="","",'Raw Payments'!I209)</f>
        <v/>
      </c>
      <c r="J209" t="str">
        <f>IF(A209="","",IF(COUNTIF('Raw Payments'!$C:$C,A209)&gt;0,"Payment Linked","No Payment"))</f>
        <v/>
      </c>
      <c r="K209" t="str">
        <f>IF(F209="","Missing Reference",IF(COUNTIF('Raw Payments'!$B:$B,F209)&gt;1,"Possible Duplicate","Reference Present"))</f>
        <v>Missing Reference</v>
      </c>
      <c r="L209" t="str">
        <f t="shared" si="3"/>
        <v/>
      </c>
    </row>
    <row r="210" spans="1:12" x14ac:dyDescent="0.3">
      <c r="A210" t="str">
        <f>IF('Raw Enrollments'!A210="","",'Raw Enrollments'!A210)</f>
        <v/>
      </c>
      <c r="B210" t="str">
        <f>IF(A210="","",'Raw Enrollments'!B210)</f>
        <v/>
      </c>
      <c r="C210" t="str">
        <f>IF(A210="","",'Raw Enrollments'!C210)</f>
        <v/>
      </c>
      <c r="D210" t="str">
        <f>IF(A210="","",'Raw Enrollments'!E210)</f>
        <v/>
      </c>
      <c r="E210" t="str">
        <f>IF('Raw Payments'!A210="","",'Raw Payments'!A210)</f>
        <v/>
      </c>
      <c r="F210" t="str">
        <f>IF(E210="","",'Raw Payments'!B210)</f>
        <v/>
      </c>
      <c r="G210" t="str">
        <f>IF(E210="","",'Raw Payments'!F210)</f>
        <v/>
      </c>
      <c r="H210" t="str">
        <f>IF(E210="","",'Raw Payments'!H210)</f>
        <v/>
      </c>
      <c r="I210" t="str">
        <f>IF(E210="","",'Raw Payments'!I210)</f>
        <v/>
      </c>
      <c r="J210" t="str">
        <f>IF(A210="","",IF(COUNTIF('Raw Payments'!$C:$C,A210)&gt;0,"Payment Linked","No Payment"))</f>
        <v/>
      </c>
      <c r="K210" t="str">
        <f>IF(F210="","Missing Reference",IF(COUNTIF('Raw Payments'!$B:$B,F210)&gt;1,"Possible Duplicate","Reference Present"))</f>
        <v>Missing Reference</v>
      </c>
      <c r="L210" t="str">
        <f t="shared" si="3"/>
        <v/>
      </c>
    </row>
    <row r="211" spans="1:12" x14ac:dyDescent="0.3">
      <c r="A211" t="str">
        <f>IF('Raw Enrollments'!A211="","",'Raw Enrollments'!A211)</f>
        <v/>
      </c>
      <c r="B211" t="str">
        <f>IF(A211="","",'Raw Enrollments'!B211)</f>
        <v/>
      </c>
      <c r="C211" t="str">
        <f>IF(A211="","",'Raw Enrollments'!C211)</f>
        <v/>
      </c>
      <c r="D211" t="str">
        <f>IF(A211="","",'Raw Enrollments'!E211)</f>
        <v/>
      </c>
      <c r="E211" t="str">
        <f>IF('Raw Payments'!A211="","",'Raw Payments'!A211)</f>
        <v/>
      </c>
      <c r="F211" t="str">
        <f>IF(E211="","",'Raw Payments'!B211)</f>
        <v/>
      </c>
      <c r="G211" t="str">
        <f>IF(E211="","",'Raw Payments'!F211)</f>
        <v/>
      </c>
      <c r="H211" t="str">
        <f>IF(E211="","",'Raw Payments'!H211)</f>
        <v/>
      </c>
      <c r="I211" t="str">
        <f>IF(E211="","",'Raw Payments'!I211)</f>
        <v/>
      </c>
      <c r="J211" t="str">
        <f>IF(A211="","",IF(COUNTIF('Raw Payments'!$C:$C,A211)&gt;0,"Payment Linked","No Payment"))</f>
        <v/>
      </c>
      <c r="K211" t="str">
        <f>IF(F211="","Missing Reference",IF(COUNTIF('Raw Payments'!$B:$B,F211)&gt;1,"Possible Duplicate","Reference Present"))</f>
        <v>Missing Reference</v>
      </c>
      <c r="L211" t="str">
        <f t="shared" si="3"/>
        <v/>
      </c>
    </row>
    <row r="212" spans="1:12" x14ac:dyDescent="0.3">
      <c r="A212" t="str">
        <f>IF('Raw Enrollments'!A212="","",'Raw Enrollments'!A212)</f>
        <v/>
      </c>
      <c r="B212" t="str">
        <f>IF(A212="","",'Raw Enrollments'!B212)</f>
        <v/>
      </c>
      <c r="C212" t="str">
        <f>IF(A212="","",'Raw Enrollments'!C212)</f>
        <v/>
      </c>
      <c r="D212" t="str">
        <f>IF(A212="","",'Raw Enrollments'!E212)</f>
        <v/>
      </c>
      <c r="E212" t="str">
        <f>IF('Raw Payments'!A212="","",'Raw Payments'!A212)</f>
        <v/>
      </c>
      <c r="F212" t="str">
        <f>IF(E212="","",'Raw Payments'!B212)</f>
        <v/>
      </c>
      <c r="G212" t="str">
        <f>IF(E212="","",'Raw Payments'!F212)</f>
        <v/>
      </c>
      <c r="H212" t="str">
        <f>IF(E212="","",'Raw Payments'!H212)</f>
        <v/>
      </c>
      <c r="I212" t="str">
        <f>IF(E212="","",'Raw Payments'!I212)</f>
        <v/>
      </c>
      <c r="J212" t="str">
        <f>IF(A212="","",IF(COUNTIF('Raw Payments'!$C:$C,A212)&gt;0,"Payment Linked","No Payment"))</f>
        <v/>
      </c>
      <c r="K212" t="str">
        <f>IF(F212="","Missing Reference",IF(COUNTIF('Raw Payments'!$B:$B,F212)&gt;1,"Possible Duplicate","Reference Present"))</f>
        <v>Missing Reference</v>
      </c>
      <c r="L212" t="str">
        <f t="shared" si="3"/>
        <v/>
      </c>
    </row>
    <row r="213" spans="1:12" x14ac:dyDescent="0.3">
      <c r="A213" t="str">
        <f>IF('Raw Enrollments'!A213="","",'Raw Enrollments'!A213)</f>
        <v/>
      </c>
      <c r="B213" t="str">
        <f>IF(A213="","",'Raw Enrollments'!B213)</f>
        <v/>
      </c>
      <c r="C213" t="str">
        <f>IF(A213="","",'Raw Enrollments'!C213)</f>
        <v/>
      </c>
      <c r="D213" t="str">
        <f>IF(A213="","",'Raw Enrollments'!E213)</f>
        <v/>
      </c>
      <c r="E213" t="str">
        <f>IF('Raw Payments'!A213="","",'Raw Payments'!A213)</f>
        <v/>
      </c>
      <c r="F213" t="str">
        <f>IF(E213="","",'Raw Payments'!B213)</f>
        <v/>
      </c>
      <c r="G213" t="str">
        <f>IF(E213="","",'Raw Payments'!F213)</f>
        <v/>
      </c>
      <c r="H213" t="str">
        <f>IF(E213="","",'Raw Payments'!H213)</f>
        <v/>
      </c>
      <c r="I213" t="str">
        <f>IF(E213="","",'Raw Payments'!I213)</f>
        <v/>
      </c>
      <c r="J213" t="str">
        <f>IF(A213="","",IF(COUNTIF('Raw Payments'!$C:$C,A213)&gt;0,"Payment Linked","No Payment"))</f>
        <v/>
      </c>
      <c r="K213" t="str">
        <f>IF(F213="","Missing Reference",IF(COUNTIF('Raw Payments'!$B:$B,F213)&gt;1,"Possible Duplicate","Reference Present"))</f>
        <v>Missing Reference</v>
      </c>
      <c r="L213" t="str">
        <f t="shared" si="3"/>
        <v/>
      </c>
    </row>
    <row r="214" spans="1:12" x14ac:dyDescent="0.3">
      <c r="A214" t="str">
        <f>IF('Raw Enrollments'!A214="","",'Raw Enrollments'!A214)</f>
        <v/>
      </c>
      <c r="B214" t="str">
        <f>IF(A214="","",'Raw Enrollments'!B214)</f>
        <v/>
      </c>
      <c r="C214" t="str">
        <f>IF(A214="","",'Raw Enrollments'!C214)</f>
        <v/>
      </c>
      <c r="D214" t="str">
        <f>IF(A214="","",'Raw Enrollments'!E214)</f>
        <v/>
      </c>
      <c r="E214" t="str">
        <f>IF('Raw Payments'!A214="","",'Raw Payments'!A214)</f>
        <v/>
      </c>
      <c r="F214" t="str">
        <f>IF(E214="","",'Raw Payments'!B214)</f>
        <v/>
      </c>
      <c r="G214" t="str">
        <f>IF(E214="","",'Raw Payments'!F214)</f>
        <v/>
      </c>
      <c r="H214" t="str">
        <f>IF(E214="","",'Raw Payments'!H214)</f>
        <v/>
      </c>
      <c r="I214" t="str">
        <f>IF(E214="","",'Raw Payments'!I214)</f>
        <v/>
      </c>
      <c r="J214" t="str">
        <f>IF(A214="","",IF(COUNTIF('Raw Payments'!$C:$C,A214)&gt;0,"Payment Linked","No Payment"))</f>
        <v/>
      </c>
      <c r="K214" t="str">
        <f>IF(F214="","Missing Reference",IF(COUNTIF('Raw Payments'!$B:$B,F214)&gt;1,"Possible Duplicate","Reference Present"))</f>
        <v>Missing Reference</v>
      </c>
      <c r="L214" t="str">
        <f t="shared" si="3"/>
        <v/>
      </c>
    </row>
    <row r="215" spans="1:12" x14ac:dyDescent="0.3">
      <c r="A215" t="str">
        <f>IF('Raw Enrollments'!A215="","",'Raw Enrollments'!A215)</f>
        <v/>
      </c>
      <c r="B215" t="str">
        <f>IF(A215="","",'Raw Enrollments'!B215)</f>
        <v/>
      </c>
      <c r="C215" t="str">
        <f>IF(A215="","",'Raw Enrollments'!C215)</f>
        <v/>
      </c>
      <c r="D215" t="str">
        <f>IF(A215="","",'Raw Enrollments'!E215)</f>
        <v/>
      </c>
      <c r="E215" t="str">
        <f>IF('Raw Payments'!A215="","",'Raw Payments'!A215)</f>
        <v/>
      </c>
      <c r="F215" t="str">
        <f>IF(E215="","",'Raw Payments'!B215)</f>
        <v/>
      </c>
      <c r="G215" t="str">
        <f>IF(E215="","",'Raw Payments'!F215)</f>
        <v/>
      </c>
      <c r="H215" t="str">
        <f>IF(E215="","",'Raw Payments'!H215)</f>
        <v/>
      </c>
      <c r="I215" t="str">
        <f>IF(E215="","",'Raw Payments'!I215)</f>
        <v/>
      </c>
      <c r="J215" t="str">
        <f>IF(A215="","",IF(COUNTIF('Raw Payments'!$C:$C,A215)&gt;0,"Payment Linked","No Payment"))</f>
        <v/>
      </c>
      <c r="K215" t="str">
        <f>IF(F215="","Missing Reference",IF(COUNTIF('Raw Payments'!$B:$B,F215)&gt;1,"Possible Duplicate","Reference Present"))</f>
        <v>Missing Reference</v>
      </c>
      <c r="L215" t="str">
        <f t="shared" si="3"/>
        <v/>
      </c>
    </row>
    <row r="216" spans="1:12" x14ac:dyDescent="0.3">
      <c r="A216" t="str">
        <f>IF('Raw Enrollments'!A216="","",'Raw Enrollments'!A216)</f>
        <v/>
      </c>
      <c r="B216" t="str">
        <f>IF(A216="","",'Raw Enrollments'!B216)</f>
        <v/>
      </c>
      <c r="C216" t="str">
        <f>IF(A216="","",'Raw Enrollments'!C216)</f>
        <v/>
      </c>
      <c r="D216" t="str">
        <f>IF(A216="","",'Raw Enrollments'!E216)</f>
        <v/>
      </c>
      <c r="E216" t="str">
        <f>IF('Raw Payments'!A216="","",'Raw Payments'!A216)</f>
        <v/>
      </c>
      <c r="F216" t="str">
        <f>IF(E216="","",'Raw Payments'!B216)</f>
        <v/>
      </c>
      <c r="G216" t="str">
        <f>IF(E216="","",'Raw Payments'!F216)</f>
        <v/>
      </c>
      <c r="H216" t="str">
        <f>IF(E216="","",'Raw Payments'!H216)</f>
        <v/>
      </c>
      <c r="I216" t="str">
        <f>IF(E216="","",'Raw Payments'!I216)</f>
        <v/>
      </c>
      <c r="J216" t="str">
        <f>IF(A216="","",IF(COUNTIF('Raw Payments'!$C:$C,A216)&gt;0,"Payment Linked","No Payment"))</f>
        <v/>
      </c>
      <c r="K216" t="str">
        <f>IF(F216="","Missing Reference",IF(COUNTIF('Raw Payments'!$B:$B,F216)&gt;1,"Possible Duplicate","Reference Present"))</f>
        <v>Missing Reference</v>
      </c>
      <c r="L216" t="str">
        <f t="shared" si="3"/>
        <v/>
      </c>
    </row>
    <row r="217" spans="1:12" x14ac:dyDescent="0.3">
      <c r="A217" t="str">
        <f>IF('Raw Enrollments'!A217="","",'Raw Enrollments'!A217)</f>
        <v/>
      </c>
      <c r="B217" t="str">
        <f>IF(A217="","",'Raw Enrollments'!B217)</f>
        <v/>
      </c>
      <c r="C217" t="str">
        <f>IF(A217="","",'Raw Enrollments'!C217)</f>
        <v/>
      </c>
      <c r="D217" t="str">
        <f>IF(A217="","",'Raw Enrollments'!E217)</f>
        <v/>
      </c>
      <c r="E217" t="str">
        <f>IF('Raw Payments'!A217="","",'Raw Payments'!A217)</f>
        <v/>
      </c>
      <c r="F217" t="str">
        <f>IF(E217="","",'Raw Payments'!B217)</f>
        <v/>
      </c>
      <c r="G217" t="str">
        <f>IF(E217="","",'Raw Payments'!F217)</f>
        <v/>
      </c>
      <c r="H217" t="str">
        <f>IF(E217="","",'Raw Payments'!H217)</f>
        <v/>
      </c>
      <c r="I217" t="str">
        <f>IF(E217="","",'Raw Payments'!I217)</f>
        <v/>
      </c>
      <c r="J217" t="str">
        <f>IF(A217="","",IF(COUNTIF('Raw Payments'!$C:$C,A217)&gt;0,"Payment Linked","No Payment"))</f>
        <v/>
      </c>
      <c r="K217" t="str">
        <f>IF(F217="","Missing Reference",IF(COUNTIF('Raw Payments'!$B:$B,F217)&gt;1,"Possible Duplicate","Reference Present"))</f>
        <v>Missing Reference</v>
      </c>
      <c r="L217" t="str">
        <f t="shared" si="3"/>
        <v/>
      </c>
    </row>
    <row r="218" spans="1:12" x14ac:dyDescent="0.3">
      <c r="A218" t="str">
        <f>IF('Raw Enrollments'!A218="","",'Raw Enrollments'!A218)</f>
        <v/>
      </c>
      <c r="B218" t="str">
        <f>IF(A218="","",'Raw Enrollments'!B218)</f>
        <v/>
      </c>
      <c r="C218" t="str">
        <f>IF(A218="","",'Raw Enrollments'!C218)</f>
        <v/>
      </c>
      <c r="D218" t="str">
        <f>IF(A218="","",'Raw Enrollments'!E218)</f>
        <v/>
      </c>
      <c r="E218" t="str">
        <f>IF('Raw Payments'!A218="","",'Raw Payments'!A218)</f>
        <v/>
      </c>
      <c r="F218" t="str">
        <f>IF(E218="","",'Raw Payments'!B218)</f>
        <v/>
      </c>
      <c r="G218" t="str">
        <f>IF(E218="","",'Raw Payments'!F218)</f>
        <v/>
      </c>
      <c r="H218" t="str">
        <f>IF(E218="","",'Raw Payments'!H218)</f>
        <v/>
      </c>
      <c r="I218" t="str">
        <f>IF(E218="","",'Raw Payments'!I218)</f>
        <v/>
      </c>
      <c r="J218" t="str">
        <f>IF(A218="","",IF(COUNTIF('Raw Payments'!$C:$C,A218)&gt;0,"Payment Linked","No Payment"))</f>
        <v/>
      </c>
      <c r="K218" t="str">
        <f>IF(F218="","Missing Reference",IF(COUNTIF('Raw Payments'!$B:$B,F218)&gt;1,"Possible Duplicate","Reference Present"))</f>
        <v>Missing Reference</v>
      </c>
      <c r="L218" t="str">
        <f t="shared" si="3"/>
        <v/>
      </c>
    </row>
    <row r="219" spans="1:12" x14ac:dyDescent="0.3">
      <c r="A219" t="str">
        <f>IF('Raw Enrollments'!A219="","",'Raw Enrollments'!A219)</f>
        <v/>
      </c>
      <c r="B219" t="str">
        <f>IF(A219="","",'Raw Enrollments'!B219)</f>
        <v/>
      </c>
      <c r="C219" t="str">
        <f>IF(A219="","",'Raw Enrollments'!C219)</f>
        <v/>
      </c>
      <c r="D219" t="str">
        <f>IF(A219="","",'Raw Enrollments'!E219)</f>
        <v/>
      </c>
      <c r="E219" t="str">
        <f>IF('Raw Payments'!A219="","",'Raw Payments'!A219)</f>
        <v/>
      </c>
      <c r="F219" t="str">
        <f>IF(E219="","",'Raw Payments'!B219)</f>
        <v/>
      </c>
      <c r="G219" t="str">
        <f>IF(E219="","",'Raw Payments'!F219)</f>
        <v/>
      </c>
      <c r="H219" t="str">
        <f>IF(E219="","",'Raw Payments'!H219)</f>
        <v/>
      </c>
      <c r="I219" t="str">
        <f>IF(E219="","",'Raw Payments'!I219)</f>
        <v/>
      </c>
      <c r="J219" t="str">
        <f>IF(A219="","",IF(COUNTIF('Raw Payments'!$C:$C,A219)&gt;0,"Payment Linked","No Payment"))</f>
        <v/>
      </c>
      <c r="K219" t="str">
        <f>IF(F219="","Missing Reference",IF(COUNTIF('Raw Payments'!$B:$B,F219)&gt;1,"Possible Duplicate","Reference Present"))</f>
        <v>Missing Reference</v>
      </c>
      <c r="L219" t="str">
        <f t="shared" si="3"/>
        <v/>
      </c>
    </row>
    <row r="220" spans="1:12" x14ac:dyDescent="0.3">
      <c r="A220" t="str">
        <f>IF('Raw Enrollments'!A220="","",'Raw Enrollments'!A220)</f>
        <v/>
      </c>
      <c r="B220" t="str">
        <f>IF(A220="","",'Raw Enrollments'!B220)</f>
        <v/>
      </c>
      <c r="C220" t="str">
        <f>IF(A220="","",'Raw Enrollments'!C220)</f>
        <v/>
      </c>
      <c r="D220" t="str">
        <f>IF(A220="","",'Raw Enrollments'!E220)</f>
        <v/>
      </c>
      <c r="E220" t="str">
        <f>IF('Raw Payments'!A220="","",'Raw Payments'!A220)</f>
        <v/>
      </c>
      <c r="F220" t="str">
        <f>IF(E220="","",'Raw Payments'!B220)</f>
        <v/>
      </c>
      <c r="G220" t="str">
        <f>IF(E220="","",'Raw Payments'!F220)</f>
        <v/>
      </c>
      <c r="H220" t="str">
        <f>IF(E220="","",'Raw Payments'!H220)</f>
        <v/>
      </c>
      <c r="I220" t="str">
        <f>IF(E220="","",'Raw Payments'!I220)</f>
        <v/>
      </c>
      <c r="J220" t="str">
        <f>IF(A220="","",IF(COUNTIF('Raw Payments'!$C:$C,A220)&gt;0,"Payment Linked","No Payment"))</f>
        <v/>
      </c>
      <c r="K220" t="str">
        <f>IF(F220="","Missing Reference",IF(COUNTIF('Raw Payments'!$B:$B,F220)&gt;1,"Possible Duplicate","Reference Present"))</f>
        <v>Missing Reference</v>
      </c>
      <c r="L220" t="str">
        <f t="shared" si="3"/>
        <v/>
      </c>
    </row>
    <row r="221" spans="1:12" x14ac:dyDescent="0.3">
      <c r="A221" t="str">
        <f>IF('Raw Enrollments'!A221="","",'Raw Enrollments'!A221)</f>
        <v/>
      </c>
      <c r="B221" t="str">
        <f>IF(A221="","",'Raw Enrollments'!B221)</f>
        <v/>
      </c>
      <c r="C221" t="str">
        <f>IF(A221="","",'Raw Enrollments'!C221)</f>
        <v/>
      </c>
      <c r="D221" t="str">
        <f>IF(A221="","",'Raw Enrollments'!E221)</f>
        <v/>
      </c>
      <c r="E221" t="str">
        <f>IF('Raw Payments'!A221="","",'Raw Payments'!A221)</f>
        <v/>
      </c>
      <c r="F221" t="str">
        <f>IF(E221="","",'Raw Payments'!B221)</f>
        <v/>
      </c>
      <c r="G221" t="str">
        <f>IF(E221="","",'Raw Payments'!F221)</f>
        <v/>
      </c>
      <c r="H221" t="str">
        <f>IF(E221="","",'Raw Payments'!H221)</f>
        <v/>
      </c>
      <c r="I221" t="str">
        <f>IF(E221="","",'Raw Payments'!I221)</f>
        <v/>
      </c>
      <c r="J221" t="str">
        <f>IF(A221="","",IF(COUNTIF('Raw Payments'!$C:$C,A221)&gt;0,"Payment Linked","No Payment"))</f>
        <v/>
      </c>
      <c r="K221" t="str">
        <f>IF(F221="","Missing Reference",IF(COUNTIF('Raw Payments'!$B:$B,F221)&gt;1,"Possible Duplicate","Reference Present"))</f>
        <v>Missing Reference</v>
      </c>
      <c r="L221" t="str">
        <f t="shared" si="3"/>
        <v/>
      </c>
    </row>
    <row r="222" spans="1:12" x14ac:dyDescent="0.3">
      <c r="A222" t="str">
        <f>IF('Raw Enrollments'!A222="","",'Raw Enrollments'!A222)</f>
        <v/>
      </c>
      <c r="B222" t="str">
        <f>IF(A222="","",'Raw Enrollments'!B222)</f>
        <v/>
      </c>
      <c r="C222" t="str">
        <f>IF(A222="","",'Raw Enrollments'!C222)</f>
        <v/>
      </c>
      <c r="D222" t="str">
        <f>IF(A222="","",'Raw Enrollments'!E222)</f>
        <v/>
      </c>
      <c r="E222" t="str">
        <f>IF('Raw Payments'!A222="","",'Raw Payments'!A222)</f>
        <v/>
      </c>
      <c r="F222" t="str">
        <f>IF(E222="","",'Raw Payments'!B222)</f>
        <v/>
      </c>
      <c r="G222" t="str">
        <f>IF(E222="","",'Raw Payments'!F222)</f>
        <v/>
      </c>
      <c r="H222" t="str">
        <f>IF(E222="","",'Raw Payments'!H222)</f>
        <v/>
      </c>
      <c r="I222" t="str">
        <f>IF(E222="","",'Raw Payments'!I222)</f>
        <v/>
      </c>
      <c r="J222" t="str">
        <f>IF(A222="","",IF(COUNTIF('Raw Payments'!$C:$C,A222)&gt;0,"Payment Linked","No Payment"))</f>
        <v/>
      </c>
      <c r="K222" t="str">
        <f>IF(F222="","Missing Reference",IF(COUNTIF('Raw Payments'!$B:$B,F222)&gt;1,"Possible Duplicate","Reference Present"))</f>
        <v>Missing Reference</v>
      </c>
      <c r="L222" t="str">
        <f t="shared" si="3"/>
        <v/>
      </c>
    </row>
    <row r="223" spans="1:12" x14ac:dyDescent="0.3">
      <c r="A223" t="str">
        <f>IF('Raw Enrollments'!A223="","",'Raw Enrollments'!A223)</f>
        <v/>
      </c>
      <c r="B223" t="str">
        <f>IF(A223="","",'Raw Enrollments'!B223)</f>
        <v/>
      </c>
      <c r="C223" t="str">
        <f>IF(A223="","",'Raw Enrollments'!C223)</f>
        <v/>
      </c>
      <c r="D223" t="str">
        <f>IF(A223="","",'Raw Enrollments'!E223)</f>
        <v/>
      </c>
      <c r="E223" t="str">
        <f>IF('Raw Payments'!A223="","",'Raw Payments'!A223)</f>
        <v/>
      </c>
      <c r="F223" t="str">
        <f>IF(E223="","",'Raw Payments'!B223)</f>
        <v/>
      </c>
      <c r="G223" t="str">
        <f>IF(E223="","",'Raw Payments'!F223)</f>
        <v/>
      </c>
      <c r="H223" t="str">
        <f>IF(E223="","",'Raw Payments'!H223)</f>
        <v/>
      </c>
      <c r="I223" t="str">
        <f>IF(E223="","",'Raw Payments'!I223)</f>
        <v/>
      </c>
      <c r="J223" t="str">
        <f>IF(A223="","",IF(COUNTIF('Raw Payments'!$C:$C,A223)&gt;0,"Payment Linked","No Payment"))</f>
        <v/>
      </c>
      <c r="K223" t="str">
        <f>IF(F223="","Missing Reference",IF(COUNTIF('Raw Payments'!$B:$B,F223)&gt;1,"Possible Duplicate","Reference Present"))</f>
        <v>Missing Reference</v>
      </c>
      <c r="L223" t="str">
        <f t="shared" si="3"/>
        <v/>
      </c>
    </row>
    <row r="224" spans="1:12" x14ac:dyDescent="0.3">
      <c r="A224" t="str">
        <f>IF('Raw Enrollments'!A224="","",'Raw Enrollments'!A224)</f>
        <v/>
      </c>
      <c r="B224" t="str">
        <f>IF(A224="","",'Raw Enrollments'!B224)</f>
        <v/>
      </c>
      <c r="C224" t="str">
        <f>IF(A224="","",'Raw Enrollments'!C224)</f>
        <v/>
      </c>
      <c r="D224" t="str">
        <f>IF(A224="","",'Raw Enrollments'!E224)</f>
        <v/>
      </c>
      <c r="E224" t="str">
        <f>IF('Raw Payments'!A224="","",'Raw Payments'!A224)</f>
        <v/>
      </c>
      <c r="F224" t="str">
        <f>IF(E224="","",'Raw Payments'!B224)</f>
        <v/>
      </c>
      <c r="G224" t="str">
        <f>IF(E224="","",'Raw Payments'!F224)</f>
        <v/>
      </c>
      <c r="H224" t="str">
        <f>IF(E224="","",'Raw Payments'!H224)</f>
        <v/>
      </c>
      <c r="I224" t="str">
        <f>IF(E224="","",'Raw Payments'!I224)</f>
        <v/>
      </c>
      <c r="J224" t="str">
        <f>IF(A224="","",IF(COUNTIF('Raw Payments'!$C:$C,A224)&gt;0,"Payment Linked","No Payment"))</f>
        <v/>
      </c>
      <c r="K224" t="str">
        <f>IF(F224="","Missing Reference",IF(COUNTIF('Raw Payments'!$B:$B,F224)&gt;1,"Possible Duplicate","Reference Present"))</f>
        <v>Missing Reference</v>
      </c>
      <c r="L224" t="str">
        <f t="shared" si="3"/>
        <v/>
      </c>
    </row>
    <row r="225" spans="1:12" x14ac:dyDescent="0.3">
      <c r="A225" t="str">
        <f>IF('Raw Enrollments'!A225="","",'Raw Enrollments'!A225)</f>
        <v/>
      </c>
      <c r="B225" t="str">
        <f>IF(A225="","",'Raw Enrollments'!B225)</f>
        <v/>
      </c>
      <c r="C225" t="str">
        <f>IF(A225="","",'Raw Enrollments'!C225)</f>
        <v/>
      </c>
      <c r="D225" t="str">
        <f>IF(A225="","",'Raw Enrollments'!E225)</f>
        <v/>
      </c>
      <c r="E225" t="str">
        <f>IF('Raw Payments'!A225="","",'Raw Payments'!A225)</f>
        <v/>
      </c>
      <c r="F225" t="str">
        <f>IF(E225="","",'Raw Payments'!B225)</f>
        <v/>
      </c>
      <c r="G225" t="str">
        <f>IF(E225="","",'Raw Payments'!F225)</f>
        <v/>
      </c>
      <c r="H225" t="str">
        <f>IF(E225="","",'Raw Payments'!H225)</f>
        <v/>
      </c>
      <c r="I225" t="str">
        <f>IF(E225="","",'Raw Payments'!I225)</f>
        <v/>
      </c>
      <c r="J225" t="str">
        <f>IF(A225="","",IF(COUNTIF('Raw Payments'!$C:$C,A225)&gt;0,"Payment Linked","No Payment"))</f>
        <v/>
      </c>
      <c r="K225" t="str">
        <f>IF(F225="","Missing Reference",IF(COUNTIF('Raw Payments'!$B:$B,F225)&gt;1,"Possible Duplicate","Reference Present"))</f>
        <v>Missing Reference</v>
      </c>
      <c r="L225" t="str">
        <f t="shared" si="3"/>
        <v/>
      </c>
    </row>
    <row r="226" spans="1:12" x14ac:dyDescent="0.3">
      <c r="A226" t="str">
        <f>IF('Raw Enrollments'!A226="","",'Raw Enrollments'!A226)</f>
        <v/>
      </c>
      <c r="B226" t="str">
        <f>IF(A226="","",'Raw Enrollments'!B226)</f>
        <v/>
      </c>
      <c r="C226" t="str">
        <f>IF(A226="","",'Raw Enrollments'!C226)</f>
        <v/>
      </c>
      <c r="D226" t="str">
        <f>IF(A226="","",'Raw Enrollments'!E226)</f>
        <v/>
      </c>
      <c r="E226" t="str">
        <f>IF('Raw Payments'!A226="","",'Raw Payments'!A226)</f>
        <v/>
      </c>
      <c r="F226" t="str">
        <f>IF(E226="","",'Raw Payments'!B226)</f>
        <v/>
      </c>
      <c r="G226" t="str">
        <f>IF(E226="","",'Raw Payments'!F226)</f>
        <v/>
      </c>
      <c r="H226" t="str">
        <f>IF(E226="","",'Raw Payments'!H226)</f>
        <v/>
      </c>
      <c r="I226" t="str">
        <f>IF(E226="","",'Raw Payments'!I226)</f>
        <v/>
      </c>
      <c r="J226" t="str">
        <f>IF(A226="","",IF(COUNTIF('Raw Payments'!$C:$C,A226)&gt;0,"Payment Linked","No Payment"))</f>
        <v/>
      </c>
      <c r="K226" t="str">
        <f>IF(F226="","Missing Reference",IF(COUNTIF('Raw Payments'!$B:$B,F226)&gt;1,"Possible Duplicate","Reference Present"))</f>
        <v>Missing Reference</v>
      </c>
      <c r="L226" t="str">
        <f t="shared" si="3"/>
        <v/>
      </c>
    </row>
    <row r="227" spans="1:12" x14ac:dyDescent="0.3">
      <c r="A227" t="str">
        <f>IF('Raw Enrollments'!A227="","",'Raw Enrollments'!A227)</f>
        <v/>
      </c>
      <c r="B227" t="str">
        <f>IF(A227="","",'Raw Enrollments'!B227)</f>
        <v/>
      </c>
      <c r="C227" t="str">
        <f>IF(A227="","",'Raw Enrollments'!C227)</f>
        <v/>
      </c>
      <c r="D227" t="str">
        <f>IF(A227="","",'Raw Enrollments'!E227)</f>
        <v/>
      </c>
      <c r="E227" t="str">
        <f>IF('Raw Payments'!A227="","",'Raw Payments'!A227)</f>
        <v/>
      </c>
      <c r="F227" t="str">
        <f>IF(E227="","",'Raw Payments'!B227)</f>
        <v/>
      </c>
      <c r="G227" t="str">
        <f>IF(E227="","",'Raw Payments'!F227)</f>
        <v/>
      </c>
      <c r="H227" t="str">
        <f>IF(E227="","",'Raw Payments'!H227)</f>
        <v/>
      </c>
      <c r="I227" t="str">
        <f>IF(E227="","",'Raw Payments'!I227)</f>
        <v/>
      </c>
      <c r="J227" t="str">
        <f>IF(A227="","",IF(COUNTIF('Raw Payments'!$C:$C,A227)&gt;0,"Payment Linked","No Payment"))</f>
        <v/>
      </c>
      <c r="K227" t="str">
        <f>IF(F227="","Missing Reference",IF(COUNTIF('Raw Payments'!$B:$B,F227)&gt;1,"Possible Duplicate","Reference Present"))</f>
        <v>Missing Reference</v>
      </c>
      <c r="L227" t="str">
        <f t="shared" si="3"/>
        <v/>
      </c>
    </row>
    <row r="228" spans="1:12" x14ac:dyDescent="0.3">
      <c r="A228" t="str">
        <f>IF('Raw Enrollments'!A228="","",'Raw Enrollments'!A228)</f>
        <v/>
      </c>
      <c r="B228" t="str">
        <f>IF(A228="","",'Raw Enrollments'!B228)</f>
        <v/>
      </c>
      <c r="C228" t="str">
        <f>IF(A228="","",'Raw Enrollments'!C228)</f>
        <v/>
      </c>
      <c r="D228" t="str">
        <f>IF(A228="","",'Raw Enrollments'!E228)</f>
        <v/>
      </c>
      <c r="E228" t="str">
        <f>IF('Raw Payments'!A228="","",'Raw Payments'!A228)</f>
        <v/>
      </c>
      <c r="F228" t="str">
        <f>IF(E228="","",'Raw Payments'!B228)</f>
        <v/>
      </c>
      <c r="G228" t="str">
        <f>IF(E228="","",'Raw Payments'!F228)</f>
        <v/>
      </c>
      <c r="H228" t="str">
        <f>IF(E228="","",'Raw Payments'!H228)</f>
        <v/>
      </c>
      <c r="I228" t="str">
        <f>IF(E228="","",'Raw Payments'!I228)</f>
        <v/>
      </c>
      <c r="J228" t="str">
        <f>IF(A228="","",IF(COUNTIF('Raw Payments'!$C:$C,A228)&gt;0,"Payment Linked","No Payment"))</f>
        <v/>
      </c>
      <c r="K228" t="str">
        <f>IF(F228="","Missing Reference",IF(COUNTIF('Raw Payments'!$B:$B,F228)&gt;1,"Possible Duplicate","Reference Present"))</f>
        <v>Missing Reference</v>
      </c>
      <c r="L228" t="str">
        <f t="shared" si="3"/>
        <v/>
      </c>
    </row>
    <row r="229" spans="1:12" x14ac:dyDescent="0.3">
      <c r="A229" t="str">
        <f>IF('Raw Enrollments'!A229="","",'Raw Enrollments'!A229)</f>
        <v/>
      </c>
      <c r="B229" t="str">
        <f>IF(A229="","",'Raw Enrollments'!B229)</f>
        <v/>
      </c>
      <c r="C229" t="str">
        <f>IF(A229="","",'Raw Enrollments'!C229)</f>
        <v/>
      </c>
      <c r="D229" t="str">
        <f>IF(A229="","",'Raw Enrollments'!E229)</f>
        <v/>
      </c>
      <c r="E229" t="str">
        <f>IF('Raw Payments'!A229="","",'Raw Payments'!A229)</f>
        <v/>
      </c>
      <c r="F229" t="str">
        <f>IF(E229="","",'Raw Payments'!B229)</f>
        <v/>
      </c>
      <c r="G229" t="str">
        <f>IF(E229="","",'Raw Payments'!F229)</f>
        <v/>
      </c>
      <c r="H229" t="str">
        <f>IF(E229="","",'Raw Payments'!H229)</f>
        <v/>
      </c>
      <c r="I229" t="str">
        <f>IF(E229="","",'Raw Payments'!I229)</f>
        <v/>
      </c>
      <c r="J229" t="str">
        <f>IF(A229="","",IF(COUNTIF('Raw Payments'!$C:$C,A229)&gt;0,"Payment Linked","No Payment"))</f>
        <v/>
      </c>
      <c r="K229" t="str">
        <f>IF(F229="","Missing Reference",IF(COUNTIF('Raw Payments'!$B:$B,F229)&gt;1,"Possible Duplicate","Reference Present"))</f>
        <v>Missing Reference</v>
      </c>
      <c r="L229" t="str">
        <f t="shared" si="3"/>
        <v/>
      </c>
    </row>
    <row r="230" spans="1:12" x14ac:dyDescent="0.3">
      <c r="A230" t="str">
        <f>IF('Raw Enrollments'!A230="","",'Raw Enrollments'!A230)</f>
        <v/>
      </c>
      <c r="B230" t="str">
        <f>IF(A230="","",'Raw Enrollments'!B230)</f>
        <v/>
      </c>
      <c r="C230" t="str">
        <f>IF(A230="","",'Raw Enrollments'!C230)</f>
        <v/>
      </c>
      <c r="D230" t="str">
        <f>IF(A230="","",'Raw Enrollments'!E230)</f>
        <v/>
      </c>
      <c r="E230" t="str">
        <f>IF('Raw Payments'!A230="","",'Raw Payments'!A230)</f>
        <v/>
      </c>
      <c r="F230" t="str">
        <f>IF(E230="","",'Raw Payments'!B230)</f>
        <v/>
      </c>
      <c r="G230" t="str">
        <f>IF(E230="","",'Raw Payments'!F230)</f>
        <v/>
      </c>
      <c r="H230" t="str">
        <f>IF(E230="","",'Raw Payments'!H230)</f>
        <v/>
      </c>
      <c r="I230" t="str">
        <f>IF(E230="","",'Raw Payments'!I230)</f>
        <v/>
      </c>
      <c r="J230" t="str">
        <f>IF(A230="","",IF(COUNTIF('Raw Payments'!$C:$C,A230)&gt;0,"Payment Linked","No Payment"))</f>
        <v/>
      </c>
      <c r="K230" t="str">
        <f>IF(F230="","Missing Reference",IF(COUNTIF('Raw Payments'!$B:$B,F230)&gt;1,"Possible Duplicate","Reference Present"))</f>
        <v>Missing Reference</v>
      </c>
      <c r="L230" t="str">
        <f t="shared" si="3"/>
        <v/>
      </c>
    </row>
    <row r="231" spans="1:12" x14ac:dyDescent="0.3">
      <c r="A231" t="str">
        <f>IF('Raw Enrollments'!A231="","",'Raw Enrollments'!A231)</f>
        <v/>
      </c>
      <c r="B231" t="str">
        <f>IF(A231="","",'Raw Enrollments'!B231)</f>
        <v/>
      </c>
      <c r="C231" t="str">
        <f>IF(A231="","",'Raw Enrollments'!C231)</f>
        <v/>
      </c>
      <c r="D231" t="str">
        <f>IF(A231="","",'Raw Enrollments'!E231)</f>
        <v/>
      </c>
      <c r="E231" t="str">
        <f>IF('Raw Payments'!A231="","",'Raw Payments'!A231)</f>
        <v/>
      </c>
      <c r="F231" t="str">
        <f>IF(E231="","",'Raw Payments'!B231)</f>
        <v/>
      </c>
      <c r="G231" t="str">
        <f>IF(E231="","",'Raw Payments'!F231)</f>
        <v/>
      </c>
      <c r="H231" t="str">
        <f>IF(E231="","",'Raw Payments'!H231)</f>
        <v/>
      </c>
      <c r="I231" t="str">
        <f>IF(E231="","",'Raw Payments'!I231)</f>
        <v/>
      </c>
      <c r="J231" t="str">
        <f>IF(A231="","",IF(COUNTIF('Raw Payments'!$C:$C,A231)&gt;0,"Payment Linked","No Payment"))</f>
        <v/>
      </c>
      <c r="K231" t="str">
        <f>IF(F231="","Missing Reference",IF(COUNTIF('Raw Payments'!$B:$B,F231)&gt;1,"Possible Duplicate","Reference Present"))</f>
        <v>Missing Reference</v>
      </c>
      <c r="L231" t="str">
        <f t="shared" si="3"/>
        <v/>
      </c>
    </row>
    <row r="232" spans="1:12" x14ac:dyDescent="0.3">
      <c r="A232" t="str">
        <f>IF('Raw Enrollments'!A232="","",'Raw Enrollments'!A232)</f>
        <v/>
      </c>
      <c r="B232" t="str">
        <f>IF(A232="","",'Raw Enrollments'!B232)</f>
        <v/>
      </c>
      <c r="C232" t="str">
        <f>IF(A232="","",'Raw Enrollments'!C232)</f>
        <v/>
      </c>
      <c r="D232" t="str">
        <f>IF(A232="","",'Raw Enrollments'!E232)</f>
        <v/>
      </c>
      <c r="E232" t="str">
        <f>IF('Raw Payments'!A232="","",'Raw Payments'!A232)</f>
        <v/>
      </c>
      <c r="F232" t="str">
        <f>IF(E232="","",'Raw Payments'!B232)</f>
        <v/>
      </c>
      <c r="G232" t="str">
        <f>IF(E232="","",'Raw Payments'!F232)</f>
        <v/>
      </c>
      <c r="H232" t="str">
        <f>IF(E232="","",'Raw Payments'!H232)</f>
        <v/>
      </c>
      <c r="I232" t="str">
        <f>IF(E232="","",'Raw Payments'!I232)</f>
        <v/>
      </c>
      <c r="J232" t="str">
        <f>IF(A232="","",IF(COUNTIF('Raw Payments'!$C:$C,A232)&gt;0,"Payment Linked","No Payment"))</f>
        <v/>
      </c>
      <c r="K232" t="str">
        <f>IF(F232="","Missing Reference",IF(COUNTIF('Raw Payments'!$B:$B,F232)&gt;1,"Possible Duplicate","Reference Present"))</f>
        <v>Missing Reference</v>
      </c>
      <c r="L232" t="str">
        <f t="shared" si="3"/>
        <v/>
      </c>
    </row>
    <row r="233" spans="1:12" x14ac:dyDescent="0.3">
      <c r="A233" t="str">
        <f>IF('Raw Enrollments'!A233="","",'Raw Enrollments'!A233)</f>
        <v/>
      </c>
      <c r="B233" t="str">
        <f>IF(A233="","",'Raw Enrollments'!B233)</f>
        <v/>
      </c>
      <c r="C233" t="str">
        <f>IF(A233="","",'Raw Enrollments'!C233)</f>
        <v/>
      </c>
      <c r="D233" t="str">
        <f>IF(A233="","",'Raw Enrollments'!E233)</f>
        <v/>
      </c>
      <c r="E233" t="str">
        <f>IF('Raw Payments'!A233="","",'Raw Payments'!A233)</f>
        <v/>
      </c>
      <c r="F233" t="str">
        <f>IF(E233="","",'Raw Payments'!B233)</f>
        <v/>
      </c>
      <c r="G233" t="str">
        <f>IF(E233="","",'Raw Payments'!F233)</f>
        <v/>
      </c>
      <c r="H233" t="str">
        <f>IF(E233="","",'Raw Payments'!H233)</f>
        <v/>
      </c>
      <c r="I233" t="str">
        <f>IF(E233="","",'Raw Payments'!I233)</f>
        <v/>
      </c>
      <c r="J233" t="str">
        <f>IF(A233="","",IF(COUNTIF('Raw Payments'!$C:$C,A233)&gt;0,"Payment Linked","No Payment"))</f>
        <v/>
      </c>
      <c r="K233" t="str">
        <f>IF(F233="","Missing Reference",IF(COUNTIF('Raw Payments'!$B:$B,F233)&gt;1,"Possible Duplicate","Reference Present"))</f>
        <v>Missing Reference</v>
      </c>
      <c r="L233" t="str">
        <f t="shared" si="3"/>
        <v/>
      </c>
    </row>
    <row r="234" spans="1:12" x14ac:dyDescent="0.3">
      <c r="A234" t="str">
        <f>IF('Raw Enrollments'!A234="","",'Raw Enrollments'!A234)</f>
        <v/>
      </c>
      <c r="B234" t="str">
        <f>IF(A234="","",'Raw Enrollments'!B234)</f>
        <v/>
      </c>
      <c r="C234" t="str">
        <f>IF(A234="","",'Raw Enrollments'!C234)</f>
        <v/>
      </c>
      <c r="D234" t="str">
        <f>IF(A234="","",'Raw Enrollments'!E234)</f>
        <v/>
      </c>
      <c r="E234" t="str">
        <f>IF('Raw Payments'!A234="","",'Raw Payments'!A234)</f>
        <v/>
      </c>
      <c r="F234" t="str">
        <f>IF(E234="","",'Raw Payments'!B234)</f>
        <v/>
      </c>
      <c r="G234" t="str">
        <f>IF(E234="","",'Raw Payments'!F234)</f>
        <v/>
      </c>
      <c r="H234" t="str">
        <f>IF(E234="","",'Raw Payments'!H234)</f>
        <v/>
      </c>
      <c r="I234" t="str">
        <f>IF(E234="","",'Raw Payments'!I234)</f>
        <v/>
      </c>
      <c r="J234" t="str">
        <f>IF(A234="","",IF(COUNTIF('Raw Payments'!$C:$C,A234)&gt;0,"Payment Linked","No Payment"))</f>
        <v/>
      </c>
      <c r="K234" t="str">
        <f>IF(F234="","Missing Reference",IF(COUNTIF('Raw Payments'!$B:$B,F234)&gt;1,"Possible Duplicate","Reference Present"))</f>
        <v>Missing Reference</v>
      </c>
      <c r="L234" t="str">
        <f t="shared" si="3"/>
        <v/>
      </c>
    </row>
    <row r="235" spans="1:12" x14ac:dyDescent="0.3">
      <c r="A235" t="str">
        <f>IF('Raw Enrollments'!A235="","",'Raw Enrollments'!A235)</f>
        <v/>
      </c>
      <c r="B235" t="str">
        <f>IF(A235="","",'Raw Enrollments'!B235)</f>
        <v/>
      </c>
      <c r="C235" t="str">
        <f>IF(A235="","",'Raw Enrollments'!C235)</f>
        <v/>
      </c>
      <c r="D235" t="str">
        <f>IF(A235="","",'Raw Enrollments'!E235)</f>
        <v/>
      </c>
      <c r="E235" t="str">
        <f>IF('Raw Payments'!A235="","",'Raw Payments'!A235)</f>
        <v/>
      </c>
      <c r="F235" t="str">
        <f>IF(E235="","",'Raw Payments'!B235)</f>
        <v/>
      </c>
      <c r="G235" t="str">
        <f>IF(E235="","",'Raw Payments'!F235)</f>
        <v/>
      </c>
      <c r="H235" t="str">
        <f>IF(E235="","",'Raw Payments'!H235)</f>
        <v/>
      </c>
      <c r="I235" t="str">
        <f>IF(E235="","",'Raw Payments'!I235)</f>
        <v/>
      </c>
      <c r="J235" t="str">
        <f>IF(A235="","",IF(COUNTIF('Raw Payments'!$C:$C,A235)&gt;0,"Payment Linked","No Payment"))</f>
        <v/>
      </c>
      <c r="K235" t="str">
        <f>IF(F235="","Missing Reference",IF(COUNTIF('Raw Payments'!$B:$B,F235)&gt;1,"Possible Duplicate","Reference Present"))</f>
        <v>Missing Reference</v>
      </c>
      <c r="L235" t="str">
        <f t="shared" si="3"/>
        <v/>
      </c>
    </row>
    <row r="236" spans="1:12" x14ac:dyDescent="0.3">
      <c r="A236" t="str">
        <f>IF('Raw Enrollments'!A236="","",'Raw Enrollments'!A236)</f>
        <v/>
      </c>
      <c r="B236" t="str">
        <f>IF(A236="","",'Raw Enrollments'!B236)</f>
        <v/>
      </c>
      <c r="C236" t="str">
        <f>IF(A236="","",'Raw Enrollments'!C236)</f>
        <v/>
      </c>
      <c r="D236" t="str">
        <f>IF(A236="","",'Raw Enrollments'!E236)</f>
        <v/>
      </c>
      <c r="E236" t="str">
        <f>IF('Raw Payments'!A236="","",'Raw Payments'!A236)</f>
        <v/>
      </c>
      <c r="F236" t="str">
        <f>IF(E236="","",'Raw Payments'!B236)</f>
        <v/>
      </c>
      <c r="G236" t="str">
        <f>IF(E236="","",'Raw Payments'!F236)</f>
        <v/>
      </c>
      <c r="H236" t="str">
        <f>IF(E236="","",'Raw Payments'!H236)</f>
        <v/>
      </c>
      <c r="I236" t="str">
        <f>IF(E236="","",'Raw Payments'!I236)</f>
        <v/>
      </c>
      <c r="J236" t="str">
        <f>IF(A236="","",IF(COUNTIF('Raw Payments'!$C:$C,A236)&gt;0,"Payment Linked","No Payment"))</f>
        <v/>
      </c>
      <c r="K236" t="str">
        <f>IF(F236="","Missing Reference",IF(COUNTIF('Raw Payments'!$B:$B,F236)&gt;1,"Possible Duplicate","Reference Present"))</f>
        <v>Missing Reference</v>
      </c>
      <c r="L236" t="str">
        <f t="shared" si="3"/>
        <v/>
      </c>
    </row>
    <row r="237" spans="1:12" x14ac:dyDescent="0.3">
      <c r="A237" t="str">
        <f>IF('Raw Enrollments'!A237="","",'Raw Enrollments'!A237)</f>
        <v/>
      </c>
      <c r="B237" t="str">
        <f>IF(A237="","",'Raw Enrollments'!B237)</f>
        <v/>
      </c>
      <c r="C237" t="str">
        <f>IF(A237="","",'Raw Enrollments'!C237)</f>
        <v/>
      </c>
      <c r="D237" t="str">
        <f>IF(A237="","",'Raw Enrollments'!E237)</f>
        <v/>
      </c>
      <c r="E237" t="str">
        <f>IF('Raw Payments'!A237="","",'Raw Payments'!A237)</f>
        <v/>
      </c>
      <c r="F237" t="str">
        <f>IF(E237="","",'Raw Payments'!B237)</f>
        <v/>
      </c>
      <c r="G237" t="str">
        <f>IF(E237="","",'Raw Payments'!F237)</f>
        <v/>
      </c>
      <c r="H237" t="str">
        <f>IF(E237="","",'Raw Payments'!H237)</f>
        <v/>
      </c>
      <c r="I237" t="str">
        <f>IF(E237="","",'Raw Payments'!I237)</f>
        <v/>
      </c>
      <c r="J237" t="str">
        <f>IF(A237="","",IF(COUNTIF('Raw Payments'!$C:$C,A237)&gt;0,"Payment Linked","No Payment"))</f>
        <v/>
      </c>
      <c r="K237" t="str">
        <f>IF(F237="","Missing Reference",IF(COUNTIF('Raw Payments'!$B:$B,F237)&gt;1,"Possible Duplicate","Reference Present"))</f>
        <v>Missing Reference</v>
      </c>
      <c r="L237" t="str">
        <f t="shared" si="3"/>
        <v/>
      </c>
    </row>
    <row r="238" spans="1:12" x14ac:dyDescent="0.3">
      <c r="A238" t="str">
        <f>IF('Raw Enrollments'!A238="","",'Raw Enrollments'!A238)</f>
        <v/>
      </c>
      <c r="B238" t="str">
        <f>IF(A238="","",'Raw Enrollments'!B238)</f>
        <v/>
      </c>
      <c r="C238" t="str">
        <f>IF(A238="","",'Raw Enrollments'!C238)</f>
        <v/>
      </c>
      <c r="D238" t="str">
        <f>IF(A238="","",'Raw Enrollments'!E238)</f>
        <v/>
      </c>
      <c r="E238" t="str">
        <f>IF('Raw Payments'!A238="","",'Raw Payments'!A238)</f>
        <v/>
      </c>
      <c r="F238" t="str">
        <f>IF(E238="","",'Raw Payments'!B238)</f>
        <v/>
      </c>
      <c r="G238" t="str">
        <f>IF(E238="","",'Raw Payments'!F238)</f>
        <v/>
      </c>
      <c r="H238" t="str">
        <f>IF(E238="","",'Raw Payments'!H238)</f>
        <v/>
      </c>
      <c r="I238" t="str">
        <f>IF(E238="","",'Raw Payments'!I238)</f>
        <v/>
      </c>
      <c r="J238" t="str">
        <f>IF(A238="","",IF(COUNTIF('Raw Payments'!$C:$C,A238)&gt;0,"Payment Linked","No Payment"))</f>
        <v/>
      </c>
      <c r="K238" t="str">
        <f>IF(F238="","Missing Reference",IF(COUNTIF('Raw Payments'!$B:$B,F238)&gt;1,"Possible Duplicate","Reference Present"))</f>
        <v>Missing Reference</v>
      </c>
      <c r="L238" t="str">
        <f t="shared" si="3"/>
        <v/>
      </c>
    </row>
    <row r="239" spans="1:12" x14ac:dyDescent="0.3">
      <c r="A239" t="str">
        <f>IF('Raw Enrollments'!A239="","",'Raw Enrollments'!A239)</f>
        <v/>
      </c>
      <c r="B239" t="str">
        <f>IF(A239="","",'Raw Enrollments'!B239)</f>
        <v/>
      </c>
      <c r="C239" t="str">
        <f>IF(A239="","",'Raw Enrollments'!C239)</f>
        <v/>
      </c>
      <c r="D239" t="str">
        <f>IF(A239="","",'Raw Enrollments'!E239)</f>
        <v/>
      </c>
      <c r="E239" t="str">
        <f>IF('Raw Payments'!A239="","",'Raw Payments'!A239)</f>
        <v/>
      </c>
      <c r="F239" t="str">
        <f>IF(E239="","",'Raw Payments'!B239)</f>
        <v/>
      </c>
      <c r="G239" t="str">
        <f>IF(E239="","",'Raw Payments'!F239)</f>
        <v/>
      </c>
      <c r="H239" t="str">
        <f>IF(E239="","",'Raw Payments'!H239)</f>
        <v/>
      </c>
      <c r="I239" t="str">
        <f>IF(E239="","",'Raw Payments'!I239)</f>
        <v/>
      </c>
      <c r="J239" t="str">
        <f>IF(A239="","",IF(COUNTIF('Raw Payments'!$C:$C,A239)&gt;0,"Payment Linked","No Payment"))</f>
        <v/>
      </c>
      <c r="K239" t="str">
        <f>IF(F239="","Missing Reference",IF(COUNTIF('Raw Payments'!$B:$B,F239)&gt;1,"Possible Duplicate","Reference Present"))</f>
        <v>Missing Reference</v>
      </c>
      <c r="L239" t="str">
        <f t="shared" si="3"/>
        <v/>
      </c>
    </row>
    <row r="240" spans="1:12" x14ac:dyDescent="0.3">
      <c r="A240" t="str">
        <f>IF('Raw Enrollments'!A240="","",'Raw Enrollments'!A240)</f>
        <v/>
      </c>
      <c r="B240" t="str">
        <f>IF(A240="","",'Raw Enrollments'!B240)</f>
        <v/>
      </c>
      <c r="C240" t="str">
        <f>IF(A240="","",'Raw Enrollments'!C240)</f>
        <v/>
      </c>
      <c r="D240" t="str">
        <f>IF(A240="","",'Raw Enrollments'!E240)</f>
        <v/>
      </c>
      <c r="E240" t="str">
        <f>IF('Raw Payments'!A240="","",'Raw Payments'!A240)</f>
        <v/>
      </c>
      <c r="F240" t="str">
        <f>IF(E240="","",'Raw Payments'!B240)</f>
        <v/>
      </c>
      <c r="G240" t="str">
        <f>IF(E240="","",'Raw Payments'!F240)</f>
        <v/>
      </c>
      <c r="H240" t="str">
        <f>IF(E240="","",'Raw Payments'!H240)</f>
        <v/>
      </c>
      <c r="I240" t="str">
        <f>IF(E240="","",'Raw Payments'!I240)</f>
        <v/>
      </c>
      <c r="J240" t="str">
        <f>IF(A240="","",IF(COUNTIF('Raw Payments'!$C:$C,A240)&gt;0,"Payment Linked","No Payment"))</f>
        <v/>
      </c>
      <c r="K240" t="str">
        <f>IF(F240="","Missing Reference",IF(COUNTIF('Raw Payments'!$B:$B,F240)&gt;1,"Possible Duplicate","Reference Present"))</f>
        <v>Missing Reference</v>
      </c>
      <c r="L240" t="str">
        <f t="shared" si="3"/>
        <v/>
      </c>
    </row>
    <row r="241" spans="1:12" x14ac:dyDescent="0.3">
      <c r="A241" t="str">
        <f>IF('Raw Enrollments'!A241="","",'Raw Enrollments'!A241)</f>
        <v/>
      </c>
      <c r="B241" t="str">
        <f>IF(A241="","",'Raw Enrollments'!B241)</f>
        <v/>
      </c>
      <c r="C241" t="str">
        <f>IF(A241="","",'Raw Enrollments'!C241)</f>
        <v/>
      </c>
      <c r="D241" t="str">
        <f>IF(A241="","",'Raw Enrollments'!E241)</f>
        <v/>
      </c>
      <c r="E241" t="str">
        <f>IF('Raw Payments'!A241="","",'Raw Payments'!A241)</f>
        <v/>
      </c>
      <c r="F241" t="str">
        <f>IF(E241="","",'Raw Payments'!B241)</f>
        <v/>
      </c>
      <c r="G241" t="str">
        <f>IF(E241="","",'Raw Payments'!F241)</f>
        <v/>
      </c>
      <c r="H241" t="str">
        <f>IF(E241="","",'Raw Payments'!H241)</f>
        <v/>
      </c>
      <c r="I241" t="str">
        <f>IF(E241="","",'Raw Payments'!I241)</f>
        <v/>
      </c>
      <c r="J241" t="str">
        <f>IF(A241="","",IF(COUNTIF('Raw Payments'!$C:$C,A241)&gt;0,"Payment Linked","No Payment"))</f>
        <v/>
      </c>
      <c r="K241" t="str">
        <f>IF(F241="","Missing Reference",IF(COUNTIF('Raw Payments'!$B:$B,F241)&gt;1,"Possible Duplicate","Reference Present"))</f>
        <v>Missing Reference</v>
      </c>
      <c r="L241" t="str">
        <f t="shared" si="3"/>
        <v/>
      </c>
    </row>
    <row r="242" spans="1:12" x14ac:dyDescent="0.3">
      <c r="A242" t="str">
        <f>IF('Raw Enrollments'!A242="","",'Raw Enrollments'!A242)</f>
        <v/>
      </c>
      <c r="B242" t="str">
        <f>IF(A242="","",'Raw Enrollments'!B242)</f>
        <v/>
      </c>
      <c r="C242" t="str">
        <f>IF(A242="","",'Raw Enrollments'!C242)</f>
        <v/>
      </c>
      <c r="D242" t="str">
        <f>IF(A242="","",'Raw Enrollments'!E242)</f>
        <v/>
      </c>
      <c r="E242" t="str">
        <f>IF('Raw Payments'!A242="","",'Raw Payments'!A242)</f>
        <v/>
      </c>
      <c r="F242" t="str">
        <f>IF(E242="","",'Raw Payments'!B242)</f>
        <v/>
      </c>
      <c r="G242" t="str">
        <f>IF(E242="","",'Raw Payments'!F242)</f>
        <v/>
      </c>
      <c r="H242" t="str">
        <f>IF(E242="","",'Raw Payments'!H242)</f>
        <v/>
      </c>
      <c r="I242" t="str">
        <f>IF(E242="","",'Raw Payments'!I242)</f>
        <v/>
      </c>
      <c r="J242" t="str">
        <f>IF(A242="","",IF(COUNTIF('Raw Payments'!$C:$C,A242)&gt;0,"Payment Linked","No Payment"))</f>
        <v/>
      </c>
      <c r="K242" t="str">
        <f>IF(F242="","Missing Reference",IF(COUNTIF('Raw Payments'!$B:$B,F242)&gt;1,"Possible Duplicate","Reference Present"))</f>
        <v>Missing Reference</v>
      </c>
      <c r="L242" t="str">
        <f t="shared" si="3"/>
        <v/>
      </c>
    </row>
    <row r="243" spans="1:12" x14ac:dyDescent="0.3">
      <c r="A243" t="str">
        <f>IF('Raw Enrollments'!A243="","",'Raw Enrollments'!A243)</f>
        <v/>
      </c>
      <c r="B243" t="str">
        <f>IF(A243="","",'Raw Enrollments'!B243)</f>
        <v/>
      </c>
      <c r="C243" t="str">
        <f>IF(A243="","",'Raw Enrollments'!C243)</f>
        <v/>
      </c>
      <c r="D243" t="str">
        <f>IF(A243="","",'Raw Enrollments'!E243)</f>
        <v/>
      </c>
      <c r="E243" t="str">
        <f>IF('Raw Payments'!A243="","",'Raw Payments'!A243)</f>
        <v/>
      </c>
      <c r="F243" t="str">
        <f>IF(E243="","",'Raw Payments'!B243)</f>
        <v/>
      </c>
      <c r="G243" t="str">
        <f>IF(E243="","",'Raw Payments'!F243)</f>
        <v/>
      </c>
      <c r="H243" t="str">
        <f>IF(E243="","",'Raw Payments'!H243)</f>
        <v/>
      </c>
      <c r="I243" t="str">
        <f>IF(E243="","",'Raw Payments'!I243)</f>
        <v/>
      </c>
      <c r="J243" t="str">
        <f>IF(A243="","",IF(COUNTIF('Raw Payments'!$C:$C,A243)&gt;0,"Payment Linked","No Payment"))</f>
        <v/>
      </c>
      <c r="K243" t="str">
        <f>IF(F243="","Missing Reference",IF(COUNTIF('Raw Payments'!$B:$B,F243)&gt;1,"Possible Duplicate","Reference Present"))</f>
        <v>Missing Reference</v>
      </c>
      <c r="L243" t="str">
        <f t="shared" si="3"/>
        <v/>
      </c>
    </row>
    <row r="244" spans="1:12" x14ac:dyDescent="0.3">
      <c r="A244" t="str">
        <f>IF('Raw Enrollments'!A244="","",'Raw Enrollments'!A244)</f>
        <v/>
      </c>
      <c r="B244" t="str">
        <f>IF(A244="","",'Raw Enrollments'!B244)</f>
        <v/>
      </c>
      <c r="C244" t="str">
        <f>IF(A244="","",'Raw Enrollments'!C244)</f>
        <v/>
      </c>
      <c r="D244" t="str">
        <f>IF(A244="","",'Raw Enrollments'!E244)</f>
        <v/>
      </c>
      <c r="E244" t="str">
        <f>IF('Raw Payments'!A244="","",'Raw Payments'!A244)</f>
        <v/>
      </c>
      <c r="F244" t="str">
        <f>IF(E244="","",'Raw Payments'!B244)</f>
        <v/>
      </c>
      <c r="G244" t="str">
        <f>IF(E244="","",'Raw Payments'!F244)</f>
        <v/>
      </c>
      <c r="H244" t="str">
        <f>IF(E244="","",'Raw Payments'!H244)</f>
        <v/>
      </c>
      <c r="I244" t="str">
        <f>IF(E244="","",'Raw Payments'!I244)</f>
        <v/>
      </c>
      <c r="J244" t="str">
        <f>IF(A244="","",IF(COUNTIF('Raw Payments'!$C:$C,A244)&gt;0,"Payment Linked","No Payment"))</f>
        <v/>
      </c>
      <c r="K244" t="str">
        <f>IF(F244="","Missing Reference",IF(COUNTIF('Raw Payments'!$B:$B,F244)&gt;1,"Possible Duplicate","Reference Present"))</f>
        <v>Missing Reference</v>
      </c>
      <c r="L244" t="str">
        <f t="shared" si="3"/>
        <v/>
      </c>
    </row>
    <row r="245" spans="1:12" x14ac:dyDescent="0.3">
      <c r="A245" t="str">
        <f>IF('Raw Enrollments'!A245="","",'Raw Enrollments'!A245)</f>
        <v/>
      </c>
      <c r="B245" t="str">
        <f>IF(A245="","",'Raw Enrollments'!B245)</f>
        <v/>
      </c>
      <c r="C245" t="str">
        <f>IF(A245="","",'Raw Enrollments'!C245)</f>
        <v/>
      </c>
      <c r="D245" t="str">
        <f>IF(A245="","",'Raw Enrollments'!E245)</f>
        <v/>
      </c>
      <c r="E245" t="str">
        <f>IF('Raw Payments'!A245="","",'Raw Payments'!A245)</f>
        <v/>
      </c>
      <c r="F245" t="str">
        <f>IF(E245="","",'Raw Payments'!B245)</f>
        <v/>
      </c>
      <c r="G245" t="str">
        <f>IF(E245="","",'Raw Payments'!F245)</f>
        <v/>
      </c>
      <c r="H245" t="str">
        <f>IF(E245="","",'Raw Payments'!H245)</f>
        <v/>
      </c>
      <c r="I245" t="str">
        <f>IF(E245="","",'Raw Payments'!I245)</f>
        <v/>
      </c>
      <c r="J245" t="str">
        <f>IF(A245="","",IF(COUNTIF('Raw Payments'!$C:$C,A245)&gt;0,"Payment Linked","No Payment"))</f>
        <v/>
      </c>
      <c r="K245" t="str">
        <f>IF(F245="","Missing Reference",IF(COUNTIF('Raw Payments'!$B:$B,F245)&gt;1,"Possible Duplicate","Reference Present"))</f>
        <v>Missing Reference</v>
      </c>
      <c r="L245" t="str">
        <f t="shared" si="3"/>
        <v/>
      </c>
    </row>
    <row r="246" spans="1:12" x14ac:dyDescent="0.3">
      <c r="A246" t="str">
        <f>IF('Raw Enrollments'!A246="","",'Raw Enrollments'!A246)</f>
        <v/>
      </c>
      <c r="B246" t="str">
        <f>IF(A246="","",'Raw Enrollments'!B246)</f>
        <v/>
      </c>
      <c r="C246" t="str">
        <f>IF(A246="","",'Raw Enrollments'!C246)</f>
        <v/>
      </c>
      <c r="D246" t="str">
        <f>IF(A246="","",'Raw Enrollments'!E246)</f>
        <v/>
      </c>
      <c r="E246" t="str">
        <f>IF('Raw Payments'!A246="","",'Raw Payments'!A246)</f>
        <v/>
      </c>
      <c r="F246" t="str">
        <f>IF(E246="","",'Raw Payments'!B246)</f>
        <v/>
      </c>
      <c r="G246" t="str">
        <f>IF(E246="","",'Raw Payments'!F246)</f>
        <v/>
      </c>
      <c r="H246" t="str">
        <f>IF(E246="","",'Raw Payments'!H246)</f>
        <v/>
      </c>
      <c r="I246" t="str">
        <f>IF(E246="","",'Raw Payments'!I246)</f>
        <v/>
      </c>
      <c r="J246" t="str">
        <f>IF(A246="","",IF(COUNTIF('Raw Payments'!$C:$C,A246)&gt;0,"Payment Linked","No Payment"))</f>
        <v/>
      </c>
      <c r="K246" t="str">
        <f>IF(F246="","Missing Reference",IF(COUNTIF('Raw Payments'!$B:$B,F246)&gt;1,"Possible Duplicate","Reference Present"))</f>
        <v>Missing Reference</v>
      </c>
      <c r="L246" t="str">
        <f t="shared" si="3"/>
        <v/>
      </c>
    </row>
    <row r="247" spans="1:12" x14ac:dyDescent="0.3">
      <c r="A247" t="str">
        <f>IF('Raw Enrollments'!A247="","",'Raw Enrollments'!A247)</f>
        <v/>
      </c>
      <c r="B247" t="str">
        <f>IF(A247="","",'Raw Enrollments'!B247)</f>
        <v/>
      </c>
      <c r="C247" t="str">
        <f>IF(A247="","",'Raw Enrollments'!C247)</f>
        <v/>
      </c>
      <c r="D247" t="str">
        <f>IF(A247="","",'Raw Enrollments'!E247)</f>
        <v/>
      </c>
      <c r="E247" t="str">
        <f>IF('Raw Payments'!A247="","",'Raw Payments'!A247)</f>
        <v/>
      </c>
      <c r="F247" t="str">
        <f>IF(E247="","",'Raw Payments'!B247)</f>
        <v/>
      </c>
      <c r="G247" t="str">
        <f>IF(E247="","",'Raw Payments'!F247)</f>
        <v/>
      </c>
      <c r="H247" t="str">
        <f>IF(E247="","",'Raw Payments'!H247)</f>
        <v/>
      </c>
      <c r="I247" t="str">
        <f>IF(E247="","",'Raw Payments'!I247)</f>
        <v/>
      </c>
      <c r="J247" t="str">
        <f>IF(A247="","",IF(COUNTIF('Raw Payments'!$C:$C,A247)&gt;0,"Payment Linked","No Payment"))</f>
        <v/>
      </c>
      <c r="K247" t="str">
        <f>IF(F247="","Missing Reference",IF(COUNTIF('Raw Payments'!$B:$B,F247)&gt;1,"Possible Duplicate","Reference Present"))</f>
        <v>Missing Reference</v>
      </c>
      <c r="L247" t="str">
        <f t="shared" si="3"/>
        <v/>
      </c>
    </row>
    <row r="248" spans="1:12" x14ac:dyDescent="0.3">
      <c r="A248" t="str">
        <f>IF('Raw Enrollments'!A248="","",'Raw Enrollments'!A248)</f>
        <v/>
      </c>
      <c r="B248" t="str">
        <f>IF(A248="","",'Raw Enrollments'!B248)</f>
        <v/>
      </c>
      <c r="C248" t="str">
        <f>IF(A248="","",'Raw Enrollments'!C248)</f>
        <v/>
      </c>
      <c r="D248" t="str">
        <f>IF(A248="","",'Raw Enrollments'!E248)</f>
        <v/>
      </c>
      <c r="E248" t="str">
        <f>IF('Raw Payments'!A248="","",'Raw Payments'!A248)</f>
        <v/>
      </c>
      <c r="F248" t="str">
        <f>IF(E248="","",'Raw Payments'!B248)</f>
        <v/>
      </c>
      <c r="G248" t="str">
        <f>IF(E248="","",'Raw Payments'!F248)</f>
        <v/>
      </c>
      <c r="H248" t="str">
        <f>IF(E248="","",'Raw Payments'!H248)</f>
        <v/>
      </c>
      <c r="I248" t="str">
        <f>IF(E248="","",'Raw Payments'!I248)</f>
        <v/>
      </c>
      <c r="J248" t="str">
        <f>IF(A248="","",IF(COUNTIF('Raw Payments'!$C:$C,A248)&gt;0,"Payment Linked","No Payment"))</f>
        <v/>
      </c>
      <c r="K248" t="str">
        <f>IF(F248="","Missing Reference",IF(COUNTIF('Raw Payments'!$B:$B,F248)&gt;1,"Possible Duplicate","Reference Present"))</f>
        <v>Missing Reference</v>
      </c>
      <c r="L248" t="str">
        <f t="shared" si="3"/>
        <v/>
      </c>
    </row>
    <row r="249" spans="1:12" x14ac:dyDescent="0.3">
      <c r="A249" t="str">
        <f>IF('Raw Enrollments'!A249="","",'Raw Enrollments'!A249)</f>
        <v/>
      </c>
      <c r="B249" t="str">
        <f>IF(A249="","",'Raw Enrollments'!B249)</f>
        <v/>
      </c>
      <c r="C249" t="str">
        <f>IF(A249="","",'Raw Enrollments'!C249)</f>
        <v/>
      </c>
      <c r="D249" t="str">
        <f>IF(A249="","",'Raw Enrollments'!E249)</f>
        <v/>
      </c>
      <c r="E249" t="str">
        <f>IF('Raw Payments'!A249="","",'Raw Payments'!A249)</f>
        <v/>
      </c>
      <c r="F249" t="str">
        <f>IF(E249="","",'Raw Payments'!B249)</f>
        <v/>
      </c>
      <c r="G249" t="str">
        <f>IF(E249="","",'Raw Payments'!F249)</f>
        <v/>
      </c>
      <c r="H249" t="str">
        <f>IF(E249="","",'Raw Payments'!H249)</f>
        <v/>
      </c>
      <c r="I249" t="str">
        <f>IF(E249="","",'Raw Payments'!I249)</f>
        <v/>
      </c>
      <c r="J249" t="str">
        <f>IF(A249="","",IF(COUNTIF('Raw Payments'!$C:$C,A249)&gt;0,"Payment Linked","No Payment"))</f>
        <v/>
      </c>
      <c r="K249" t="str">
        <f>IF(F249="","Missing Reference",IF(COUNTIF('Raw Payments'!$B:$B,F249)&gt;1,"Possible Duplicate","Reference Present"))</f>
        <v>Missing Reference</v>
      </c>
      <c r="L249" t="str">
        <f t="shared" si="3"/>
        <v/>
      </c>
    </row>
    <row r="250" spans="1:12" x14ac:dyDescent="0.3">
      <c r="A250" t="str">
        <f>IF('Raw Enrollments'!A250="","",'Raw Enrollments'!A250)</f>
        <v/>
      </c>
      <c r="B250" t="str">
        <f>IF(A250="","",'Raw Enrollments'!B250)</f>
        <v/>
      </c>
      <c r="C250" t="str">
        <f>IF(A250="","",'Raw Enrollments'!C250)</f>
        <v/>
      </c>
      <c r="D250" t="str">
        <f>IF(A250="","",'Raw Enrollments'!E250)</f>
        <v/>
      </c>
      <c r="E250" t="str">
        <f>IF('Raw Payments'!A250="","",'Raw Payments'!A250)</f>
        <v/>
      </c>
      <c r="F250" t="str">
        <f>IF(E250="","",'Raw Payments'!B250)</f>
        <v/>
      </c>
      <c r="G250" t="str">
        <f>IF(E250="","",'Raw Payments'!F250)</f>
        <v/>
      </c>
      <c r="H250" t="str">
        <f>IF(E250="","",'Raw Payments'!H250)</f>
        <v/>
      </c>
      <c r="I250" t="str">
        <f>IF(E250="","",'Raw Payments'!I250)</f>
        <v/>
      </c>
      <c r="J250" t="str">
        <f>IF(A250="","",IF(COUNTIF('Raw Payments'!$C:$C,A250)&gt;0,"Payment Linked","No Payment"))</f>
        <v/>
      </c>
      <c r="K250" t="str">
        <f>IF(F250="","Missing Reference",IF(COUNTIF('Raw Payments'!$B:$B,F250)&gt;1,"Possible Duplicate","Reference Present"))</f>
        <v>Missing Reference</v>
      </c>
      <c r="L250" t="str">
        <f t="shared" si="3"/>
        <v/>
      </c>
    </row>
    <row r="251" spans="1:12" x14ac:dyDescent="0.3">
      <c r="A251" t="str">
        <f>IF('Raw Enrollments'!A251="","",'Raw Enrollments'!A251)</f>
        <v/>
      </c>
      <c r="B251" t="str">
        <f>IF(A251="","",'Raw Enrollments'!B251)</f>
        <v/>
      </c>
      <c r="C251" t="str">
        <f>IF(A251="","",'Raw Enrollments'!C251)</f>
        <v/>
      </c>
      <c r="D251" t="str">
        <f>IF(A251="","",'Raw Enrollments'!E251)</f>
        <v/>
      </c>
      <c r="E251" t="str">
        <f>IF('Raw Payments'!A251="","",'Raw Payments'!A251)</f>
        <v/>
      </c>
      <c r="F251" t="str">
        <f>IF(E251="","",'Raw Payments'!B251)</f>
        <v/>
      </c>
      <c r="G251" t="str">
        <f>IF(E251="","",'Raw Payments'!F251)</f>
        <v/>
      </c>
      <c r="H251" t="str">
        <f>IF(E251="","",'Raw Payments'!H251)</f>
        <v/>
      </c>
      <c r="I251" t="str">
        <f>IF(E251="","",'Raw Payments'!I251)</f>
        <v/>
      </c>
      <c r="J251" t="str">
        <f>IF(A251="","",IF(COUNTIF('Raw Payments'!$C:$C,A251)&gt;0,"Payment Linked","No Payment"))</f>
        <v/>
      </c>
      <c r="K251" t="str">
        <f>IF(F251="","Missing Reference",IF(COUNTIF('Raw Payments'!$B:$B,F251)&gt;1,"Possible Duplicate","Reference Present"))</f>
        <v>Missing Reference</v>
      </c>
      <c r="L251" t="str">
        <f t="shared" si="3"/>
        <v/>
      </c>
    </row>
    <row r="252" spans="1:12" x14ac:dyDescent="0.3">
      <c r="A252" t="str">
        <f>IF('Raw Enrollments'!A252="","",'Raw Enrollments'!A252)</f>
        <v/>
      </c>
      <c r="B252" t="str">
        <f>IF(A252="","",'Raw Enrollments'!B252)</f>
        <v/>
      </c>
      <c r="C252" t="str">
        <f>IF(A252="","",'Raw Enrollments'!C252)</f>
        <v/>
      </c>
      <c r="D252" t="str">
        <f>IF(A252="","",'Raw Enrollments'!E252)</f>
        <v/>
      </c>
      <c r="E252" t="str">
        <f>IF('Raw Payments'!A252="","",'Raw Payments'!A252)</f>
        <v/>
      </c>
      <c r="F252" t="str">
        <f>IF(E252="","",'Raw Payments'!B252)</f>
        <v/>
      </c>
      <c r="G252" t="str">
        <f>IF(E252="","",'Raw Payments'!F252)</f>
        <v/>
      </c>
      <c r="H252" t="str">
        <f>IF(E252="","",'Raw Payments'!H252)</f>
        <v/>
      </c>
      <c r="I252" t="str">
        <f>IF(E252="","",'Raw Payments'!I252)</f>
        <v/>
      </c>
      <c r="J252" t="str">
        <f>IF(A252="","",IF(COUNTIF('Raw Payments'!$C:$C,A252)&gt;0,"Payment Linked","No Payment"))</f>
        <v/>
      </c>
      <c r="K252" t="str">
        <f>IF(F252="","Missing Reference",IF(COUNTIF('Raw Payments'!$B:$B,F252)&gt;1,"Possible Duplicate","Reference Present"))</f>
        <v>Missing Reference</v>
      </c>
      <c r="L252" t="str">
        <f t="shared" si="3"/>
        <v/>
      </c>
    </row>
    <row r="253" spans="1:12" x14ac:dyDescent="0.3">
      <c r="A253" t="str">
        <f>IF('Raw Enrollments'!A253="","",'Raw Enrollments'!A253)</f>
        <v/>
      </c>
      <c r="B253" t="str">
        <f>IF(A253="","",'Raw Enrollments'!B253)</f>
        <v/>
      </c>
      <c r="C253" t="str">
        <f>IF(A253="","",'Raw Enrollments'!C253)</f>
        <v/>
      </c>
      <c r="D253" t="str">
        <f>IF(A253="","",'Raw Enrollments'!E253)</f>
        <v/>
      </c>
      <c r="E253" t="str">
        <f>IF('Raw Payments'!A253="","",'Raw Payments'!A253)</f>
        <v/>
      </c>
      <c r="F253" t="str">
        <f>IF(E253="","",'Raw Payments'!B253)</f>
        <v/>
      </c>
      <c r="G253" t="str">
        <f>IF(E253="","",'Raw Payments'!F253)</f>
        <v/>
      </c>
      <c r="H253" t="str">
        <f>IF(E253="","",'Raw Payments'!H253)</f>
        <v/>
      </c>
      <c r="I253" t="str">
        <f>IF(E253="","",'Raw Payments'!I253)</f>
        <v/>
      </c>
      <c r="J253" t="str">
        <f>IF(A253="","",IF(COUNTIF('Raw Payments'!$C:$C,A253)&gt;0,"Payment Linked","No Payment"))</f>
        <v/>
      </c>
      <c r="K253" t="str">
        <f>IF(F253="","Missing Reference",IF(COUNTIF('Raw Payments'!$B:$B,F253)&gt;1,"Possible Duplicate","Reference Present"))</f>
        <v>Missing Reference</v>
      </c>
      <c r="L253" t="str">
        <f t="shared" si="3"/>
        <v/>
      </c>
    </row>
    <row r="254" spans="1:12" x14ac:dyDescent="0.3">
      <c r="A254" t="str">
        <f>IF('Raw Enrollments'!A254="","",'Raw Enrollments'!A254)</f>
        <v/>
      </c>
      <c r="B254" t="str">
        <f>IF(A254="","",'Raw Enrollments'!B254)</f>
        <v/>
      </c>
      <c r="C254" t="str">
        <f>IF(A254="","",'Raw Enrollments'!C254)</f>
        <v/>
      </c>
      <c r="D254" t="str">
        <f>IF(A254="","",'Raw Enrollments'!E254)</f>
        <v/>
      </c>
      <c r="E254" t="str">
        <f>IF('Raw Payments'!A254="","",'Raw Payments'!A254)</f>
        <v/>
      </c>
      <c r="F254" t="str">
        <f>IF(E254="","",'Raw Payments'!B254)</f>
        <v/>
      </c>
      <c r="G254" t="str">
        <f>IF(E254="","",'Raw Payments'!F254)</f>
        <v/>
      </c>
      <c r="H254" t="str">
        <f>IF(E254="","",'Raw Payments'!H254)</f>
        <v/>
      </c>
      <c r="I254" t="str">
        <f>IF(E254="","",'Raw Payments'!I254)</f>
        <v/>
      </c>
      <c r="J254" t="str">
        <f>IF(A254="","",IF(COUNTIF('Raw Payments'!$C:$C,A254)&gt;0,"Payment Linked","No Payment"))</f>
        <v/>
      </c>
      <c r="K254" t="str">
        <f>IF(F254="","Missing Reference",IF(COUNTIF('Raw Payments'!$B:$B,F254)&gt;1,"Possible Duplicate","Reference Present"))</f>
        <v>Missing Reference</v>
      </c>
      <c r="L254" t="str">
        <f t="shared" si="3"/>
        <v/>
      </c>
    </row>
    <row r="255" spans="1:12" x14ac:dyDescent="0.3">
      <c r="A255" t="str">
        <f>IF('Raw Enrollments'!A255="","",'Raw Enrollments'!A255)</f>
        <v/>
      </c>
      <c r="B255" t="str">
        <f>IF(A255="","",'Raw Enrollments'!B255)</f>
        <v/>
      </c>
      <c r="C255" t="str">
        <f>IF(A255="","",'Raw Enrollments'!C255)</f>
        <v/>
      </c>
      <c r="D255" t="str">
        <f>IF(A255="","",'Raw Enrollments'!E255)</f>
        <v/>
      </c>
      <c r="E255" t="str">
        <f>IF('Raw Payments'!A255="","",'Raw Payments'!A255)</f>
        <v/>
      </c>
      <c r="F255" t="str">
        <f>IF(E255="","",'Raw Payments'!B255)</f>
        <v/>
      </c>
      <c r="G255" t="str">
        <f>IF(E255="","",'Raw Payments'!F255)</f>
        <v/>
      </c>
      <c r="H255" t="str">
        <f>IF(E255="","",'Raw Payments'!H255)</f>
        <v/>
      </c>
      <c r="I255" t="str">
        <f>IF(E255="","",'Raw Payments'!I255)</f>
        <v/>
      </c>
      <c r="J255" t="str">
        <f>IF(A255="","",IF(COUNTIF('Raw Payments'!$C:$C,A255)&gt;0,"Payment Linked","No Payment"))</f>
        <v/>
      </c>
      <c r="K255" t="str">
        <f>IF(F255="","Missing Reference",IF(COUNTIF('Raw Payments'!$B:$B,F255)&gt;1,"Possible Duplicate","Reference Present"))</f>
        <v>Missing Reference</v>
      </c>
      <c r="L255" t="str">
        <f t="shared" si="3"/>
        <v/>
      </c>
    </row>
    <row r="256" spans="1:12" x14ac:dyDescent="0.3">
      <c r="A256" t="str">
        <f>IF('Raw Enrollments'!A256="","",'Raw Enrollments'!A256)</f>
        <v/>
      </c>
      <c r="B256" t="str">
        <f>IF(A256="","",'Raw Enrollments'!B256)</f>
        <v/>
      </c>
      <c r="C256" t="str">
        <f>IF(A256="","",'Raw Enrollments'!C256)</f>
        <v/>
      </c>
      <c r="D256" t="str">
        <f>IF(A256="","",'Raw Enrollments'!E256)</f>
        <v/>
      </c>
      <c r="E256" t="str">
        <f>IF('Raw Payments'!A256="","",'Raw Payments'!A256)</f>
        <v/>
      </c>
      <c r="F256" t="str">
        <f>IF(E256="","",'Raw Payments'!B256)</f>
        <v/>
      </c>
      <c r="G256" t="str">
        <f>IF(E256="","",'Raw Payments'!F256)</f>
        <v/>
      </c>
      <c r="H256" t="str">
        <f>IF(E256="","",'Raw Payments'!H256)</f>
        <v/>
      </c>
      <c r="I256" t="str">
        <f>IF(E256="","",'Raw Payments'!I256)</f>
        <v/>
      </c>
      <c r="J256" t="str">
        <f>IF(A256="","",IF(COUNTIF('Raw Payments'!$C:$C,A256)&gt;0,"Payment Linked","No Payment"))</f>
        <v/>
      </c>
      <c r="K256" t="str">
        <f>IF(F256="","Missing Reference",IF(COUNTIF('Raw Payments'!$B:$B,F256)&gt;1,"Possible Duplicate","Reference Present"))</f>
        <v>Missing Reference</v>
      </c>
      <c r="L256" t="str">
        <f t="shared" si="3"/>
        <v/>
      </c>
    </row>
    <row r="257" spans="1:12" x14ac:dyDescent="0.3">
      <c r="A257" t="str">
        <f>IF('Raw Enrollments'!A257="","",'Raw Enrollments'!A257)</f>
        <v/>
      </c>
      <c r="B257" t="str">
        <f>IF(A257="","",'Raw Enrollments'!B257)</f>
        <v/>
      </c>
      <c r="C257" t="str">
        <f>IF(A257="","",'Raw Enrollments'!C257)</f>
        <v/>
      </c>
      <c r="D257" t="str">
        <f>IF(A257="","",'Raw Enrollments'!E257)</f>
        <v/>
      </c>
      <c r="E257" t="str">
        <f>IF('Raw Payments'!A257="","",'Raw Payments'!A257)</f>
        <v/>
      </c>
      <c r="F257" t="str">
        <f>IF(E257="","",'Raw Payments'!B257)</f>
        <v/>
      </c>
      <c r="G257" t="str">
        <f>IF(E257="","",'Raw Payments'!F257)</f>
        <v/>
      </c>
      <c r="H257" t="str">
        <f>IF(E257="","",'Raw Payments'!H257)</f>
        <v/>
      </c>
      <c r="I257" t="str">
        <f>IF(E257="","",'Raw Payments'!I257)</f>
        <v/>
      </c>
      <c r="J257" t="str">
        <f>IF(A257="","",IF(COUNTIF('Raw Payments'!$C:$C,A257)&gt;0,"Payment Linked","No Payment"))</f>
        <v/>
      </c>
      <c r="K257" t="str">
        <f>IF(F257="","Missing Reference",IF(COUNTIF('Raw Payments'!$B:$B,F257)&gt;1,"Possible Duplicate","Reference Present"))</f>
        <v>Missing Reference</v>
      </c>
      <c r="L257" t="str">
        <f t="shared" si="3"/>
        <v/>
      </c>
    </row>
    <row r="258" spans="1:12" x14ac:dyDescent="0.3">
      <c r="A258" t="str">
        <f>IF('Raw Enrollments'!A258="","",'Raw Enrollments'!A258)</f>
        <v/>
      </c>
      <c r="B258" t="str">
        <f>IF(A258="","",'Raw Enrollments'!B258)</f>
        <v/>
      </c>
      <c r="C258" t="str">
        <f>IF(A258="","",'Raw Enrollments'!C258)</f>
        <v/>
      </c>
      <c r="D258" t="str">
        <f>IF(A258="","",'Raw Enrollments'!E258)</f>
        <v/>
      </c>
      <c r="E258" t="str">
        <f>IF('Raw Payments'!A258="","",'Raw Payments'!A258)</f>
        <v/>
      </c>
      <c r="F258" t="str">
        <f>IF(E258="","",'Raw Payments'!B258)</f>
        <v/>
      </c>
      <c r="G258" t="str">
        <f>IF(E258="","",'Raw Payments'!F258)</f>
        <v/>
      </c>
      <c r="H258" t="str">
        <f>IF(E258="","",'Raw Payments'!H258)</f>
        <v/>
      </c>
      <c r="I258" t="str">
        <f>IF(E258="","",'Raw Payments'!I258)</f>
        <v/>
      </c>
      <c r="J258" t="str">
        <f>IF(A258="","",IF(COUNTIF('Raw Payments'!$C:$C,A258)&gt;0,"Payment Linked","No Payment"))</f>
        <v/>
      </c>
      <c r="K258" t="str">
        <f>IF(F258="","Missing Reference",IF(COUNTIF('Raw Payments'!$B:$B,F258)&gt;1,"Possible Duplicate","Reference Present"))</f>
        <v>Missing Reference</v>
      </c>
      <c r="L258" t="str">
        <f t="shared" si="3"/>
        <v/>
      </c>
    </row>
    <row r="259" spans="1:12" x14ac:dyDescent="0.3">
      <c r="A259" t="str">
        <f>IF('Raw Enrollments'!A259="","",'Raw Enrollments'!A259)</f>
        <v/>
      </c>
      <c r="B259" t="str">
        <f>IF(A259="","",'Raw Enrollments'!B259)</f>
        <v/>
      </c>
      <c r="C259" t="str">
        <f>IF(A259="","",'Raw Enrollments'!C259)</f>
        <v/>
      </c>
      <c r="D259" t="str">
        <f>IF(A259="","",'Raw Enrollments'!E259)</f>
        <v/>
      </c>
      <c r="E259" t="str">
        <f>IF('Raw Payments'!A259="","",'Raw Payments'!A259)</f>
        <v/>
      </c>
      <c r="F259" t="str">
        <f>IF(E259="","",'Raw Payments'!B259)</f>
        <v/>
      </c>
      <c r="G259" t="str">
        <f>IF(E259="","",'Raw Payments'!F259)</f>
        <v/>
      </c>
      <c r="H259" t="str">
        <f>IF(E259="","",'Raw Payments'!H259)</f>
        <v/>
      </c>
      <c r="I259" t="str">
        <f>IF(E259="","",'Raw Payments'!I259)</f>
        <v/>
      </c>
      <c r="J259" t="str">
        <f>IF(A259="","",IF(COUNTIF('Raw Payments'!$C:$C,A259)&gt;0,"Payment Linked","No Payment"))</f>
        <v/>
      </c>
      <c r="K259" t="str">
        <f>IF(F259="","Missing Reference",IF(COUNTIF('Raw Payments'!$B:$B,F259)&gt;1,"Possible Duplicate","Reference Present"))</f>
        <v>Missing Reference</v>
      </c>
      <c r="L259" t="str">
        <f t="shared" si="3"/>
        <v/>
      </c>
    </row>
    <row r="260" spans="1:12" x14ac:dyDescent="0.3">
      <c r="A260" t="str">
        <f>IF('Raw Enrollments'!A260="","",'Raw Enrollments'!A260)</f>
        <v/>
      </c>
      <c r="B260" t="str">
        <f>IF(A260="","",'Raw Enrollments'!B260)</f>
        <v/>
      </c>
      <c r="C260" t="str">
        <f>IF(A260="","",'Raw Enrollments'!C260)</f>
        <v/>
      </c>
      <c r="D260" t="str">
        <f>IF(A260="","",'Raw Enrollments'!E260)</f>
        <v/>
      </c>
      <c r="E260" t="str">
        <f>IF('Raw Payments'!A260="","",'Raw Payments'!A260)</f>
        <v/>
      </c>
      <c r="F260" t="str">
        <f>IF(E260="","",'Raw Payments'!B260)</f>
        <v/>
      </c>
      <c r="G260" t="str">
        <f>IF(E260="","",'Raw Payments'!F260)</f>
        <v/>
      </c>
      <c r="H260" t="str">
        <f>IF(E260="","",'Raw Payments'!H260)</f>
        <v/>
      </c>
      <c r="I260" t="str">
        <f>IF(E260="","",'Raw Payments'!I260)</f>
        <v/>
      </c>
      <c r="J260" t="str">
        <f>IF(A260="","",IF(COUNTIF('Raw Payments'!$C:$C,A260)&gt;0,"Payment Linked","No Payment"))</f>
        <v/>
      </c>
      <c r="K260" t="str">
        <f>IF(F260="","Missing Reference",IF(COUNTIF('Raw Payments'!$B:$B,F260)&gt;1,"Possible Duplicate","Reference Present"))</f>
        <v>Missing Reference</v>
      </c>
      <c r="L260" t="str">
        <f t="shared" si="3"/>
        <v/>
      </c>
    </row>
    <row r="261" spans="1:12" x14ac:dyDescent="0.3">
      <c r="A261" t="str">
        <f>IF('Raw Enrollments'!A261="","",'Raw Enrollments'!A261)</f>
        <v/>
      </c>
      <c r="B261" t="str">
        <f>IF(A261="","",'Raw Enrollments'!B261)</f>
        <v/>
      </c>
      <c r="C261" t="str">
        <f>IF(A261="","",'Raw Enrollments'!C261)</f>
        <v/>
      </c>
      <c r="D261" t="str">
        <f>IF(A261="","",'Raw Enrollments'!E261)</f>
        <v/>
      </c>
      <c r="E261" t="str">
        <f>IF('Raw Payments'!A261="","",'Raw Payments'!A261)</f>
        <v/>
      </c>
      <c r="F261" t="str">
        <f>IF(E261="","",'Raw Payments'!B261)</f>
        <v/>
      </c>
      <c r="G261" t="str">
        <f>IF(E261="","",'Raw Payments'!F261)</f>
        <v/>
      </c>
      <c r="H261" t="str">
        <f>IF(E261="","",'Raw Payments'!H261)</f>
        <v/>
      </c>
      <c r="I261" t="str">
        <f>IF(E261="","",'Raw Payments'!I261)</f>
        <v/>
      </c>
      <c r="J261" t="str">
        <f>IF(A261="","",IF(COUNTIF('Raw Payments'!$C:$C,A261)&gt;0,"Payment Linked","No Payment"))</f>
        <v/>
      </c>
      <c r="K261" t="str">
        <f>IF(F261="","Missing Reference",IF(COUNTIF('Raw Payments'!$B:$B,F261)&gt;1,"Possible Duplicate","Reference Present"))</f>
        <v>Missing Reference</v>
      </c>
      <c r="L261" t="str">
        <f t="shared" ref="L261:L324" si="4">IF(A261="","",IF(OR(J261="No Payment",K261="Missing Reference",K261="Possible Duplicate",H261=""),"Review","Check Student/Course/Status"))</f>
        <v/>
      </c>
    </row>
    <row r="262" spans="1:12" x14ac:dyDescent="0.3">
      <c r="A262" t="str">
        <f>IF('Raw Enrollments'!A262="","",'Raw Enrollments'!A262)</f>
        <v/>
      </c>
      <c r="B262" t="str">
        <f>IF(A262="","",'Raw Enrollments'!B262)</f>
        <v/>
      </c>
      <c r="C262" t="str">
        <f>IF(A262="","",'Raw Enrollments'!C262)</f>
        <v/>
      </c>
      <c r="D262" t="str">
        <f>IF(A262="","",'Raw Enrollments'!E262)</f>
        <v/>
      </c>
      <c r="E262" t="str">
        <f>IF('Raw Payments'!A262="","",'Raw Payments'!A262)</f>
        <v/>
      </c>
      <c r="F262" t="str">
        <f>IF(E262="","",'Raw Payments'!B262)</f>
        <v/>
      </c>
      <c r="G262" t="str">
        <f>IF(E262="","",'Raw Payments'!F262)</f>
        <v/>
      </c>
      <c r="H262" t="str">
        <f>IF(E262="","",'Raw Payments'!H262)</f>
        <v/>
      </c>
      <c r="I262" t="str">
        <f>IF(E262="","",'Raw Payments'!I262)</f>
        <v/>
      </c>
      <c r="J262" t="str">
        <f>IF(A262="","",IF(COUNTIF('Raw Payments'!$C:$C,A262)&gt;0,"Payment Linked","No Payment"))</f>
        <v/>
      </c>
      <c r="K262" t="str">
        <f>IF(F262="","Missing Reference",IF(COUNTIF('Raw Payments'!$B:$B,F262)&gt;1,"Possible Duplicate","Reference Present"))</f>
        <v>Missing Reference</v>
      </c>
      <c r="L262" t="str">
        <f t="shared" si="4"/>
        <v/>
      </c>
    </row>
    <row r="263" spans="1:12" x14ac:dyDescent="0.3">
      <c r="A263" t="str">
        <f>IF('Raw Enrollments'!A263="","",'Raw Enrollments'!A263)</f>
        <v/>
      </c>
      <c r="B263" t="str">
        <f>IF(A263="","",'Raw Enrollments'!B263)</f>
        <v/>
      </c>
      <c r="C263" t="str">
        <f>IF(A263="","",'Raw Enrollments'!C263)</f>
        <v/>
      </c>
      <c r="D263" t="str">
        <f>IF(A263="","",'Raw Enrollments'!E263)</f>
        <v/>
      </c>
      <c r="E263" t="str">
        <f>IF('Raw Payments'!A263="","",'Raw Payments'!A263)</f>
        <v/>
      </c>
      <c r="F263" t="str">
        <f>IF(E263="","",'Raw Payments'!B263)</f>
        <v/>
      </c>
      <c r="G263" t="str">
        <f>IF(E263="","",'Raw Payments'!F263)</f>
        <v/>
      </c>
      <c r="H263" t="str">
        <f>IF(E263="","",'Raw Payments'!H263)</f>
        <v/>
      </c>
      <c r="I263" t="str">
        <f>IF(E263="","",'Raw Payments'!I263)</f>
        <v/>
      </c>
      <c r="J263" t="str">
        <f>IF(A263="","",IF(COUNTIF('Raw Payments'!$C:$C,A263)&gt;0,"Payment Linked","No Payment"))</f>
        <v/>
      </c>
      <c r="K263" t="str">
        <f>IF(F263="","Missing Reference",IF(COUNTIF('Raw Payments'!$B:$B,F263)&gt;1,"Possible Duplicate","Reference Present"))</f>
        <v>Missing Reference</v>
      </c>
      <c r="L263" t="str">
        <f t="shared" si="4"/>
        <v/>
      </c>
    </row>
    <row r="264" spans="1:12" x14ac:dyDescent="0.3">
      <c r="A264" t="str">
        <f>IF('Raw Enrollments'!A264="","",'Raw Enrollments'!A264)</f>
        <v/>
      </c>
      <c r="B264" t="str">
        <f>IF(A264="","",'Raw Enrollments'!B264)</f>
        <v/>
      </c>
      <c r="C264" t="str">
        <f>IF(A264="","",'Raw Enrollments'!C264)</f>
        <v/>
      </c>
      <c r="D264" t="str">
        <f>IF(A264="","",'Raw Enrollments'!E264)</f>
        <v/>
      </c>
      <c r="E264" t="str">
        <f>IF('Raw Payments'!A264="","",'Raw Payments'!A264)</f>
        <v/>
      </c>
      <c r="F264" t="str">
        <f>IF(E264="","",'Raw Payments'!B264)</f>
        <v/>
      </c>
      <c r="G264" t="str">
        <f>IF(E264="","",'Raw Payments'!F264)</f>
        <v/>
      </c>
      <c r="H264" t="str">
        <f>IF(E264="","",'Raw Payments'!H264)</f>
        <v/>
      </c>
      <c r="I264" t="str">
        <f>IF(E264="","",'Raw Payments'!I264)</f>
        <v/>
      </c>
      <c r="J264" t="str">
        <f>IF(A264="","",IF(COUNTIF('Raw Payments'!$C:$C,A264)&gt;0,"Payment Linked","No Payment"))</f>
        <v/>
      </c>
      <c r="K264" t="str">
        <f>IF(F264="","Missing Reference",IF(COUNTIF('Raw Payments'!$B:$B,F264)&gt;1,"Possible Duplicate","Reference Present"))</f>
        <v>Missing Reference</v>
      </c>
      <c r="L264" t="str">
        <f t="shared" si="4"/>
        <v/>
      </c>
    </row>
    <row r="265" spans="1:12" x14ac:dyDescent="0.3">
      <c r="A265" t="str">
        <f>IF('Raw Enrollments'!A265="","",'Raw Enrollments'!A265)</f>
        <v/>
      </c>
      <c r="B265" t="str">
        <f>IF(A265="","",'Raw Enrollments'!B265)</f>
        <v/>
      </c>
      <c r="C265" t="str">
        <f>IF(A265="","",'Raw Enrollments'!C265)</f>
        <v/>
      </c>
      <c r="D265" t="str">
        <f>IF(A265="","",'Raw Enrollments'!E265)</f>
        <v/>
      </c>
      <c r="E265" t="str">
        <f>IF('Raw Payments'!A265="","",'Raw Payments'!A265)</f>
        <v/>
      </c>
      <c r="F265" t="str">
        <f>IF(E265="","",'Raw Payments'!B265)</f>
        <v/>
      </c>
      <c r="G265" t="str">
        <f>IF(E265="","",'Raw Payments'!F265)</f>
        <v/>
      </c>
      <c r="H265" t="str">
        <f>IF(E265="","",'Raw Payments'!H265)</f>
        <v/>
      </c>
      <c r="I265" t="str">
        <f>IF(E265="","",'Raw Payments'!I265)</f>
        <v/>
      </c>
      <c r="J265" t="str">
        <f>IF(A265="","",IF(COUNTIF('Raw Payments'!$C:$C,A265)&gt;0,"Payment Linked","No Payment"))</f>
        <v/>
      </c>
      <c r="K265" t="str">
        <f>IF(F265="","Missing Reference",IF(COUNTIF('Raw Payments'!$B:$B,F265)&gt;1,"Possible Duplicate","Reference Present"))</f>
        <v>Missing Reference</v>
      </c>
      <c r="L265" t="str">
        <f t="shared" si="4"/>
        <v/>
      </c>
    </row>
    <row r="266" spans="1:12" x14ac:dyDescent="0.3">
      <c r="A266" t="str">
        <f>IF('Raw Enrollments'!A266="","",'Raw Enrollments'!A266)</f>
        <v/>
      </c>
      <c r="B266" t="str">
        <f>IF(A266="","",'Raw Enrollments'!B266)</f>
        <v/>
      </c>
      <c r="C266" t="str">
        <f>IF(A266="","",'Raw Enrollments'!C266)</f>
        <v/>
      </c>
      <c r="D266" t="str">
        <f>IF(A266="","",'Raw Enrollments'!E266)</f>
        <v/>
      </c>
      <c r="E266" t="str">
        <f>IF('Raw Payments'!A266="","",'Raw Payments'!A266)</f>
        <v/>
      </c>
      <c r="F266" t="str">
        <f>IF(E266="","",'Raw Payments'!B266)</f>
        <v/>
      </c>
      <c r="G266" t="str">
        <f>IF(E266="","",'Raw Payments'!F266)</f>
        <v/>
      </c>
      <c r="H266" t="str">
        <f>IF(E266="","",'Raw Payments'!H266)</f>
        <v/>
      </c>
      <c r="I266" t="str">
        <f>IF(E266="","",'Raw Payments'!I266)</f>
        <v/>
      </c>
      <c r="J266" t="str">
        <f>IF(A266="","",IF(COUNTIF('Raw Payments'!$C:$C,A266)&gt;0,"Payment Linked","No Payment"))</f>
        <v/>
      </c>
      <c r="K266" t="str">
        <f>IF(F266="","Missing Reference",IF(COUNTIF('Raw Payments'!$B:$B,F266)&gt;1,"Possible Duplicate","Reference Present"))</f>
        <v>Missing Reference</v>
      </c>
      <c r="L266" t="str">
        <f t="shared" si="4"/>
        <v/>
      </c>
    </row>
    <row r="267" spans="1:12" x14ac:dyDescent="0.3">
      <c r="A267" t="str">
        <f>IF('Raw Enrollments'!A267="","",'Raw Enrollments'!A267)</f>
        <v/>
      </c>
      <c r="B267" t="str">
        <f>IF(A267="","",'Raw Enrollments'!B267)</f>
        <v/>
      </c>
      <c r="C267" t="str">
        <f>IF(A267="","",'Raw Enrollments'!C267)</f>
        <v/>
      </c>
      <c r="D267" t="str">
        <f>IF(A267="","",'Raw Enrollments'!E267)</f>
        <v/>
      </c>
      <c r="E267" t="str">
        <f>IF('Raw Payments'!A267="","",'Raw Payments'!A267)</f>
        <v/>
      </c>
      <c r="F267" t="str">
        <f>IF(E267="","",'Raw Payments'!B267)</f>
        <v/>
      </c>
      <c r="G267" t="str">
        <f>IF(E267="","",'Raw Payments'!F267)</f>
        <v/>
      </c>
      <c r="H267" t="str">
        <f>IF(E267="","",'Raw Payments'!H267)</f>
        <v/>
      </c>
      <c r="I267" t="str">
        <f>IF(E267="","",'Raw Payments'!I267)</f>
        <v/>
      </c>
      <c r="J267" t="str">
        <f>IF(A267="","",IF(COUNTIF('Raw Payments'!$C:$C,A267)&gt;0,"Payment Linked","No Payment"))</f>
        <v/>
      </c>
      <c r="K267" t="str">
        <f>IF(F267="","Missing Reference",IF(COUNTIF('Raw Payments'!$B:$B,F267)&gt;1,"Possible Duplicate","Reference Present"))</f>
        <v>Missing Reference</v>
      </c>
      <c r="L267" t="str">
        <f t="shared" si="4"/>
        <v/>
      </c>
    </row>
    <row r="268" spans="1:12" x14ac:dyDescent="0.3">
      <c r="A268" t="str">
        <f>IF('Raw Enrollments'!A268="","",'Raw Enrollments'!A268)</f>
        <v/>
      </c>
      <c r="B268" t="str">
        <f>IF(A268="","",'Raw Enrollments'!B268)</f>
        <v/>
      </c>
      <c r="C268" t="str">
        <f>IF(A268="","",'Raw Enrollments'!C268)</f>
        <v/>
      </c>
      <c r="D268" t="str">
        <f>IF(A268="","",'Raw Enrollments'!E268)</f>
        <v/>
      </c>
      <c r="E268" t="str">
        <f>IF('Raw Payments'!A268="","",'Raw Payments'!A268)</f>
        <v/>
      </c>
      <c r="F268" t="str">
        <f>IF(E268="","",'Raw Payments'!B268)</f>
        <v/>
      </c>
      <c r="G268" t="str">
        <f>IF(E268="","",'Raw Payments'!F268)</f>
        <v/>
      </c>
      <c r="H268" t="str">
        <f>IF(E268="","",'Raw Payments'!H268)</f>
        <v/>
      </c>
      <c r="I268" t="str">
        <f>IF(E268="","",'Raw Payments'!I268)</f>
        <v/>
      </c>
      <c r="J268" t="str">
        <f>IF(A268="","",IF(COUNTIF('Raw Payments'!$C:$C,A268)&gt;0,"Payment Linked","No Payment"))</f>
        <v/>
      </c>
      <c r="K268" t="str">
        <f>IF(F268="","Missing Reference",IF(COUNTIF('Raw Payments'!$B:$B,F268)&gt;1,"Possible Duplicate","Reference Present"))</f>
        <v>Missing Reference</v>
      </c>
      <c r="L268" t="str">
        <f t="shared" si="4"/>
        <v/>
      </c>
    </row>
    <row r="269" spans="1:12" x14ac:dyDescent="0.3">
      <c r="A269" t="str">
        <f>IF('Raw Enrollments'!A269="","",'Raw Enrollments'!A269)</f>
        <v/>
      </c>
      <c r="B269" t="str">
        <f>IF(A269="","",'Raw Enrollments'!B269)</f>
        <v/>
      </c>
      <c r="C269" t="str">
        <f>IF(A269="","",'Raw Enrollments'!C269)</f>
        <v/>
      </c>
      <c r="D269" t="str">
        <f>IF(A269="","",'Raw Enrollments'!E269)</f>
        <v/>
      </c>
      <c r="E269" t="str">
        <f>IF('Raw Payments'!A269="","",'Raw Payments'!A269)</f>
        <v/>
      </c>
      <c r="F269" t="str">
        <f>IF(E269="","",'Raw Payments'!B269)</f>
        <v/>
      </c>
      <c r="G269" t="str">
        <f>IF(E269="","",'Raw Payments'!F269)</f>
        <v/>
      </c>
      <c r="H269" t="str">
        <f>IF(E269="","",'Raw Payments'!H269)</f>
        <v/>
      </c>
      <c r="I269" t="str">
        <f>IF(E269="","",'Raw Payments'!I269)</f>
        <v/>
      </c>
      <c r="J269" t="str">
        <f>IF(A269="","",IF(COUNTIF('Raw Payments'!$C:$C,A269)&gt;0,"Payment Linked","No Payment"))</f>
        <v/>
      </c>
      <c r="K269" t="str">
        <f>IF(F269="","Missing Reference",IF(COUNTIF('Raw Payments'!$B:$B,F269)&gt;1,"Possible Duplicate","Reference Present"))</f>
        <v>Missing Reference</v>
      </c>
      <c r="L269" t="str">
        <f t="shared" si="4"/>
        <v/>
      </c>
    </row>
    <row r="270" spans="1:12" x14ac:dyDescent="0.3">
      <c r="A270" t="str">
        <f>IF('Raw Enrollments'!A270="","",'Raw Enrollments'!A270)</f>
        <v/>
      </c>
      <c r="B270" t="str">
        <f>IF(A270="","",'Raw Enrollments'!B270)</f>
        <v/>
      </c>
      <c r="C270" t="str">
        <f>IF(A270="","",'Raw Enrollments'!C270)</f>
        <v/>
      </c>
      <c r="D270" t="str">
        <f>IF(A270="","",'Raw Enrollments'!E270)</f>
        <v/>
      </c>
      <c r="E270" t="str">
        <f>IF('Raw Payments'!A270="","",'Raw Payments'!A270)</f>
        <v/>
      </c>
      <c r="F270" t="str">
        <f>IF(E270="","",'Raw Payments'!B270)</f>
        <v/>
      </c>
      <c r="G270" t="str">
        <f>IF(E270="","",'Raw Payments'!F270)</f>
        <v/>
      </c>
      <c r="H270" t="str">
        <f>IF(E270="","",'Raw Payments'!H270)</f>
        <v/>
      </c>
      <c r="I270" t="str">
        <f>IF(E270="","",'Raw Payments'!I270)</f>
        <v/>
      </c>
      <c r="J270" t="str">
        <f>IF(A270="","",IF(COUNTIF('Raw Payments'!$C:$C,A270)&gt;0,"Payment Linked","No Payment"))</f>
        <v/>
      </c>
      <c r="K270" t="str">
        <f>IF(F270="","Missing Reference",IF(COUNTIF('Raw Payments'!$B:$B,F270)&gt;1,"Possible Duplicate","Reference Present"))</f>
        <v>Missing Reference</v>
      </c>
      <c r="L270" t="str">
        <f t="shared" si="4"/>
        <v/>
      </c>
    </row>
    <row r="271" spans="1:12" x14ac:dyDescent="0.3">
      <c r="A271" t="str">
        <f>IF('Raw Enrollments'!A271="","",'Raw Enrollments'!A271)</f>
        <v/>
      </c>
      <c r="B271" t="str">
        <f>IF(A271="","",'Raw Enrollments'!B271)</f>
        <v/>
      </c>
      <c r="C271" t="str">
        <f>IF(A271="","",'Raw Enrollments'!C271)</f>
        <v/>
      </c>
      <c r="D271" t="str">
        <f>IF(A271="","",'Raw Enrollments'!E271)</f>
        <v/>
      </c>
      <c r="E271" t="str">
        <f>IF('Raw Payments'!A271="","",'Raw Payments'!A271)</f>
        <v/>
      </c>
      <c r="F271" t="str">
        <f>IF(E271="","",'Raw Payments'!B271)</f>
        <v/>
      </c>
      <c r="G271" t="str">
        <f>IF(E271="","",'Raw Payments'!F271)</f>
        <v/>
      </c>
      <c r="H271" t="str">
        <f>IF(E271="","",'Raw Payments'!H271)</f>
        <v/>
      </c>
      <c r="I271" t="str">
        <f>IF(E271="","",'Raw Payments'!I271)</f>
        <v/>
      </c>
      <c r="J271" t="str">
        <f>IF(A271="","",IF(COUNTIF('Raw Payments'!$C:$C,A271)&gt;0,"Payment Linked","No Payment"))</f>
        <v/>
      </c>
      <c r="K271" t="str">
        <f>IF(F271="","Missing Reference",IF(COUNTIF('Raw Payments'!$B:$B,F271)&gt;1,"Possible Duplicate","Reference Present"))</f>
        <v>Missing Reference</v>
      </c>
      <c r="L271" t="str">
        <f t="shared" si="4"/>
        <v/>
      </c>
    </row>
    <row r="272" spans="1:12" x14ac:dyDescent="0.3">
      <c r="A272" t="str">
        <f>IF('Raw Enrollments'!A272="","",'Raw Enrollments'!A272)</f>
        <v/>
      </c>
      <c r="B272" t="str">
        <f>IF(A272="","",'Raw Enrollments'!B272)</f>
        <v/>
      </c>
      <c r="C272" t="str">
        <f>IF(A272="","",'Raw Enrollments'!C272)</f>
        <v/>
      </c>
      <c r="D272" t="str">
        <f>IF(A272="","",'Raw Enrollments'!E272)</f>
        <v/>
      </c>
      <c r="E272" t="str">
        <f>IF('Raw Payments'!A272="","",'Raw Payments'!A272)</f>
        <v/>
      </c>
      <c r="F272" t="str">
        <f>IF(E272="","",'Raw Payments'!B272)</f>
        <v/>
      </c>
      <c r="G272" t="str">
        <f>IF(E272="","",'Raw Payments'!F272)</f>
        <v/>
      </c>
      <c r="H272" t="str">
        <f>IF(E272="","",'Raw Payments'!H272)</f>
        <v/>
      </c>
      <c r="I272" t="str">
        <f>IF(E272="","",'Raw Payments'!I272)</f>
        <v/>
      </c>
      <c r="J272" t="str">
        <f>IF(A272="","",IF(COUNTIF('Raw Payments'!$C:$C,A272)&gt;0,"Payment Linked","No Payment"))</f>
        <v/>
      </c>
      <c r="K272" t="str">
        <f>IF(F272="","Missing Reference",IF(COUNTIF('Raw Payments'!$B:$B,F272)&gt;1,"Possible Duplicate","Reference Present"))</f>
        <v>Missing Reference</v>
      </c>
      <c r="L272" t="str">
        <f t="shared" si="4"/>
        <v/>
      </c>
    </row>
    <row r="273" spans="1:12" x14ac:dyDescent="0.3">
      <c r="A273" t="str">
        <f>IF('Raw Enrollments'!A273="","",'Raw Enrollments'!A273)</f>
        <v/>
      </c>
      <c r="B273" t="str">
        <f>IF(A273="","",'Raw Enrollments'!B273)</f>
        <v/>
      </c>
      <c r="C273" t="str">
        <f>IF(A273="","",'Raw Enrollments'!C273)</f>
        <v/>
      </c>
      <c r="D273" t="str">
        <f>IF(A273="","",'Raw Enrollments'!E273)</f>
        <v/>
      </c>
      <c r="E273" t="str">
        <f>IF('Raw Payments'!A273="","",'Raw Payments'!A273)</f>
        <v/>
      </c>
      <c r="F273" t="str">
        <f>IF(E273="","",'Raw Payments'!B273)</f>
        <v/>
      </c>
      <c r="G273" t="str">
        <f>IF(E273="","",'Raw Payments'!F273)</f>
        <v/>
      </c>
      <c r="H273" t="str">
        <f>IF(E273="","",'Raw Payments'!H273)</f>
        <v/>
      </c>
      <c r="I273" t="str">
        <f>IF(E273="","",'Raw Payments'!I273)</f>
        <v/>
      </c>
      <c r="J273" t="str">
        <f>IF(A273="","",IF(COUNTIF('Raw Payments'!$C:$C,A273)&gt;0,"Payment Linked","No Payment"))</f>
        <v/>
      </c>
      <c r="K273" t="str">
        <f>IF(F273="","Missing Reference",IF(COUNTIF('Raw Payments'!$B:$B,F273)&gt;1,"Possible Duplicate","Reference Present"))</f>
        <v>Missing Reference</v>
      </c>
      <c r="L273" t="str">
        <f t="shared" si="4"/>
        <v/>
      </c>
    </row>
    <row r="274" spans="1:12" x14ac:dyDescent="0.3">
      <c r="A274" t="str">
        <f>IF('Raw Enrollments'!A274="","",'Raw Enrollments'!A274)</f>
        <v/>
      </c>
      <c r="B274" t="str">
        <f>IF(A274="","",'Raw Enrollments'!B274)</f>
        <v/>
      </c>
      <c r="C274" t="str">
        <f>IF(A274="","",'Raw Enrollments'!C274)</f>
        <v/>
      </c>
      <c r="D274" t="str">
        <f>IF(A274="","",'Raw Enrollments'!E274)</f>
        <v/>
      </c>
      <c r="E274" t="str">
        <f>IF('Raw Payments'!A274="","",'Raw Payments'!A274)</f>
        <v/>
      </c>
      <c r="F274" t="str">
        <f>IF(E274="","",'Raw Payments'!B274)</f>
        <v/>
      </c>
      <c r="G274" t="str">
        <f>IF(E274="","",'Raw Payments'!F274)</f>
        <v/>
      </c>
      <c r="H274" t="str">
        <f>IF(E274="","",'Raw Payments'!H274)</f>
        <v/>
      </c>
      <c r="I274" t="str">
        <f>IF(E274="","",'Raw Payments'!I274)</f>
        <v/>
      </c>
      <c r="J274" t="str">
        <f>IF(A274="","",IF(COUNTIF('Raw Payments'!$C:$C,A274)&gt;0,"Payment Linked","No Payment"))</f>
        <v/>
      </c>
      <c r="K274" t="str">
        <f>IF(F274="","Missing Reference",IF(COUNTIF('Raw Payments'!$B:$B,F274)&gt;1,"Possible Duplicate","Reference Present"))</f>
        <v>Missing Reference</v>
      </c>
      <c r="L274" t="str">
        <f t="shared" si="4"/>
        <v/>
      </c>
    </row>
    <row r="275" spans="1:12" x14ac:dyDescent="0.3">
      <c r="A275" t="str">
        <f>IF('Raw Enrollments'!A275="","",'Raw Enrollments'!A275)</f>
        <v/>
      </c>
      <c r="B275" t="str">
        <f>IF(A275="","",'Raw Enrollments'!B275)</f>
        <v/>
      </c>
      <c r="C275" t="str">
        <f>IF(A275="","",'Raw Enrollments'!C275)</f>
        <v/>
      </c>
      <c r="D275" t="str">
        <f>IF(A275="","",'Raw Enrollments'!E275)</f>
        <v/>
      </c>
      <c r="E275" t="str">
        <f>IF('Raw Payments'!A275="","",'Raw Payments'!A275)</f>
        <v/>
      </c>
      <c r="F275" t="str">
        <f>IF(E275="","",'Raw Payments'!B275)</f>
        <v/>
      </c>
      <c r="G275" t="str">
        <f>IF(E275="","",'Raw Payments'!F275)</f>
        <v/>
      </c>
      <c r="H275" t="str">
        <f>IF(E275="","",'Raw Payments'!H275)</f>
        <v/>
      </c>
      <c r="I275" t="str">
        <f>IF(E275="","",'Raw Payments'!I275)</f>
        <v/>
      </c>
      <c r="J275" t="str">
        <f>IF(A275="","",IF(COUNTIF('Raw Payments'!$C:$C,A275)&gt;0,"Payment Linked","No Payment"))</f>
        <v/>
      </c>
      <c r="K275" t="str">
        <f>IF(F275="","Missing Reference",IF(COUNTIF('Raw Payments'!$B:$B,F275)&gt;1,"Possible Duplicate","Reference Present"))</f>
        <v>Missing Reference</v>
      </c>
      <c r="L275" t="str">
        <f t="shared" si="4"/>
        <v/>
      </c>
    </row>
    <row r="276" spans="1:12" x14ac:dyDescent="0.3">
      <c r="A276" t="str">
        <f>IF('Raw Enrollments'!A276="","",'Raw Enrollments'!A276)</f>
        <v/>
      </c>
      <c r="B276" t="str">
        <f>IF(A276="","",'Raw Enrollments'!B276)</f>
        <v/>
      </c>
      <c r="C276" t="str">
        <f>IF(A276="","",'Raw Enrollments'!C276)</f>
        <v/>
      </c>
      <c r="D276" t="str">
        <f>IF(A276="","",'Raw Enrollments'!E276)</f>
        <v/>
      </c>
      <c r="E276" t="str">
        <f>IF('Raw Payments'!A276="","",'Raw Payments'!A276)</f>
        <v/>
      </c>
      <c r="F276" t="str">
        <f>IF(E276="","",'Raw Payments'!B276)</f>
        <v/>
      </c>
      <c r="G276" t="str">
        <f>IF(E276="","",'Raw Payments'!F276)</f>
        <v/>
      </c>
      <c r="H276" t="str">
        <f>IF(E276="","",'Raw Payments'!H276)</f>
        <v/>
      </c>
      <c r="I276" t="str">
        <f>IF(E276="","",'Raw Payments'!I276)</f>
        <v/>
      </c>
      <c r="J276" t="str">
        <f>IF(A276="","",IF(COUNTIF('Raw Payments'!$C:$C,A276)&gt;0,"Payment Linked","No Payment"))</f>
        <v/>
      </c>
      <c r="K276" t="str">
        <f>IF(F276="","Missing Reference",IF(COUNTIF('Raw Payments'!$B:$B,F276)&gt;1,"Possible Duplicate","Reference Present"))</f>
        <v>Missing Reference</v>
      </c>
      <c r="L276" t="str">
        <f t="shared" si="4"/>
        <v/>
      </c>
    </row>
    <row r="277" spans="1:12" x14ac:dyDescent="0.3">
      <c r="A277" t="str">
        <f>IF('Raw Enrollments'!A277="","",'Raw Enrollments'!A277)</f>
        <v/>
      </c>
      <c r="B277" t="str">
        <f>IF(A277="","",'Raw Enrollments'!B277)</f>
        <v/>
      </c>
      <c r="C277" t="str">
        <f>IF(A277="","",'Raw Enrollments'!C277)</f>
        <v/>
      </c>
      <c r="D277" t="str">
        <f>IF(A277="","",'Raw Enrollments'!E277)</f>
        <v/>
      </c>
      <c r="E277" t="str">
        <f>IF('Raw Payments'!A277="","",'Raw Payments'!A277)</f>
        <v/>
      </c>
      <c r="F277" t="str">
        <f>IF(E277="","",'Raw Payments'!B277)</f>
        <v/>
      </c>
      <c r="G277" t="str">
        <f>IF(E277="","",'Raw Payments'!F277)</f>
        <v/>
      </c>
      <c r="H277" t="str">
        <f>IF(E277="","",'Raw Payments'!H277)</f>
        <v/>
      </c>
      <c r="I277" t="str">
        <f>IF(E277="","",'Raw Payments'!I277)</f>
        <v/>
      </c>
      <c r="J277" t="str">
        <f>IF(A277="","",IF(COUNTIF('Raw Payments'!$C:$C,A277)&gt;0,"Payment Linked","No Payment"))</f>
        <v/>
      </c>
      <c r="K277" t="str">
        <f>IF(F277="","Missing Reference",IF(COUNTIF('Raw Payments'!$B:$B,F277)&gt;1,"Possible Duplicate","Reference Present"))</f>
        <v>Missing Reference</v>
      </c>
      <c r="L277" t="str">
        <f t="shared" si="4"/>
        <v/>
      </c>
    </row>
    <row r="278" spans="1:12" x14ac:dyDescent="0.3">
      <c r="A278" t="str">
        <f>IF('Raw Enrollments'!A278="","",'Raw Enrollments'!A278)</f>
        <v/>
      </c>
      <c r="B278" t="str">
        <f>IF(A278="","",'Raw Enrollments'!B278)</f>
        <v/>
      </c>
      <c r="C278" t="str">
        <f>IF(A278="","",'Raw Enrollments'!C278)</f>
        <v/>
      </c>
      <c r="D278" t="str">
        <f>IF(A278="","",'Raw Enrollments'!E278)</f>
        <v/>
      </c>
      <c r="E278" t="str">
        <f>IF('Raw Payments'!A278="","",'Raw Payments'!A278)</f>
        <v/>
      </c>
      <c r="F278" t="str">
        <f>IF(E278="","",'Raw Payments'!B278)</f>
        <v/>
      </c>
      <c r="G278" t="str">
        <f>IF(E278="","",'Raw Payments'!F278)</f>
        <v/>
      </c>
      <c r="H278" t="str">
        <f>IF(E278="","",'Raw Payments'!H278)</f>
        <v/>
      </c>
      <c r="I278" t="str">
        <f>IF(E278="","",'Raw Payments'!I278)</f>
        <v/>
      </c>
      <c r="J278" t="str">
        <f>IF(A278="","",IF(COUNTIF('Raw Payments'!$C:$C,A278)&gt;0,"Payment Linked","No Payment"))</f>
        <v/>
      </c>
      <c r="K278" t="str">
        <f>IF(F278="","Missing Reference",IF(COUNTIF('Raw Payments'!$B:$B,F278)&gt;1,"Possible Duplicate","Reference Present"))</f>
        <v>Missing Reference</v>
      </c>
      <c r="L278" t="str">
        <f t="shared" si="4"/>
        <v/>
      </c>
    </row>
    <row r="279" spans="1:12" x14ac:dyDescent="0.3">
      <c r="A279" t="str">
        <f>IF('Raw Enrollments'!A279="","",'Raw Enrollments'!A279)</f>
        <v/>
      </c>
      <c r="B279" t="str">
        <f>IF(A279="","",'Raw Enrollments'!B279)</f>
        <v/>
      </c>
      <c r="C279" t="str">
        <f>IF(A279="","",'Raw Enrollments'!C279)</f>
        <v/>
      </c>
      <c r="D279" t="str">
        <f>IF(A279="","",'Raw Enrollments'!E279)</f>
        <v/>
      </c>
      <c r="E279" t="str">
        <f>IF('Raw Payments'!A279="","",'Raw Payments'!A279)</f>
        <v/>
      </c>
      <c r="F279" t="str">
        <f>IF(E279="","",'Raw Payments'!B279)</f>
        <v/>
      </c>
      <c r="G279" t="str">
        <f>IF(E279="","",'Raw Payments'!F279)</f>
        <v/>
      </c>
      <c r="H279" t="str">
        <f>IF(E279="","",'Raw Payments'!H279)</f>
        <v/>
      </c>
      <c r="I279" t="str">
        <f>IF(E279="","",'Raw Payments'!I279)</f>
        <v/>
      </c>
      <c r="J279" t="str">
        <f>IF(A279="","",IF(COUNTIF('Raw Payments'!$C:$C,A279)&gt;0,"Payment Linked","No Payment"))</f>
        <v/>
      </c>
      <c r="K279" t="str">
        <f>IF(F279="","Missing Reference",IF(COUNTIF('Raw Payments'!$B:$B,F279)&gt;1,"Possible Duplicate","Reference Present"))</f>
        <v>Missing Reference</v>
      </c>
      <c r="L279" t="str">
        <f t="shared" si="4"/>
        <v/>
      </c>
    </row>
    <row r="280" spans="1:12" x14ac:dyDescent="0.3">
      <c r="A280" t="str">
        <f>IF('Raw Enrollments'!A280="","",'Raw Enrollments'!A280)</f>
        <v/>
      </c>
      <c r="B280" t="str">
        <f>IF(A280="","",'Raw Enrollments'!B280)</f>
        <v/>
      </c>
      <c r="C280" t="str">
        <f>IF(A280="","",'Raw Enrollments'!C280)</f>
        <v/>
      </c>
      <c r="D280" t="str">
        <f>IF(A280="","",'Raw Enrollments'!E280)</f>
        <v/>
      </c>
      <c r="E280" t="str">
        <f>IF('Raw Payments'!A280="","",'Raw Payments'!A280)</f>
        <v/>
      </c>
      <c r="F280" t="str">
        <f>IF(E280="","",'Raw Payments'!B280)</f>
        <v/>
      </c>
      <c r="G280" t="str">
        <f>IF(E280="","",'Raw Payments'!F280)</f>
        <v/>
      </c>
      <c r="H280" t="str">
        <f>IF(E280="","",'Raw Payments'!H280)</f>
        <v/>
      </c>
      <c r="I280" t="str">
        <f>IF(E280="","",'Raw Payments'!I280)</f>
        <v/>
      </c>
      <c r="J280" t="str">
        <f>IF(A280="","",IF(COUNTIF('Raw Payments'!$C:$C,A280)&gt;0,"Payment Linked","No Payment"))</f>
        <v/>
      </c>
      <c r="K280" t="str">
        <f>IF(F280="","Missing Reference",IF(COUNTIF('Raw Payments'!$B:$B,F280)&gt;1,"Possible Duplicate","Reference Present"))</f>
        <v>Missing Reference</v>
      </c>
      <c r="L280" t="str">
        <f t="shared" si="4"/>
        <v/>
      </c>
    </row>
    <row r="281" spans="1:12" x14ac:dyDescent="0.3">
      <c r="A281" t="str">
        <f>IF('Raw Enrollments'!A281="","",'Raw Enrollments'!A281)</f>
        <v/>
      </c>
      <c r="B281" t="str">
        <f>IF(A281="","",'Raw Enrollments'!B281)</f>
        <v/>
      </c>
      <c r="C281" t="str">
        <f>IF(A281="","",'Raw Enrollments'!C281)</f>
        <v/>
      </c>
      <c r="D281" t="str">
        <f>IF(A281="","",'Raw Enrollments'!E281)</f>
        <v/>
      </c>
      <c r="E281" t="str">
        <f>IF('Raw Payments'!A281="","",'Raw Payments'!A281)</f>
        <v/>
      </c>
      <c r="F281" t="str">
        <f>IF(E281="","",'Raw Payments'!B281)</f>
        <v/>
      </c>
      <c r="G281" t="str">
        <f>IF(E281="","",'Raw Payments'!F281)</f>
        <v/>
      </c>
      <c r="H281" t="str">
        <f>IF(E281="","",'Raw Payments'!H281)</f>
        <v/>
      </c>
      <c r="I281" t="str">
        <f>IF(E281="","",'Raw Payments'!I281)</f>
        <v/>
      </c>
      <c r="J281" t="str">
        <f>IF(A281="","",IF(COUNTIF('Raw Payments'!$C:$C,A281)&gt;0,"Payment Linked","No Payment"))</f>
        <v/>
      </c>
      <c r="K281" t="str">
        <f>IF(F281="","Missing Reference",IF(COUNTIF('Raw Payments'!$B:$B,F281)&gt;1,"Possible Duplicate","Reference Present"))</f>
        <v>Missing Reference</v>
      </c>
      <c r="L281" t="str">
        <f t="shared" si="4"/>
        <v/>
      </c>
    </row>
    <row r="282" spans="1:12" x14ac:dyDescent="0.3">
      <c r="A282" t="str">
        <f>IF('Raw Enrollments'!A282="","",'Raw Enrollments'!A282)</f>
        <v/>
      </c>
      <c r="B282" t="str">
        <f>IF(A282="","",'Raw Enrollments'!B282)</f>
        <v/>
      </c>
      <c r="C282" t="str">
        <f>IF(A282="","",'Raw Enrollments'!C282)</f>
        <v/>
      </c>
      <c r="D282" t="str">
        <f>IF(A282="","",'Raw Enrollments'!E282)</f>
        <v/>
      </c>
      <c r="E282" t="str">
        <f>IF('Raw Payments'!A282="","",'Raw Payments'!A282)</f>
        <v/>
      </c>
      <c r="F282" t="str">
        <f>IF(E282="","",'Raw Payments'!B282)</f>
        <v/>
      </c>
      <c r="G282" t="str">
        <f>IF(E282="","",'Raw Payments'!F282)</f>
        <v/>
      </c>
      <c r="H282" t="str">
        <f>IF(E282="","",'Raw Payments'!H282)</f>
        <v/>
      </c>
      <c r="I282" t="str">
        <f>IF(E282="","",'Raw Payments'!I282)</f>
        <v/>
      </c>
      <c r="J282" t="str">
        <f>IF(A282="","",IF(COUNTIF('Raw Payments'!$C:$C,A282)&gt;0,"Payment Linked","No Payment"))</f>
        <v/>
      </c>
      <c r="K282" t="str">
        <f>IF(F282="","Missing Reference",IF(COUNTIF('Raw Payments'!$B:$B,F282)&gt;1,"Possible Duplicate","Reference Present"))</f>
        <v>Missing Reference</v>
      </c>
      <c r="L282" t="str">
        <f t="shared" si="4"/>
        <v/>
      </c>
    </row>
    <row r="283" spans="1:12" x14ac:dyDescent="0.3">
      <c r="A283" t="str">
        <f>IF('Raw Enrollments'!A283="","",'Raw Enrollments'!A283)</f>
        <v/>
      </c>
      <c r="B283" t="str">
        <f>IF(A283="","",'Raw Enrollments'!B283)</f>
        <v/>
      </c>
      <c r="C283" t="str">
        <f>IF(A283="","",'Raw Enrollments'!C283)</f>
        <v/>
      </c>
      <c r="D283" t="str">
        <f>IF(A283="","",'Raw Enrollments'!E283)</f>
        <v/>
      </c>
      <c r="E283" t="str">
        <f>IF('Raw Payments'!A283="","",'Raw Payments'!A283)</f>
        <v/>
      </c>
      <c r="F283" t="str">
        <f>IF(E283="","",'Raw Payments'!B283)</f>
        <v/>
      </c>
      <c r="G283" t="str">
        <f>IF(E283="","",'Raw Payments'!F283)</f>
        <v/>
      </c>
      <c r="H283" t="str">
        <f>IF(E283="","",'Raw Payments'!H283)</f>
        <v/>
      </c>
      <c r="I283" t="str">
        <f>IF(E283="","",'Raw Payments'!I283)</f>
        <v/>
      </c>
      <c r="J283" t="str">
        <f>IF(A283="","",IF(COUNTIF('Raw Payments'!$C:$C,A283)&gt;0,"Payment Linked","No Payment"))</f>
        <v/>
      </c>
      <c r="K283" t="str">
        <f>IF(F283="","Missing Reference",IF(COUNTIF('Raw Payments'!$B:$B,F283)&gt;1,"Possible Duplicate","Reference Present"))</f>
        <v>Missing Reference</v>
      </c>
      <c r="L283" t="str">
        <f t="shared" si="4"/>
        <v/>
      </c>
    </row>
    <row r="284" spans="1:12" x14ac:dyDescent="0.3">
      <c r="A284" t="str">
        <f>IF('Raw Enrollments'!A284="","",'Raw Enrollments'!A284)</f>
        <v/>
      </c>
      <c r="B284" t="str">
        <f>IF(A284="","",'Raw Enrollments'!B284)</f>
        <v/>
      </c>
      <c r="C284" t="str">
        <f>IF(A284="","",'Raw Enrollments'!C284)</f>
        <v/>
      </c>
      <c r="D284" t="str">
        <f>IF(A284="","",'Raw Enrollments'!E284)</f>
        <v/>
      </c>
      <c r="E284" t="str">
        <f>IF('Raw Payments'!A284="","",'Raw Payments'!A284)</f>
        <v/>
      </c>
      <c r="F284" t="str">
        <f>IF(E284="","",'Raw Payments'!B284)</f>
        <v/>
      </c>
      <c r="G284" t="str">
        <f>IF(E284="","",'Raw Payments'!F284)</f>
        <v/>
      </c>
      <c r="H284" t="str">
        <f>IF(E284="","",'Raw Payments'!H284)</f>
        <v/>
      </c>
      <c r="I284" t="str">
        <f>IF(E284="","",'Raw Payments'!I284)</f>
        <v/>
      </c>
      <c r="J284" t="str">
        <f>IF(A284="","",IF(COUNTIF('Raw Payments'!$C:$C,A284)&gt;0,"Payment Linked","No Payment"))</f>
        <v/>
      </c>
      <c r="K284" t="str">
        <f>IF(F284="","Missing Reference",IF(COUNTIF('Raw Payments'!$B:$B,F284)&gt;1,"Possible Duplicate","Reference Present"))</f>
        <v>Missing Reference</v>
      </c>
      <c r="L284" t="str">
        <f t="shared" si="4"/>
        <v/>
      </c>
    </row>
    <row r="285" spans="1:12" x14ac:dyDescent="0.3">
      <c r="A285" t="str">
        <f>IF('Raw Enrollments'!A285="","",'Raw Enrollments'!A285)</f>
        <v/>
      </c>
      <c r="B285" t="str">
        <f>IF(A285="","",'Raw Enrollments'!B285)</f>
        <v/>
      </c>
      <c r="C285" t="str">
        <f>IF(A285="","",'Raw Enrollments'!C285)</f>
        <v/>
      </c>
      <c r="D285" t="str">
        <f>IF(A285="","",'Raw Enrollments'!E285)</f>
        <v/>
      </c>
      <c r="E285" t="str">
        <f>IF('Raw Payments'!A285="","",'Raw Payments'!A285)</f>
        <v/>
      </c>
      <c r="F285" t="str">
        <f>IF(E285="","",'Raw Payments'!B285)</f>
        <v/>
      </c>
      <c r="G285" t="str">
        <f>IF(E285="","",'Raw Payments'!F285)</f>
        <v/>
      </c>
      <c r="H285" t="str">
        <f>IF(E285="","",'Raw Payments'!H285)</f>
        <v/>
      </c>
      <c r="I285" t="str">
        <f>IF(E285="","",'Raw Payments'!I285)</f>
        <v/>
      </c>
      <c r="J285" t="str">
        <f>IF(A285="","",IF(COUNTIF('Raw Payments'!$C:$C,A285)&gt;0,"Payment Linked","No Payment"))</f>
        <v/>
      </c>
      <c r="K285" t="str">
        <f>IF(F285="","Missing Reference",IF(COUNTIF('Raw Payments'!$B:$B,F285)&gt;1,"Possible Duplicate","Reference Present"))</f>
        <v>Missing Reference</v>
      </c>
      <c r="L285" t="str">
        <f t="shared" si="4"/>
        <v/>
      </c>
    </row>
    <row r="286" spans="1:12" x14ac:dyDescent="0.3">
      <c r="A286" t="str">
        <f>IF('Raw Enrollments'!A286="","",'Raw Enrollments'!A286)</f>
        <v/>
      </c>
      <c r="B286" t="str">
        <f>IF(A286="","",'Raw Enrollments'!B286)</f>
        <v/>
      </c>
      <c r="C286" t="str">
        <f>IF(A286="","",'Raw Enrollments'!C286)</f>
        <v/>
      </c>
      <c r="D286" t="str">
        <f>IF(A286="","",'Raw Enrollments'!E286)</f>
        <v/>
      </c>
      <c r="E286" t="str">
        <f>IF('Raw Payments'!A286="","",'Raw Payments'!A286)</f>
        <v/>
      </c>
      <c r="F286" t="str">
        <f>IF(E286="","",'Raw Payments'!B286)</f>
        <v/>
      </c>
      <c r="G286" t="str">
        <f>IF(E286="","",'Raw Payments'!F286)</f>
        <v/>
      </c>
      <c r="H286" t="str">
        <f>IF(E286="","",'Raw Payments'!H286)</f>
        <v/>
      </c>
      <c r="I286" t="str">
        <f>IF(E286="","",'Raw Payments'!I286)</f>
        <v/>
      </c>
      <c r="J286" t="str">
        <f>IF(A286="","",IF(COUNTIF('Raw Payments'!$C:$C,A286)&gt;0,"Payment Linked","No Payment"))</f>
        <v/>
      </c>
      <c r="K286" t="str">
        <f>IF(F286="","Missing Reference",IF(COUNTIF('Raw Payments'!$B:$B,F286)&gt;1,"Possible Duplicate","Reference Present"))</f>
        <v>Missing Reference</v>
      </c>
      <c r="L286" t="str">
        <f t="shared" si="4"/>
        <v/>
      </c>
    </row>
    <row r="287" spans="1:12" x14ac:dyDescent="0.3">
      <c r="A287" t="str">
        <f>IF('Raw Enrollments'!A287="","",'Raw Enrollments'!A287)</f>
        <v/>
      </c>
      <c r="B287" t="str">
        <f>IF(A287="","",'Raw Enrollments'!B287)</f>
        <v/>
      </c>
      <c r="C287" t="str">
        <f>IF(A287="","",'Raw Enrollments'!C287)</f>
        <v/>
      </c>
      <c r="D287" t="str">
        <f>IF(A287="","",'Raw Enrollments'!E287)</f>
        <v/>
      </c>
      <c r="E287" t="str">
        <f>IF('Raw Payments'!A287="","",'Raw Payments'!A287)</f>
        <v/>
      </c>
      <c r="F287" t="str">
        <f>IF(E287="","",'Raw Payments'!B287)</f>
        <v/>
      </c>
      <c r="G287" t="str">
        <f>IF(E287="","",'Raw Payments'!F287)</f>
        <v/>
      </c>
      <c r="H287" t="str">
        <f>IF(E287="","",'Raw Payments'!H287)</f>
        <v/>
      </c>
      <c r="I287" t="str">
        <f>IF(E287="","",'Raw Payments'!I287)</f>
        <v/>
      </c>
      <c r="J287" t="str">
        <f>IF(A287="","",IF(COUNTIF('Raw Payments'!$C:$C,A287)&gt;0,"Payment Linked","No Payment"))</f>
        <v/>
      </c>
      <c r="K287" t="str">
        <f>IF(F287="","Missing Reference",IF(COUNTIF('Raw Payments'!$B:$B,F287)&gt;1,"Possible Duplicate","Reference Present"))</f>
        <v>Missing Reference</v>
      </c>
      <c r="L287" t="str">
        <f t="shared" si="4"/>
        <v/>
      </c>
    </row>
    <row r="288" spans="1:12" x14ac:dyDescent="0.3">
      <c r="A288" t="str">
        <f>IF('Raw Enrollments'!A288="","",'Raw Enrollments'!A288)</f>
        <v/>
      </c>
      <c r="B288" t="str">
        <f>IF(A288="","",'Raw Enrollments'!B288)</f>
        <v/>
      </c>
      <c r="C288" t="str">
        <f>IF(A288="","",'Raw Enrollments'!C288)</f>
        <v/>
      </c>
      <c r="D288" t="str">
        <f>IF(A288="","",'Raw Enrollments'!E288)</f>
        <v/>
      </c>
      <c r="E288" t="str">
        <f>IF('Raw Payments'!A288="","",'Raw Payments'!A288)</f>
        <v/>
      </c>
      <c r="F288" t="str">
        <f>IF(E288="","",'Raw Payments'!B288)</f>
        <v/>
      </c>
      <c r="G288" t="str">
        <f>IF(E288="","",'Raw Payments'!F288)</f>
        <v/>
      </c>
      <c r="H288" t="str">
        <f>IF(E288="","",'Raw Payments'!H288)</f>
        <v/>
      </c>
      <c r="I288" t="str">
        <f>IF(E288="","",'Raw Payments'!I288)</f>
        <v/>
      </c>
      <c r="J288" t="str">
        <f>IF(A288="","",IF(COUNTIF('Raw Payments'!$C:$C,A288)&gt;0,"Payment Linked","No Payment"))</f>
        <v/>
      </c>
      <c r="K288" t="str">
        <f>IF(F288="","Missing Reference",IF(COUNTIF('Raw Payments'!$B:$B,F288)&gt;1,"Possible Duplicate","Reference Present"))</f>
        <v>Missing Reference</v>
      </c>
      <c r="L288" t="str">
        <f t="shared" si="4"/>
        <v/>
      </c>
    </row>
    <row r="289" spans="1:12" x14ac:dyDescent="0.3">
      <c r="A289" t="str">
        <f>IF('Raw Enrollments'!A289="","",'Raw Enrollments'!A289)</f>
        <v/>
      </c>
      <c r="B289" t="str">
        <f>IF(A289="","",'Raw Enrollments'!B289)</f>
        <v/>
      </c>
      <c r="C289" t="str">
        <f>IF(A289="","",'Raw Enrollments'!C289)</f>
        <v/>
      </c>
      <c r="D289" t="str">
        <f>IF(A289="","",'Raw Enrollments'!E289)</f>
        <v/>
      </c>
      <c r="E289" t="str">
        <f>IF('Raw Payments'!A289="","",'Raw Payments'!A289)</f>
        <v/>
      </c>
      <c r="F289" t="str">
        <f>IF(E289="","",'Raw Payments'!B289)</f>
        <v/>
      </c>
      <c r="G289" t="str">
        <f>IF(E289="","",'Raw Payments'!F289)</f>
        <v/>
      </c>
      <c r="H289" t="str">
        <f>IF(E289="","",'Raw Payments'!H289)</f>
        <v/>
      </c>
      <c r="I289" t="str">
        <f>IF(E289="","",'Raw Payments'!I289)</f>
        <v/>
      </c>
      <c r="J289" t="str">
        <f>IF(A289="","",IF(COUNTIF('Raw Payments'!$C:$C,A289)&gt;0,"Payment Linked","No Payment"))</f>
        <v/>
      </c>
      <c r="K289" t="str">
        <f>IF(F289="","Missing Reference",IF(COUNTIF('Raw Payments'!$B:$B,F289)&gt;1,"Possible Duplicate","Reference Present"))</f>
        <v>Missing Reference</v>
      </c>
      <c r="L289" t="str">
        <f t="shared" si="4"/>
        <v/>
      </c>
    </row>
    <row r="290" spans="1:12" x14ac:dyDescent="0.3">
      <c r="A290" t="str">
        <f>IF('Raw Enrollments'!A290="","",'Raw Enrollments'!A290)</f>
        <v/>
      </c>
      <c r="B290" t="str">
        <f>IF(A290="","",'Raw Enrollments'!B290)</f>
        <v/>
      </c>
      <c r="C290" t="str">
        <f>IF(A290="","",'Raw Enrollments'!C290)</f>
        <v/>
      </c>
      <c r="D290" t="str">
        <f>IF(A290="","",'Raw Enrollments'!E290)</f>
        <v/>
      </c>
      <c r="E290" t="str">
        <f>IF('Raw Payments'!A290="","",'Raw Payments'!A290)</f>
        <v/>
      </c>
      <c r="F290" t="str">
        <f>IF(E290="","",'Raw Payments'!B290)</f>
        <v/>
      </c>
      <c r="G290" t="str">
        <f>IF(E290="","",'Raw Payments'!F290)</f>
        <v/>
      </c>
      <c r="H290" t="str">
        <f>IF(E290="","",'Raw Payments'!H290)</f>
        <v/>
      </c>
      <c r="I290" t="str">
        <f>IF(E290="","",'Raw Payments'!I290)</f>
        <v/>
      </c>
      <c r="J290" t="str">
        <f>IF(A290="","",IF(COUNTIF('Raw Payments'!$C:$C,A290)&gt;0,"Payment Linked","No Payment"))</f>
        <v/>
      </c>
      <c r="K290" t="str">
        <f>IF(F290="","Missing Reference",IF(COUNTIF('Raw Payments'!$B:$B,F290)&gt;1,"Possible Duplicate","Reference Present"))</f>
        <v>Missing Reference</v>
      </c>
      <c r="L290" t="str">
        <f t="shared" si="4"/>
        <v/>
      </c>
    </row>
    <row r="291" spans="1:12" x14ac:dyDescent="0.3">
      <c r="A291" t="str">
        <f>IF('Raw Enrollments'!A291="","",'Raw Enrollments'!A291)</f>
        <v/>
      </c>
      <c r="B291" t="str">
        <f>IF(A291="","",'Raw Enrollments'!B291)</f>
        <v/>
      </c>
      <c r="C291" t="str">
        <f>IF(A291="","",'Raw Enrollments'!C291)</f>
        <v/>
      </c>
      <c r="D291" t="str">
        <f>IF(A291="","",'Raw Enrollments'!E291)</f>
        <v/>
      </c>
      <c r="E291" t="str">
        <f>IF('Raw Payments'!A291="","",'Raw Payments'!A291)</f>
        <v/>
      </c>
      <c r="F291" t="str">
        <f>IF(E291="","",'Raw Payments'!B291)</f>
        <v/>
      </c>
      <c r="G291" t="str">
        <f>IF(E291="","",'Raw Payments'!F291)</f>
        <v/>
      </c>
      <c r="H291" t="str">
        <f>IF(E291="","",'Raw Payments'!H291)</f>
        <v/>
      </c>
      <c r="I291" t="str">
        <f>IF(E291="","",'Raw Payments'!I291)</f>
        <v/>
      </c>
      <c r="J291" t="str">
        <f>IF(A291="","",IF(COUNTIF('Raw Payments'!$C:$C,A291)&gt;0,"Payment Linked","No Payment"))</f>
        <v/>
      </c>
      <c r="K291" t="str">
        <f>IF(F291="","Missing Reference",IF(COUNTIF('Raw Payments'!$B:$B,F291)&gt;1,"Possible Duplicate","Reference Present"))</f>
        <v>Missing Reference</v>
      </c>
      <c r="L291" t="str">
        <f t="shared" si="4"/>
        <v/>
      </c>
    </row>
    <row r="292" spans="1:12" x14ac:dyDescent="0.3">
      <c r="A292" t="str">
        <f>IF('Raw Enrollments'!A292="","",'Raw Enrollments'!A292)</f>
        <v/>
      </c>
      <c r="B292" t="str">
        <f>IF(A292="","",'Raw Enrollments'!B292)</f>
        <v/>
      </c>
      <c r="C292" t="str">
        <f>IF(A292="","",'Raw Enrollments'!C292)</f>
        <v/>
      </c>
      <c r="D292" t="str">
        <f>IF(A292="","",'Raw Enrollments'!E292)</f>
        <v/>
      </c>
      <c r="E292" t="str">
        <f>IF('Raw Payments'!A292="","",'Raw Payments'!A292)</f>
        <v/>
      </c>
      <c r="F292" t="str">
        <f>IF(E292="","",'Raw Payments'!B292)</f>
        <v/>
      </c>
      <c r="G292" t="str">
        <f>IF(E292="","",'Raw Payments'!F292)</f>
        <v/>
      </c>
      <c r="H292" t="str">
        <f>IF(E292="","",'Raw Payments'!H292)</f>
        <v/>
      </c>
      <c r="I292" t="str">
        <f>IF(E292="","",'Raw Payments'!I292)</f>
        <v/>
      </c>
      <c r="J292" t="str">
        <f>IF(A292="","",IF(COUNTIF('Raw Payments'!$C:$C,A292)&gt;0,"Payment Linked","No Payment"))</f>
        <v/>
      </c>
      <c r="K292" t="str">
        <f>IF(F292="","Missing Reference",IF(COUNTIF('Raw Payments'!$B:$B,F292)&gt;1,"Possible Duplicate","Reference Present"))</f>
        <v>Missing Reference</v>
      </c>
      <c r="L292" t="str">
        <f t="shared" si="4"/>
        <v/>
      </c>
    </row>
    <row r="293" spans="1:12" x14ac:dyDescent="0.3">
      <c r="A293" t="str">
        <f>IF('Raw Enrollments'!A293="","",'Raw Enrollments'!A293)</f>
        <v/>
      </c>
      <c r="B293" t="str">
        <f>IF(A293="","",'Raw Enrollments'!B293)</f>
        <v/>
      </c>
      <c r="C293" t="str">
        <f>IF(A293="","",'Raw Enrollments'!C293)</f>
        <v/>
      </c>
      <c r="D293" t="str">
        <f>IF(A293="","",'Raw Enrollments'!E293)</f>
        <v/>
      </c>
      <c r="E293" t="str">
        <f>IF('Raw Payments'!A293="","",'Raw Payments'!A293)</f>
        <v/>
      </c>
      <c r="F293" t="str">
        <f>IF(E293="","",'Raw Payments'!B293)</f>
        <v/>
      </c>
      <c r="G293" t="str">
        <f>IF(E293="","",'Raw Payments'!F293)</f>
        <v/>
      </c>
      <c r="H293" t="str">
        <f>IF(E293="","",'Raw Payments'!H293)</f>
        <v/>
      </c>
      <c r="I293" t="str">
        <f>IF(E293="","",'Raw Payments'!I293)</f>
        <v/>
      </c>
      <c r="J293" t="str">
        <f>IF(A293="","",IF(COUNTIF('Raw Payments'!$C:$C,A293)&gt;0,"Payment Linked","No Payment"))</f>
        <v/>
      </c>
      <c r="K293" t="str">
        <f>IF(F293="","Missing Reference",IF(COUNTIF('Raw Payments'!$B:$B,F293)&gt;1,"Possible Duplicate","Reference Present"))</f>
        <v>Missing Reference</v>
      </c>
      <c r="L293" t="str">
        <f t="shared" si="4"/>
        <v/>
      </c>
    </row>
    <row r="294" spans="1:12" x14ac:dyDescent="0.3">
      <c r="A294" t="str">
        <f>IF('Raw Enrollments'!A294="","",'Raw Enrollments'!A294)</f>
        <v/>
      </c>
      <c r="B294" t="str">
        <f>IF(A294="","",'Raw Enrollments'!B294)</f>
        <v/>
      </c>
      <c r="C294" t="str">
        <f>IF(A294="","",'Raw Enrollments'!C294)</f>
        <v/>
      </c>
      <c r="D294" t="str">
        <f>IF(A294="","",'Raw Enrollments'!E294)</f>
        <v/>
      </c>
      <c r="E294" t="str">
        <f>IF('Raw Payments'!A294="","",'Raw Payments'!A294)</f>
        <v/>
      </c>
      <c r="F294" t="str">
        <f>IF(E294="","",'Raw Payments'!B294)</f>
        <v/>
      </c>
      <c r="G294" t="str">
        <f>IF(E294="","",'Raw Payments'!F294)</f>
        <v/>
      </c>
      <c r="H294" t="str">
        <f>IF(E294="","",'Raw Payments'!H294)</f>
        <v/>
      </c>
      <c r="I294" t="str">
        <f>IF(E294="","",'Raw Payments'!I294)</f>
        <v/>
      </c>
      <c r="J294" t="str">
        <f>IF(A294="","",IF(COUNTIF('Raw Payments'!$C:$C,A294)&gt;0,"Payment Linked","No Payment"))</f>
        <v/>
      </c>
      <c r="K294" t="str">
        <f>IF(F294="","Missing Reference",IF(COUNTIF('Raw Payments'!$B:$B,F294)&gt;1,"Possible Duplicate","Reference Present"))</f>
        <v>Missing Reference</v>
      </c>
      <c r="L294" t="str">
        <f t="shared" si="4"/>
        <v/>
      </c>
    </row>
    <row r="295" spans="1:12" x14ac:dyDescent="0.3">
      <c r="A295" t="str">
        <f>IF('Raw Enrollments'!A295="","",'Raw Enrollments'!A295)</f>
        <v/>
      </c>
      <c r="B295" t="str">
        <f>IF(A295="","",'Raw Enrollments'!B295)</f>
        <v/>
      </c>
      <c r="C295" t="str">
        <f>IF(A295="","",'Raw Enrollments'!C295)</f>
        <v/>
      </c>
      <c r="D295" t="str">
        <f>IF(A295="","",'Raw Enrollments'!E295)</f>
        <v/>
      </c>
      <c r="E295" t="str">
        <f>IF('Raw Payments'!A295="","",'Raw Payments'!A295)</f>
        <v/>
      </c>
      <c r="F295" t="str">
        <f>IF(E295="","",'Raw Payments'!B295)</f>
        <v/>
      </c>
      <c r="G295" t="str">
        <f>IF(E295="","",'Raw Payments'!F295)</f>
        <v/>
      </c>
      <c r="H295" t="str">
        <f>IF(E295="","",'Raw Payments'!H295)</f>
        <v/>
      </c>
      <c r="I295" t="str">
        <f>IF(E295="","",'Raw Payments'!I295)</f>
        <v/>
      </c>
      <c r="J295" t="str">
        <f>IF(A295="","",IF(COUNTIF('Raw Payments'!$C:$C,A295)&gt;0,"Payment Linked","No Payment"))</f>
        <v/>
      </c>
      <c r="K295" t="str">
        <f>IF(F295="","Missing Reference",IF(COUNTIF('Raw Payments'!$B:$B,F295)&gt;1,"Possible Duplicate","Reference Present"))</f>
        <v>Missing Reference</v>
      </c>
      <c r="L295" t="str">
        <f t="shared" si="4"/>
        <v/>
      </c>
    </row>
    <row r="296" spans="1:12" x14ac:dyDescent="0.3">
      <c r="A296" t="str">
        <f>IF('Raw Enrollments'!A296="","",'Raw Enrollments'!A296)</f>
        <v/>
      </c>
      <c r="B296" t="str">
        <f>IF(A296="","",'Raw Enrollments'!B296)</f>
        <v/>
      </c>
      <c r="C296" t="str">
        <f>IF(A296="","",'Raw Enrollments'!C296)</f>
        <v/>
      </c>
      <c r="D296" t="str">
        <f>IF(A296="","",'Raw Enrollments'!E296)</f>
        <v/>
      </c>
      <c r="E296" t="str">
        <f>IF('Raw Payments'!A296="","",'Raw Payments'!A296)</f>
        <v/>
      </c>
      <c r="F296" t="str">
        <f>IF(E296="","",'Raw Payments'!B296)</f>
        <v/>
      </c>
      <c r="G296" t="str">
        <f>IF(E296="","",'Raw Payments'!F296)</f>
        <v/>
      </c>
      <c r="H296" t="str">
        <f>IF(E296="","",'Raw Payments'!H296)</f>
        <v/>
      </c>
      <c r="I296" t="str">
        <f>IF(E296="","",'Raw Payments'!I296)</f>
        <v/>
      </c>
      <c r="J296" t="str">
        <f>IF(A296="","",IF(COUNTIF('Raw Payments'!$C:$C,A296)&gt;0,"Payment Linked","No Payment"))</f>
        <v/>
      </c>
      <c r="K296" t="str">
        <f>IF(F296="","Missing Reference",IF(COUNTIF('Raw Payments'!$B:$B,F296)&gt;1,"Possible Duplicate","Reference Present"))</f>
        <v>Missing Reference</v>
      </c>
      <c r="L296" t="str">
        <f t="shared" si="4"/>
        <v/>
      </c>
    </row>
    <row r="297" spans="1:12" x14ac:dyDescent="0.3">
      <c r="A297" t="str">
        <f>IF('Raw Enrollments'!A297="","",'Raw Enrollments'!A297)</f>
        <v/>
      </c>
      <c r="B297" t="str">
        <f>IF(A297="","",'Raw Enrollments'!B297)</f>
        <v/>
      </c>
      <c r="C297" t="str">
        <f>IF(A297="","",'Raw Enrollments'!C297)</f>
        <v/>
      </c>
      <c r="D297" t="str">
        <f>IF(A297="","",'Raw Enrollments'!E297)</f>
        <v/>
      </c>
      <c r="E297" t="str">
        <f>IF('Raw Payments'!A297="","",'Raw Payments'!A297)</f>
        <v/>
      </c>
      <c r="F297" t="str">
        <f>IF(E297="","",'Raw Payments'!B297)</f>
        <v/>
      </c>
      <c r="G297" t="str">
        <f>IF(E297="","",'Raw Payments'!F297)</f>
        <v/>
      </c>
      <c r="H297" t="str">
        <f>IF(E297="","",'Raw Payments'!H297)</f>
        <v/>
      </c>
      <c r="I297" t="str">
        <f>IF(E297="","",'Raw Payments'!I297)</f>
        <v/>
      </c>
      <c r="J297" t="str">
        <f>IF(A297="","",IF(COUNTIF('Raw Payments'!$C:$C,A297)&gt;0,"Payment Linked","No Payment"))</f>
        <v/>
      </c>
      <c r="K297" t="str">
        <f>IF(F297="","Missing Reference",IF(COUNTIF('Raw Payments'!$B:$B,F297)&gt;1,"Possible Duplicate","Reference Present"))</f>
        <v>Missing Reference</v>
      </c>
      <c r="L297" t="str">
        <f t="shared" si="4"/>
        <v/>
      </c>
    </row>
    <row r="298" spans="1:12" x14ac:dyDescent="0.3">
      <c r="A298" t="str">
        <f>IF('Raw Enrollments'!A298="","",'Raw Enrollments'!A298)</f>
        <v/>
      </c>
      <c r="B298" t="str">
        <f>IF(A298="","",'Raw Enrollments'!B298)</f>
        <v/>
      </c>
      <c r="C298" t="str">
        <f>IF(A298="","",'Raw Enrollments'!C298)</f>
        <v/>
      </c>
      <c r="D298" t="str">
        <f>IF(A298="","",'Raw Enrollments'!E298)</f>
        <v/>
      </c>
      <c r="E298" t="str">
        <f>IF('Raw Payments'!A298="","",'Raw Payments'!A298)</f>
        <v/>
      </c>
      <c r="F298" t="str">
        <f>IF(E298="","",'Raw Payments'!B298)</f>
        <v/>
      </c>
      <c r="G298" t="str">
        <f>IF(E298="","",'Raw Payments'!F298)</f>
        <v/>
      </c>
      <c r="H298" t="str">
        <f>IF(E298="","",'Raw Payments'!H298)</f>
        <v/>
      </c>
      <c r="I298" t="str">
        <f>IF(E298="","",'Raw Payments'!I298)</f>
        <v/>
      </c>
      <c r="J298" t="str">
        <f>IF(A298="","",IF(COUNTIF('Raw Payments'!$C:$C,A298)&gt;0,"Payment Linked","No Payment"))</f>
        <v/>
      </c>
      <c r="K298" t="str">
        <f>IF(F298="","Missing Reference",IF(COUNTIF('Raw Payments'!$B:$B,F298)&gt;1,"Possible Duplicate","Reference Present"))</f>
        <v>Missing Reference</v>
      </c>
      <c r="L298" t="str">
        <f t="shared" si="4"/>
        <v/>
      </c>
    </row>
    <row r="299" spans="1:12" x14ac:dyDescent="0.3">
      <c r="A299" t="str">
        <f>IF('Raw Enrollments'!A299="","",'Raw Enrollments'!A299)</f>
        <v/>
      </c>
      <c r="B299" t="str">
        <f>IF(A299="","",'Raw Enrollments'!B299)</f>
        <v/>
      </c>
      <c r="C299" t="str">
        <f>IF(A299="","",'Raw Enrollments'!C299)</f>
        <v/>
      </c>
      <c r="D299" t="str">
        <f>IF(A299="","",'Raw Enrollments'!E299)</f>
        <v/>
      </c>
      <c r="E299" t="str">
        <f>IF('Raw Payments'!A299="","",'Raw Payments'!A299)</f>
        <v/>
      </c>
      <c r="F299" t="str">
        <f>IF(E299="","",'Raw Payments'!B299)</f>
        <v/>
      </c>
      <c r="G299" t="str">
        <f>IF(E299="","",'Raw Payments'!F299)</f>
        <v/>
      </c>
      <c r="H299" t="str">
        <f>IF(E299="","",'Raw Payments'!H299)</f>
        <v/>
      </c>
      <c r="I299" t="str">
        <f>IF(E299="","",'Raw Payments'!I299)</f>
        <v/>
      </c>
      <c r="J299" t="str">
        <f>IF(A299="","",IF(COUNTIF('Raw Payments'!$C:$C,A299)&gt;0,"Payment Linked","No Payment"))</f>
        <v/>
      </c>
      <c r="K299" t="str">
        <f>IF(F299="","Missing Reference",IF(COUNTIF('Raw Payments'!$B:$B,F299)&gt;1,"Possible Duplicate","Reference Present"))</f>
        <v>Missing Reference</v>
      </c>
      <c r="L299" t="str">
        <f t="shared" si="4"/>
        <v/>
      </c>
    </row>
    <row r="300" spans="1:12" x14ac:dyDescent="0.3">
      <c r="A300" t="str">
        <f>IF('Raw Enrollments'!A300="","",'Raw Enrollments'!A300)</f>
        <v/>
      </c>
      <c r="B300" t="str">
        <f>IF(A300="","",'Raw Enrollments'!B300)</f>
        <v/>
      </c>
      <c r="C300" t="str">
        <f>IF(A300="","",'Raw Enrollments'!C300)</f>
        <v/>
      </c>
      <c r="D300" t="str">
        <f>IF(A300="","",'Raw Enrollments'!E300)</f>
        <v/>
      </c>
      <c r="E300" t="str">
        <f>IF('Raw Payments'!A300="","",'Raw Payments'!A300)</f>
        <v/>
      </c>
      <c r="F300" t="str">
        <f>IF(E300="","",'Raw Payments'!B300)</f>
        <v/>
      </c>
      <c r="G300" t="str">
        <f>IF(E300="","",'Raw Payments'!F300)</f>
        <v/>
      </c>
      <c r="H300" t="str">
        <f>IF(E300="","",'Raw Payments'!H300)</f>
        <v/>
      </c>
      <c r="I300" t="str">
        <f>IF(E300="","",'Raw Payments'!I300)</f>
        <v/>
      </c>
      <c r="J300" t="str">
        <f>IF(A300="","",IF(COUNTIF('Raw Payments'!$C:$C,A300)&gt;0,"Payment Linked","No Payment"))</f>
        <v/>
      </c>
      <c r="K300" t="str">
        <f>IF(F300="","Missing Reference",IF(COUNTIF('Raw Payments'!$B:$B,F300)&gt;1,"Possible Duplicate","Reference Present"))</f>
        <v>Missing Reference</v>
      </c>
      <c r="L300" t="str">
        <f t="shared" si="4"/>
        <v/>
      </c>
    </row>
    <row r="301" spans="1:12" x14ac:dyDescent="0.3">
      <c r="A301" t="str">
        <f>IF('Raw Enrollments'!A301="","",'Raw Enrollments'!A301)</f>
        <v/>
      </c>
      <c r="B301" t="str">
        <f>IF(A301="","",'Raw Enrollments'!B301)</f>
        <v/>
      </c>
      <c r="C301" t="str">
        <f>IF(A301="","",'Raw Enrollments'!C301)</f>
        <v/>
      </c>
      <c r="D301" t="str">
        <f>IF(A301="","",'Raw Enrollments'!E301)</f>
        <v/>
      </c>
      <c r="E301" t="str">
        <f>IF('Raw Payments'!A301="","",'Raw Payments'!A301)</f>
        <v/>
      </c>
      <c r="F301" t="str">
        <f>IF(E301="","",'Raw Payments'!B301)</f>
        <v/>
      </c>
      <c r="G301" t="str">
        <f>IF(E301="","",'Raw Payments'!F301)</f>
        <v/>
      </c>
      <c r="H301" t="str">
        <f>IF(E301="","",'Raw Payments'!H301)</f>
        <v/>
      </c>
      <c r="I301" t="str">
        <f>IF(E301="","",'Raw Payments'!I301)</f>
        <v/>
      </c>
      <c r="J301" t="str">
        <f>IF(A301="","",IF(COUNTIF('Raw Payments'!$C:$C,A301)&gt;0,"Payment Linked","No Payment"))</f>
        <v/>
      </c>
      <c r="K301" t="str">
        <f>IF(F301="","Missing Reference",IF(COUNTIF('Raw Payments'!$B:$B,F301)&gt;1,"Possible Duplicate","Reference Present"))</f>
        <v>Missing Reference</v>
      </c>
      <c r="L301" t="str">
        <f t="shared" si="4"/>
        <v/>
      </c>
    </row>
    <row r="302" spans="1:12" x14ac:dyDescent="0.3">
      <c r="A302" t="str">
        <f>IF('Raw Enrollments'!A302="","",'Raw Enrollments'!A302)</f>
        <v/>
      </c>
      <c r="B302" t="str">
        <f>IF(A302="","",'Raw Enrollments'!B302)</f>
        <v/>
      </c>
      <c r="C302" t="str">
        <f>IF(A302="","",'Raw Enrollments'!C302)</f>
        <v/>
      </c>
      <c r="D302" t="str">
        <f>IF(A302="","",'Raw Enrollments'!E302)</f>
        <v/>
      </c>
      <c r="E302" t="str">
        <f>IF('Raw Payments'!A302="","",'Raw Payments'!A302)</f>
        <v/>
      </c>
      <c r="F302" t="str">
        <f>IF(E302="","",'Raw Payments'!B302)</f>
        <v/>
      </c>
      <c r="G302" t="str">
        <f>IF(E302="","",'Raw Payments'!F302)</f>
        <v/>
      </c>
      <c r="H302" t="str">
        <f>IF(E302="","",'Raw Payments'!H302)</f>
        <v/>
      </c>
      <c r="I302" t="str">
        <f>IF(E302="","",'Raw Payments'!I302)</f>
        <v/>
      </c>
      <c r="J302" t="str">
        <f>IF(A302="","",IF(COUNTIF('Raw Payments'!$C:$C,A302)&gt;0,"Payment Linked","No Payment"))</f>
        <v/>
      </c>
      <c r="K302" t="str">
        <f>IF(F302="","Missing Reference",IF(COUNTIF('Raw Payments'!$B:$B,F302)&gt;1,"Possible Duplicate","Reference Present"))</f>
        <v>Missing Reference</v>
      </c>
      <c r="L302" t="str">
        <f t="shared" si="4"/>
        <v/>
      </c>
    </row>
    <row r="303" spans="1:12" x14ac:dyDescent="0.3">
      <c r="A303" t="str">
        <f>IF('Raw Enrollments'!A303="","",'Raw Enrollments'!A303)</f>
        <v/>
      </c>
      <c r="B303" t="str">
        <f>IF(A303="","",'Raw Enrollments'!B303)</f>
        <v/>
      </c>
      <c r="C303" t="str">
        <f>IF(A303="","",'Raw Enrollments'!C303)</f>
        <v/>
      </c>
      <c r="D303" t="str">
        <f>IF(A303="","",'Raw Enrollments'!E303)</f>
        <v/>
      </c>
      <c r="E303" t="str">
        <f>IF('Raw Payments'!A303="","",'Raw Payments'!A303)</f>
        <v/>
      </c>
      <c r="F303" t="str">
        <f>IF(E303="","",'Raw Payments'!B303)</f>
        <v/>
      </c>
      <c r="G303" t="str">
        <f>IF(E303="","",'Raw Payments'!F303)</f>
        <v/>
      </c>
      <c r="H303" t="str">
        <f>IF(E303="","",'Raw Payments'!H303)</f>
        <v/>
      </c>
      <c r="I303" t="str">
        <f>IF(E303="","",'Raw Payments'!I303)</f>
        <v/>
      </c>
      <c r="J303" t="str">
        <f>IF(A303="","",IF(COUNTIF('Raw Payments'!$C:$C,A303)&gt;0,"Payment Linked","No Payment"))</f>
        <v/>
      </c>
      <c r="K303" t="str">
        <f>IF(F303="","Missing Reference",IF(COUNTIF('Raw Payments'!$B:$B,F303)&gt;1,"Possible Duplicate","Reference Present"))</f>
        <v>Missing Reference</v>
      </c>
      <c r="L303" t="str">
        <f t="shared" si="4"/>
        <v/>
      </c>
    </row>
    <row r="304" spans="1:12" x14ac:dyDescent="0.3">
      <c r="A304" t="str">
        <f>IF('Raw Enrollments'!A304="","",'Raw Enrollments'!A304)</f>
        <v/>
      </c>
      <c r="B304" t="str">
        <f>IF(A304="","",'Raw Enrollments'!B304)</f>
        <v/>
      </c>
      <c r="C304" t="str">
        <f>IF(A304="","",'Raw Enrollments'!C304)</f>
        <v/>
      </c>
      <c r="D304" t="str">
        <f>IF(A304="","",'Raw Enrollments'!E304)</f>
        <v/>
      </c>
      <c r="E304" t="str">
        <f>IF('Raw Payments'!A304="","",'Raw Payments'!A304)</f>
        <v/>
      </c>
      <c r="F304" t="str">
        <f>IF(E304="","",'Raw Payments'!B304)</f>
        <v/>
      </c>
      <c r="G304" t="str">
        <f>IF(E304="","",'Raw Payments'!F304)</f>
        <v/>
      </c>
      <c r="H304" t="str">
        <f>IF(E304="","",'Raw Payments'!H304)</f>
        <v/>
      </c>
      <c r="I304" t="str">
        <f>IF(E304="","",'Raw Payments'!I304)</f>
        <v/>
      </c>
      <c r="J304" t="str">
        <f>IF(A304="","",IF(COUNTIF('Raw Payments'!$C:$C,A304)&gt;0,"Payment Linked","No Payment"))</f>
        <v/>
      </c>
      <c r="K304" t="str">
        <f>IF(F304="","Missing Reference",IF(COUNTIF('Raw Payments'!$B:$B,F304)&gt;1,"Possible Duplicate","Reference Present"))</f>
        <v>Missing Reference</v>
      </c>
      <c r="L304" t="str">
        <f t="shared" si="4"/>
        <v/>
      </c>
    </row>
    <row r="305" spans="1:12" x14ac:dyDescent="0.3">
      <c r="A305" t="str">
        <f>IF('Raw Enrollments'!A305="","",'Raw Enrollments'!A305)</f>
        <v/>
      </c>
      <c r="B305" t="str">
        <f>IF(A305="","",'Raw Enrollments'!B305)</f>
        <v/>
      </c>
      <c r="C305" t="str">
        <f>IF(A305="","",'Raw Enrollments'!C305)</f>
        <v/>
      </c>
      <c r="D305" t="str">
        <f>IF(A305="","",'Raw Enrollments'!E305)</f>
        <v/>
      </c>
      <c r="E305" t="str">
        <f>IF('Raw Payments'!A305="","",'Raw Payments'!A305)</f>
        <v/>
      </c>
      <c r="F305" t="str">
        <f>IF(E305="","",'Raw Payments'!B305)</f>
        <v/>
      </c>
      <c r="G305" t="str">
        <f>IF(E305="","",'Raw Payments'!F305)</f>
        <v/>
      </c>
      <c r="H305" t="str">
        <f>IF(E305="","",'Raw Payments'!H305)</f>
        <v/>
      </c>
      <c r="I305" t="str">
        <f>IF(E305="","",'Raw Payments'!I305)</f>
        <v/>
      </c>
      <c r="J305" t="str">
        <f>IF(A305="","",IF(COUNTIF('Raw Payments'!$C:$C,A305)&gt;0,"Payment Linked","No Payment"))</f>
        <v/>
      </c>
      <c r="K305" t="str">
        <f>IF(F305="","Missing Reference",IF(COUNTIF('Raw Payments'!$B:$B,F305)&gt;1,"Possible Duplicate","Reference Present"))</f>
        <v>Missing Reference</v>
      </c>
      <c r="L305" t="str">
        <f t="shared" si="4"/>
        <v/>
      </c>
    </row>
    <row r="306" spans="1:12" x14ac:dyDescent="0.3">
      <c r="A306" t="str">
        <f>IF('Raw Enrollments'!A306="","",'Raw Enrollments'!A306)</f>
        <v/>
      </c>
      <c r="B306" t="str">
        <f>IF(A306="","",'Raw Enrollments'!B306)</f>
        <v/>
      </c>
      <c r="C306" t="str">
        <f>IF(A306="","",'Raw Enrollments'!C306)</f>
        <v/>
      </c>
      <c r="D306" t="str">
        <f>IF(A306="","",'Raw Enrollments'!E306)</f>
        <v/>
      </c>
      <c r="E306" t="str">
        <f>IF('Raw Payments'!A306="","",'Raw Payments'!A306)</f>
        <v/>
      </c>
      <c r="F306" t="str">
        <f>IF(E306="","",'Raw Payments'!B306)</f>
        <v/>
      </c>
      <c r="G306" t="str">
        <f>IF(E306="","",'Raw Payments'!F306)</f>
        <v/>
      </c>
      <c r="H306" t="str">
        <f>IF(E306="","",'Raw Payments'!H306)</f>
        <v/>
      </c>
      <c r="I306" t="str">
        <f>IF(E306="","",'Raw Payments'!I306)</f>
        <v/>
      </c>
      <c r="J306" t="str">
        <f>IF(A306="","",IF(COUNTIF('Raw Payments'!$C:$C,A306)&gt;0,"Payment Linked","No Payment"))</f>
        <v/>
      </c>
      <c r="K306" t="str">
        <f>IF(F306="","Missing Reference",IF(COUNTIF('Raw Payments'!$B:$B,F306)&gt;1,"Possible Duplicate","Reference Present"))</f>
        <v>Missing Reference</v>
      </c>
      <c r="L306" t="str">
        <f t="shared" si="4"/>
        <v/>
      </c>
    </row>
    <row r="307" spans="1:12" x14ac:dyDescent="0.3">
      <c r="A307" t="str">
        <f>IF('Raw Enrollments'!A307="","",'Raw Enrollments'!A307)</f>
        <v/>
      </c>
      <c r="B307" t="str">
        <f>IF(A307="","",'Raw Enrollments'!B307)</f>
        <v/>
      </c>
      <c r="C307" t="str">
        <f>IF(A307="","",'Raw Enrollments'!C307)</f>
        <v/>
      </c>
      <c r="D307" t="str">
        <f>IF(A307="","",'Raw Enrollments'!E307)</f>
        <v/>
      </c>
      <c r="E307" t="str">
        <f>IF('Raw Payments'!A307="","",'Raw Payments'!A307)</f>
        <v/>
      </c>
      <c r="F307" t="str">
        <f>IF(E307="","",'Raw Payments'!B307)</f>
        <v/>
      </c>
      <c r="G307" t="str">
        <f>IF(E307="","",'Raw Payments'!F307)</f>
        <v/>
      </c>
      <c r="H307" t="str">
        <f>IF(E307="","",'Raw Payments'!H307)</f>
        <v/>
      </c>
      <c r="I307" t="str">
        <f>IF(E307="","",'Raw Payments'!I307)</f>
        <v/>
      </c>
      <c r="J307" t="str">
        <f>IF(A307="","",IF(COUNTIF('Raw Payments'!$C:$C,A307)&gt;0,"Payment Linked","No Payment"))</f>
        <v/>
      </c>
      <c r="K307" t="str">
        <f>IF(F307="","Missing Reference",IF(COUNTIF('Raw Payments'!$B:$B,F307)&gt;1,"Possible Duplicate","Reference Present"))</f>
        <v>Missing Reference</v>
      </c>
      <c r="L307" t="str">
        <f t="shared" si="4"/>
        <v/>
      </c>
    </row>
    <row r="308" spans="1:12" x14ac:dyDescent="0.3">
      <c r="A308" t="str">
        <f>IF('Raw Enrollments'!A308="","",'Raw Enrollments'!A308)</f>
        <v/>
      </c>
      <c r="B308" t="str">
        <f>IF(A308="","",'Raw Enrollments'!B308)</f>
        <v/>
      </c>
      <c r="C308" t="str">
        <f>IF(A308="","",'Raw Enrollments'!C308)</f>
        <v/>
      </c>
      <c r="D308" t="str">
        <f>IF(A308="","",'Raw Enrollments'!E308)</f>
        <v/>
      </c>
      <c r="E308" t="str">
        <f>IF('Raw Payments'!A308="","",'Raw Payments'!A308)</f>
        <v/>
      </c>
      <c r="F308" t="str">
        <f>IF(E308="","",'Raw Payments'!B308)</f>
        <v/>
      </c>
      <c r="G308" t="str">
        <f>IF(E308="","",'Raw Payments'!F308)</f>
        <v/>
      </c>
      <c r="H308" t="str">
        <f>IF(E308="","",'Raw Payments'!H308)</f>
        <v/>
      </c>
      <c r="I308" t="str">
        <f>IF(E308="","",'Raw Payments'!I308)</f>
        <v/>
      </c>
      <c r="J308" t="str">
        <f>IF(A308="","",IF(COUNTIF('Raw Payments'!$C:$C,A308)&gt;0,"Payment Linked","No Payment"))</f>
        <v/>
      </c>
      <c r="K308" t="str">
        <f>IF(F308="","Missing Reference",IF(COUNTIF('Raw Payments'!$B:$B,F308)&gt;1,"Possible Duplicate","Reference Present"))</f>
        <v>Missing Reference</v>
      </c>
      <c r="L308" t="str">
        <f t="shared" si="4"/>
        <v/>
      </c>
    </row>
    <row r="309" spans="1:12" x14ac:dyDescent="0.3">
      <c r="A309" t="str">
        <f>IF('Raw Enrollments'!A309="","",'Raw Enrollments'!A309)</f>
        <v/>
      </c>
      <c r="B309" t="str">
        <f>IF(A309="","",'Raw Enrollments'!B309)</f>
        <v/>
      </c>
      <c r="C309" t="str">
        <f>IF(A309="","",'Raw Enrollments'!C309)</f>
        <v/>
      </c>
      <c r="D309" t="str">
        <f>IF(A309="","",'Raw Enrollments'!E309)</f>
        <v/>
      </c>
      <c r="E309" t="str">
        <f>IF('Raw Payments'!A309="","",'Raw Payments'!A309)</f>
        <v/>
      </c>
      <c r="F309" t="str">
        <f>IF(E309="","",'Raw Payments'!B309)</f>
        <v/>
      </c>
      <c r="G309" t="str">
        <f>IF(E309="","",'Raw Payments'!F309)</f>
        <v/>
      </c>
      <c r="H309" t="str">
        <f>IF(E309="","",'Raw Payments'!H309)</f>
        <v/>
      </c>
      <c r="I309" t="str">
        <f>IF(E309="","",'Raw Payments'!I309)</f>
        <v/>
      </c>
      <c r="J309" t="str">
        <f>IF(A309="","",IF(COUNTIF('Raw Payments'!$C:$C,A309)&gt;0,"Payment Linked","No Payment"))</f>
        <v/>
      </c>
      <c r="K309" t="str">
        <f>IF(F309="","Missing Reference",IF(COUNTIF('Raw Payments'!$B:$B,F309)&gt;1,"Possible Duplicate","Reference Present"))</f>
        <v>Missing Reference</v>
      </c>
      <c r="L309" t="str">
        <f t="shared" si="4"/>
        <v/>
      </c>
    </row>
    <row r="310" spans="1:12" x14ac:dyDescent="0.3">
      <c r="A310" t="str">
        <f>IF('Raw Enrollments'!A310="","",'Raw Enrollments'!A310)</f>
        <v/>
      </c>
      <c r="B310" t="str">
        <f>IF(A310="","",'Raw Enrollments'!B310)</f>
        <v/>
      </c>
      <c r="C310" t="str">
        <f>IF(A310="","",'Raw Enrollments'!C310)</f>
        <v/>
      </c>
      <c r="D310" t="str">
        <f>IF(A310="","",'Raw Enrollments'!E310)</f>
        <v/>
      </c>
      <c r="E310" t="str">
        <f>IF('Raw Payments'!A310="","",'Raw Payments'!A310)</f>
        <v/>
      </c>
      <c r="F310" t="str">
        <f>IF(E310="","",'Raw Payments'!B310)</f>
        <v/>
      </c>
      <c r="G310" t="str">
        <f>IF(E310="","",'Raw Payments'!F310)</f>
        <v/>
      </c>
      <c r="H310" t="str">
        <f>IF(E310="","",'Raw Payments'!H310)</f>
        <v/>
      </c>
      <c r="I310" t="str">
        <f>IF(E310="","",'Raw Payments'!I310)</f>
        <v/>
      </c>
      <c r="J310" t="str">
        <f>IF(A310="","",IF(COUNTIF('Raw Payments'!$C:$C,A310)&gt;0,"Payment Linked","No Payment"))</f>
        <v/>
      </c>
      <c r="K310" t="str">
        <f>IF(F310="","Missing Reference",IF(COUNTIF('Raw Payments'!$B:$B,F310)&gt;1,"Possible Duplicate","Reference Present"))</f>
        <v>Missing Reference</v>
      </c>
      <c r="L310" t="str">
        <f t="shared" si="4"/>
        <v/>
      </c>
    </row>
    <row r="311" spans="1:12" x14ac:dyDescent="0.3">
      <c r="A311" t="str">
        <f>IF('Raw Enrollments'!A311="","",'Raw Enrollments'!A311)</f>
        <v/>
      </c>
      <c r="B311" t="str">
        <f>IF(A311="","",'Raw Enrollments'!B311)</f>
        <v/>
      </c>
      <c r="C311" t="str">
        <f>IF(A311="","",'Raw Enrollments'!C311)</f>
        <v/>
      </c>
      <c r="D311" t="str">
        <f>IF(A311="","",'Raw Enrollments'!E311)</f>
        <v/>
      </c>
      <c r="E311" t="str">
        <f>IF('Raw Payments'!A311="","",'Raw Payments'!A311)</f>
        <v/>
      </c>
      <c r="F311" t="str">
        <f>IF(E311="","",'Raw Payments'!B311)</f>
        <v/>
      </c>
      <c r="G311" t="str">
        <f>IF(E311="","",'Raw Payments'!F311)</f>
        <v/>
      </c>
      <c r="H311" t="str">
        <f>IF(E311="","",'Raw Payments'!H311)</f>
        <v/>
      </c>
      <c r="I311" t="str">
        <f>IF(E311="","",'Raw Payments'!I311)</f>
        <v/>
      </c>
      <c r="J311" t="str">
        <f>IF(A311="","",IF(COUNTIF('Raw Payments'!$C:$C,A311)&gt;0,"Payment Linked","No Payment"))</f>
        <v/>
      </c>
      <c r="K311" t="str">
        <f>IF(F311="","Missing Reference",IF(COUNTIF('Raw Payments'!$B:$B,F311)&gt;1,"Possible Duplicate","Reference Present"))</f>
        <v>Missing Reference</v>
      </c>
      <c r="L311" t="str">
        <f t="shared" si="4"/>
        <v/>
      </c>
    </row>
    <row r="312" spans="1:12" x14ac:dyDescent="0.3">
      <c r="A312" t="str">
        <f>IF('Raw Enrollments'!A312="","",'Raw Enrollments'!A312)</f>
        <v/>
      </c>
      <c r="B312" t="str">
        <f>IF(A312="","",'Raw Enrollments'!B312)</f>
        <v/>
      </c>
      <c r="C312" t="str">
        <f>IF(A312="","",'Raw Enrollments'!C312)</f>
        <v/>
      </c>
      <c r="D312" t="str">
        <f>IF(A312="","",'Raw Enrollments'!E312)</f>
        <v/>
      </c>
      <c r="E312" t="str">
        <f>IF('Raw Payments'!A312="","",'Raw Payments'!A312)</f>
        <v/>
      </c>
      <c r="F312" t="str">
        <f>IF(E312="","",'Raw Payments'!B312)</f>
        <v/>
      </c>
      <c r="G312" t="str">
        <f>IF(E312="","",'Raw Payments'!F312)</f>
        <v/>
      </c>
      <c r="H312" t="str">
        <f>IF(E312="","",'Raw Payments'!H312)</f>
        <v/>
      </c>
      <c r="I312" t="str">
        <f>IF(E312="","",'Raw Payments'!I312)</f>
        <v/>
      </c>
      <c r="J312" t="str">
        <f>IF(A312="","",IF(COUNTIF('Raw Payments'!$C:$C,A312)&gt;0,"Payment Linked","No Payment"))</f>
        <v/>
      </c>
      <c r="K312" t="str">
        <f>IF(F312="","Missing Reference",IF(COUNTIF('Raw Payments'!$B:$B,F312)&gt;1,"Possible Duplicate","Reference Present"))</f>
        <v>Missing Reference</v>
      </c>
      <c r="L312" t="str">
        <f t="shared" si="4"/>
        <v/>
      </c>
    </row>
    <row r="313" spans="1:12" x14ac:dyDescent="0.3">
      <c r="A313" t="str">
        <f>IF('Raw Enrollments'!A313="","",'Raw Enrollments'!A313)</f>
        <v/>
      </c>
      <c r="B313" t="str">
        <f>IF(A313="","",'Raw Enrollments'!B313)</f>
        <v/>
      </c>
      <c r="C313" t="str">
        <f>IF(A313="","",'Raw Enrollments'!C313)</f>
        <v/>
      </c>
      <c r="D313" t="str">
        <f>IF(A313="","",'Raw Enrollments'!E313)</f>
        <v/>
      </c>
      <c r="E313" t="str">
        <f>IF('Raw Payments'!A313="","",'Raw Payments'!A313)</f>
        <v/>
      </c>
      <c r="F313" t="str">
        <f>IF(E313="","",'Raw Payments'!B313)</f>
        <v/>
      </c>
      <c r="G313" t="str">
        <f>IF(E313="","",'Raw Payments'!F313)</f>
        <v/>
      </c>
      <c r="H313" t="str">
        <f>IF(E313="","",'Raw Payments'!H313)</f>
        <v/>
      </c>
      <c r="I313" t="str">
        <f>IF(E313="","",'Raw Payments'!I313)</f>
        <v/>
      </c>
      <c r="J313" t="str">
        <f>IF(A313="","",IF(COUNTIF('Raw Payments'!$C:$C,A313)&gt;0,"Payment Linked","No Payment"))</f>
        <v/>
      </c>
      <c r="K313" t="str">
        <f>IF(F313="","Missing Reference",IF(COUNTIF('Raw Payments'!$B:$B,F313)&gt;1,"Possible Duplicate","Reference Present"))</f>
        <v>Missing Reference</v>
      </c>
      <c r="L313" t="str">
        <f t="shared" si="4"/>
        <v/>
      </c>
    </row>
    <row r="314" spans="1:12" x14ac:dyDescent="0.3">
      <c r="A314" t="str">
        <f>IF('Raw Enrollments'!A314="","",'Raw Enrollments'!A314)</f>
        <v/>
      </c>
      <c r="B314" t="str">
        <f>IF(A314="","",'Raw Enrollments'!B314)</f>
        <v/>
      </c>
      <c r="C314" t="str">
        <f>IF(A314="","",'Raw Enrollments'!C314)</f>
        <v/>
      </c>
      <c r="D314" t="str">
        <f>IF(A314="","",'Raw Enrollments'!E314)</f>
        <v/>
      </c>
      <c r="E314" t="str">
        <f>IF('Raw Payments'!A314="","",'Raw Payments'!A314)</f>
        <v/>
      </c>
      <c r="F314" t="str">
        <f>IF(E314="","",'Raw Payments'!B314)</f>
        <v/>
      </c>
      <c r="G314" t="str">
        <f>IF(E314="","",'Raw Payments'!F314)</f>
        <v/>
      </c>
      <c r="H314" t="str">
        <f>IF(E314="","",'Raw Payments'!H314)</f>
        <v/>
      </c>
      <c r="I314" t="str">
        <f>IF(E314="","",'Raw Payments'!I314)</f>
        <v/>
      </c>
      <c r="J314" t="str">
        <f>IF(A314="","",IF(COUNTIF('Raw Payments'!$C:$C,A314)&gt;0,"Payment Linked","No Payment"))</f>
        <v/>
      </c>
      <c r="K314" t="str">
        <f>IF(F314="","Missing Reference",IF(COUNTIF('Raw Payments'!$B:$B,F314)&gt;1,"Possible Duplicate","Reference Present"))</f>
        <v>Missing Reference</v>
      </c>
      <c r="L314" t="str">
        <f t="shared" si="4"/>
        <v/>
      </c>
    </row>
    <row r="315" spans="1:12" x14ac:dyDescent="0.3">
      <c r="A315" t="str">
        <f>IF('Raw Enrollments'!A315="","",'Raw Enrollments'!A315)</f>
        <v/>
      </c>
      <c r="B315" t="str">
        <f>IF(A315="","",'Raw Enrollments'!B315)</f>
        <v/>
      </c>
      <c r="C315" t="str">
        <f>IF(A315="","",'Raw Enrollments'!C315)</f>
        <v/>
      </c>
      <c r="D315" t="str">
        <f>IF(A315="","",'Raw Enrollments'!E315)</f>
        <v/>
      </c>
      <c r="E315" t="str">
        <f>IF('Raw Payments'!A315="","",'Raw Payments'!A315)</f>
        <v/>
      </c>
      <c r="F315" t="str">
        <f>IF(E315="","",'Raw Payments'!B315)</f>
        <v/>
      </c>
      <c r="G315" t="str">
        <f>IF(E315="","",'Raw Payments'!F315)</f>
        <v/>
      </c>
      <c r="H315" t="str">
        <f>IF(E315="","",'Raw Payments'!H315)</f>
        <v/>
      </c>
      <c r="I315" t="str">
        <f>IF(E315="","",'Raw Payments'!I315)</f>
        <v/>
      </c>
      <c r="J315" t="str">
        <f>IF(A315="","",IF(COUNTIF('Raw Payments'!$C:$C,A315)&gt;0,"Payment Linked","No Payment"))</f>
        <v/>
      </c>
      <c r="K315" t="str">
        <f>IF(F315="","Missing Reference",IF(COUNTIF('Raw Payments'!$B:$B,F315)&gt;1,"Possible Duplicate","Reference Present"))</f>
        <v>Missing Reference</v>
      </c>
      <c r="L315" t="str">
        <f t="shared" si="4"/>
        <v/>
      </c>
    </row>
    <row r="316" spans="1:12" x14ac:dyDescent="0.3">
      <c r="A316" t="str">
        <f>IF('Raw Enrollments'!A316="","",'Raw Enrollments'!A316)</f>
        <v/>
      </c>
      <c r="B316" t="str">
        <f>IF(A316="","",'Raw Enrollments'!B316)</f>
        <v/>
      </c>
      <c r="C316" t="str">
        <f>IF(A316="","",'Raw Enrollments'!C316)</f>
        <v/>
      </c>
      <c r="D316" t="str">
        <f>IF(A316="","",'Raw Enrollments'!E316)</f>
        <v/>
      </c>
      <c r="E316" t="str">
        <f>IF('Raw Payments'!A316="","",'Raw Payments'!A316)</f>
        <v/>
      </c>
      <c r="F316" t="str">
        <f>IF(E316="","",'Raw Payments'!B316)</f>
        <v/>
      </c>
      <c r="G316" t="str">
        <f>IF(E316="","",'Raw Payments'!F316)</f>
        <v/>
      </c>
      <c r="H316" t="str">
        <f>IF(E316="","",'Raw Payments'!H316)</f>
        <v/>
      </c>
      <c r="I316" t="str">
        <f>IF(E316="","",'Raw Payments'!I316)</f>
        <v/>
      </c>
      <c r="J316" t="str">
        <f>IF(A316="","",IF(COUNTIF('Raw Payments'!$C:$C,A316)&gt;0,"Payment Linked","No Payment"))</f>
        <v/>
      </c>
      <c r="K316" t="str">
        <f>IF(F316="","Missing Reference",IF(COUNTIF('Raw Payments'!$B:$B,F316)&gt;1,"Possible Duplicate","Reference Present"))</f>
        <v>Missing Reference</v>
      </c>
      <c r="L316" t="str">
        <f t="shared" si="4"/>
        <v/>
      </c>
    </row>
    <row r="317" spans="1:12" x14ac:dyDescent="0.3">
      <c r="A317" t="str">
        <f>IF('Raw Enrollments'!A317="","",'Raw Enrollments'!A317)</f>
        <v/>
      </c>
      <c r="B317" t="str">
        <f>IF(A317="","",'Raw Enrollments'!B317)</f>
        <v/>
      </c>
      <c r="C317" t="str">
        <f>IF(A317="","",'Raw Enrollments'!C317)</f>
        <v/>
      </c>
      <c r="D317" t="str">
        <f>IF(A317="","",'Raw Enrollments'!E317)</f>
        <v/>
      </c>
      <c r="E317" t="str">
        <f>IF('Raw Payments'!A317="","",'Raw Payments'!A317)</f>
        <v/>
      </c>
      <c r="F317" t="str">
        <f>IF(E317="","",'Raw Payments'!B317)</f>
        <v/>
      </c>
      <c r="G317" t="str">
        <f>IF(E317="","",'Raw Payments'!F317)</f>
        <v/>
      </c>
      <c r="H317" t="str">
        <f>IF(E317="","",'Raw Payments'!H317)</f>
        <v/>
      </c>
      <c r="I317" t="str">
        <f>IF(E317="","",'Raw Payments'!I317)</f>
        <v/>
      </c>
      <c r="J317" t="str">
        <f>IF(A317="","",IF(COUNTIF('Raw Payments'!$C:$C,A317)&gt;0,"Payment Linked","No Payment"))</f>
        <v/>
      </c>
      <c r="K317" t="str">
        <f>IF(F317="","Missing Reference",IF(COUNTIF('Raw Payments'!$B:$B,F317)&gt;1,"Possible Duplicate","Reference Present"))</f>
        <v>Missing Reference</v>
      </c>
      <c r="L317" t="str">
        <f t="shared" si="4"/>
        <v/>
      </c>
    </row>
    <row r="318" spans="1:12" x14ac:dyDescent="0.3">
      <c r="A318" t="str">
        <f>IF('Raw Enrollments'!A318="","",'Raw Enrollments'!A318)</f>
        <v/>
      </c>
      <c r="B318" t="str">
        <f>IF(A318="","",'Raw Enrollments'!B318)</f>
        <v/>
      </c>
      <c r="C318" t="str">
        <f>IF(A318="","",'Raw Enrollments'!C318)</f>
        <v/>
      </c>
      <c r="D318" t="str">
        <f>IF(A318="","",'Raw Enrollments'!E318)</f>
        <v/>
      </c>
      <c r="E318" t="str">
        <f>IF('Raw Payments'!A318="","",'Raw Payments'!A318)</f>
        <v/>
      </c>
      <c r="F318" t="str">
        <f>IF(E318="","",'Raw Payments'!B318)</f>
        <v/>
      </c>
      <c r="G318" t="str">
        <f>IF(E318="","",'Raw Payments'!F318)</f>
        <v/>
      </c>
      <c r="H318" t="str">
        <f>IF(E318="","",'Raw Payments'!H318)</f>
        <v/>
      </c>
      <c r="I318" t="str">
        <f>IF(E318="","",'Raw Payments'!I318)</f>
        <v/>
      </c>
      <c r="J318" t="str">
        <f>IF(A318="","",IF(COUNTIF('Raw Payments'!$C:$C,A318)&gt;0,"Payment Linked","No Payment"))</f>
        <v/>
      </c>
      <c r="K318" t="str">
        <f>IF(F318="","Missing Reference",IF(COUNTIF('Raw Payments'!$B:$B,F318)&gt;1,"Possible Duplicate","Reference Present"))</f>
        <v>Missing Reference</v>
      </c>
      <c r="L318" t="str">
        <f t="shared" si="4"/>
        <v/>
      </c>
    </row>
    <row r="319" spans="1:12" x14ac:dyDescent="0.3">
      <c r="A319" t="str">
        <f>IF('Raw Enrollments'!A319="","",'Raw Enrollments'!A319)</f>
        <v/>
      </c>
      <c r="B319" t="str">
        <f>IF(A319="","",'Raw Enrollments'!B319)</f>
        <v/>
      </c>
      <c r="C319" t="str">
        <f>IF(A319="","",'Raw Enrollments'!C319)</f>
        <v/>
      </c>
      <c r="D319" t="str">
        <f>IF(A319="","",'Raw Enrollments'!E319)</f>
        <v/>
      </c>
      <c r="E319" t="str">
        <f>IF('Raw Payments'!A319="","",'Raw Payments'!A319)</f>
        <v/>
      </c>
      <c r="F319" t="str">
        <f>IF(E319="","",'Raw Payments'!B319)</f>
        <v/>
      </c>
      <c r="G319" t="str">
        <f>IF(E319="","",'Raw Payments'!F319)</f>
        <v/>
      </c>
      <c r="H319" t="str">
        <f>IF(E319="","",'Raw Payments'!H319)</f>
        <v/>
      </c>
      <c r="I319" t="str">
        <f>IF(E319="","",'Raw Payments'!I319)</f>
        <v/>
      </c>
      <c r="J319" t="str">
        <f>IF(A319="","",IF(COUNTIF('Raw Payments'!$C:$C,A319)&gt;0,"Payment Linked","No Payment"))</f>
        <v/>
      </c>
      <c r="K319" t="str">
        <f>IF(F319="","Missing Reference",IF(COUNTIF('Raw Payments'!$B:$B,F319)&gt;1,"Possible Duplicate","Reference Present"))</f>
        <v>Missing Reference</v>
      </c>
      <c r="L319" t="str">
        <f t="shared" si="4"/>
        <v/>
      </c>
    </row>
    <row r="320" spans="1:12" x14ac:dyDescent="0.3">
      <c r="A320" t="str">
        <f>IF('Raw Enrollments'!A320="","",'Raw Enrollments'!A320)</f>
        <v/>
      </c>
      <c r="B320" t="str">
        <f>IF(A320="","",'Raw Enrollments'!B320)</f>
        <v/>
      </c>
      <c r="C320" t="str">
        <f>IF(A320="","",'Raw Enrollments'!C320)</f>
        <v/>
      </c>
      <c r="D320" t="str">
        <f>IF(A320="","",'Raw Enrollments'!E320)</f>
        <v/>
      </c>
      <c r="E320" t="str">
        <f>IF('Raw Payments'!A320="","",'Raw Payments'!A320)</f>
        <v/>
      </c>
      <c r="F320" t="str">
        <f>IF(E320="","",'Raw Payments'!B320)</f>
        <v/>
      </c>
      <c r="G320" t="str">
        <f>IF(E320="","",'Raw Payments'!F320)</f>
        <v/>
      </c>
      <c r="H320" t="str">
        <f>IF(E320="","",'Raw Payments'!H320)</f>
        <v/>
      </c>
      <c r="I320" t="str">
        <f>IF(E320="","",'Raw Payments'!I320)</f>
        <v/>
      </c>
      <c r="J320" t="str">
        <f>IF(A320="","",IF(COUNTIF('Raw Payments'!$C:$C,A320)&gt;0,"Payment Linked","No Payment"))</f>
        <v/>
      </c>
      <c r="K320" t="str">
        <f>IF(F320="","Missing Reference",IF(COUNTIF('Raw Payments'!$B:$B,F320)&gt;1,"Possible Duplicate","Reference Present"))</f>
        <v>Missing Reference</v>
      </c>
      <c r="L320" t="str">
        <f t="shared" si="4"/>
        <v/>
      </c>
    </row>
    <row r="321" spans="1:12" x14ac:dyDescent="0.3">
      <c r="A321" t="str">
        <f>IF('Raw Enrollments'!A321="","",'Raw Enrollments'!A321)</f>
        <v/>
      </c>
      <c r="B321" t="str">
        <f>IF(A321="","",'Raw Enrollments'!B321)</f>
        <v/>
      </c>
      <c r="C321" t="str">
        <f>IF(A321="","",'Raw Enrollments'!C321)</f>
        <v/>
      </c>
      <c r="D321" t="str">
        <f>IF(A321="","",'Raw Enrollments'!E321)</f>
        <v/>
      </c>
      <c r="E321" t="str">
        <f>IF('Raw Payments'!A321="","",'Raw Payments'!A321)</f>
        <v/>
      </c>
      <c r="F321" t="str">
        <f>IF(E321="","",'Raw Payments'!B321)</f>
        <v/>
      </c>
      <c r="G321" t="str">
        <f>IF(E321="","",'Raw Payments'!F321)</f>
        <v/>
      </c>
      <c r="H321" t="str">
        <f>IF(E321="","",'Raw Payments'!H321)</f>
        <v/>
      </c>
      <c r="I321" t="str">
        <f>IF(E321="","",'Raw Payments'!I321)</f>
        <v/>
      </c>
      <c r="J321" t="str">
        <f>IF(A321="","",IF(COUNTIF('Raw Payments'!$C:$C,A321)&gt;0,"Payment Linked","No Payment"))</f>
        <v/>
      </c>
      <c r="K321" t="str">
        <f>IF(F321="","Missing Reference",IF(COUNTIF('Raw Payments'!$B:$B,F321)&gt;1,"Possible Duplicate","Reference Present"))</f>
        <v>Missing Reference</v>
      </c>
      <c r="L321" t="str">
        <f t="shared" si="4"/>
        <v/>
      </c>
    </row>
    <row r="322" spans="1:12" x14ac:dyDescent="0.3">
      <c r="A322" t="str">
        <f>IF('Raw Enrollments'!A322="","",'Raw Enrollments'!A322)</f>
        <v/>
      </c>
      <c r="B322" t="str">
        <f>IF(A322="","",'Raw Enrollments'!B322)</f>
        <v/>
      </c>
      <c r="C322" t="str">
        <f>IF(A322="","",'Raw Enrollments'!C322)</f>
        <v/>
      </c>
      <c r="D322" t="str">
        <f>IF(A322="","",'Raw Enrollments'!E322)</f>
        <v/>
      </c>
      <c r="E322" t="str">
        <f>IF('Raw Payments'!A322="","",'Raw Payments'!A322)</f>
        <v/>
      </c>
      <c r="F322" t="str">
        <f>IF(E322="","",'Raw Payments'!B322)</f>
        <v/>
      </c>
      <c r="G322" t="str">
        <f>IF(E322="","",'Raw Payments'!F322)</f>
        <v/>
      </c>
      <c r="H322" t="str">
        <f>IF(E322="","",'Raw Payments'!H322)</f>
        <v/>
      </c>
      <c r="I322" t="str">
        <f>IF(E322="","",'Raw Payments'!I322)</f>
        <v/>
      </c>
      <c r="J322" t="str">
        <f>IF(A322="","",IF(COUNTIF('Raw Payments'!$C:$C,A322)&gt;0,"Payment Linked","No Payment"))</f>
        <v/>
      </c>
      <c r="K322" t="str">
        <f>IF(F322="","Missing Reference",IF(COUNTIF('Raw Payments'!$B:$B,F322)&gt;1,"Possible Duplicate","Reference Present"))</f>
        <v>Missing Reference</v>
      </c>
      <c r="L322" t="str">
        <f t="shared" si="4"/>
        <v/>
      </c>
    </row>
    <row r="323" spans="1:12" x14ac:dyDescent="0.3">
      <c r="A323" t="str">
        <f>IF('Raw Enrollments'!A323="","",'Raw Enrollments'!A323)</f>
        <v/>
      </c>
      <c r="B323" t="str">
        <f>IF(A323="","",'Raw Enrollments'!B323)</f>
        <v/>
      </c>
      <c r="C323" t="str">
        <f>IF(A323="","",'Raw Enrollments'!C323)</f>
        <v/>
      </c>
      <c r="D323" t="str">
        <f>IF(A323="","",'Raw Enrollments'!E323)</f>
        <v/>
      </c>
      <c r="E323" t="str">
        <f>IF('Raw Payments'!A323="","",'Raw Payments'!A323)</f>
        <v/>
      </c>
      <c r="F323" t="str">
        <f>IF(E323="","",'Raw Payments'!B323)</f>
        <v/>
      </c>
      <c r="G323" t="str">
        <f>IF(E323="","",'Raw Payments'!F323)</f>
        <v/>
      </c>
      <c r="H323" t="str">
        <f>IF(E323="","",'Raw Payments'!H323)</f>
        <v/>
      </c>
      <c r="I323" t="str">
        <f>IF(E323="","",'Raw Payments'!I323)</f>
        <v/>
      </c>
      <c r="J323" t="str">
        <f>IF(A323="","",IF(COUNTIF('Raw Payments'!$C:$C,A323)&gt;0,"Payment Linked","No Payment"))</f>
        <v/>
      </c>
      <c r="K323" t="str">
        <f>IF(F323="","Missing Reference",IF(COUNTIF('Raw Payments'!$B:$B,F323)&gt;1,"Possible Duplicate","Reference Present"))</f>
        <v>Missing Reference</v>
      </c>
      <c r="L323" t="str">
        <f t="shared" si="4"/>
        <v/>
      </c>
    </row>
    <row r="324" spans="1:12" x14ac:dyDescent="0.3">
      <c r="A324" t="str">
        <f>IF('Raw Enrollments'!A324="","",'Raw Enrollments'!A324)</f>
        <v/>
      </c>
      <c r="B324" t="str">
        <f>IF(A324="","",'Raw Enrollments'!B324)</f>
        <v/>
      </c>
      <c r="C324" t="str">
        <f>IF(A324="","",'Raw Enrollments'!C324)</f>
        <v/>
      </c>
      <c r="D324" t="str">
        <f>IF(A324="","",'Raw Enrollments'!E324)</f>
        <v/>
      </c>
      <c r="E324" t="str">
        <f>IF('Raw Payments'!A324="","",'Raw Payments'!A324)</f>
        <v/>
      </c>
      <c r="F324" t="str">
        <f>IF(E324="","",'Raw Payments'!B324)</f>
        <v/>
      </c>
      <c r="G324" t="str">
        <f>IF(E324="","",'Raw Payments'!F324)</f>
        <v/>
      </c>
      <c r="H324" t="str">
        <f>IF(E324="","",'Raw Payments'!H324)</f>
        <v/>
      </c>
      <c r="I324" t="str">
        <f>IF(E324="","",'Raw Payments'!I324)</f>
        <v/>
      </c>
      <c r="J324" t="str">
        <f>IF(A324="","",IF(COUNTIF('Raw Payments'!$C:$C,A324)&gt;0,"Payment Linked","No Payment"))</f>
        <v/>
      </c>
      <c r="K324" t="str">
        <f>IF(F324="","Missing Reference",IF(COUNTIF('Raw Payments'!$B:$B,F324)&gt;1,"Possible Duplicate","Reference Present"))</f>
        <v>Missing Reference</v>
      </c>
      <c r="L324" t="str">
        <f t="shared" si="4"/>
        <v/>
      </c>
    </row>
    <row r="325" spans="1:12" x14ac:dyDescent="0.3">
      <c r="A325" t="str">
        <f>IF('Raw Enrollments'!A325="","",'Raw Enrollments'!A325)</f>
        <v/>
      </c>
      <c r="B325" t="str">
        <f>IF(A325="","",'Raw Enrollments'!B325)</f>
        <v/>
      </c>
      <c r="C325" t="str">
        <f>IF(A325="","",'Raw Enrollments'!C325)</f>
        <v/>
      </c>
      <c r="D325" t="str">
        <f>IF(A325="","",'Raw Enrollments'!E325)</f>
        <v/>
      </c>
      <c r="E325" t="str">
        <f>IF('Raw Payments'!A325="","",'Raw Payments'!A325)</f>
        <v/>
      </c>
      <c r="F325" t="str">
        <f>IF(E325="","",'Raw Payments'!B325)</f>
        <v/>
      </c>
      <c r="G325" t="str">
        <f>IF(E325="","",'Raw Payments'!F325)</f>
        <v/>
      </c>
      <c r="H325" t="str">
        <f>IF(E325="","",'Raw Payments'!H325)</f>
        <v/>
      </c>
      <c r="I325" t="str">
        <f>IF(E325="","",'Raw Payments'!I325)</f>
        <v/>
      </c>
      <c r="J325" t="str">
        <f>IF(A325="","",IF(COUNTIF('Raw Payments'!$C:$C,A325)&gt;0,"Payment Linked","No Payment"))</f>
        <v/>
      </c>
      <c r="K325" t="str">
        <f>IF(F325="","Missing Reference",IF(COUNTIF('Raw Payments'!$B:$B,F325)&gt;1,"Possible Duplicate","Reference Present"))</f>
        <v>Missing Reference</v>
      </c>
      <c r="L325" t="str">
        <f t="shared" ref="L325:L388" si="5">IF(A325="","",IF(OR(J325="No Payment",K325="Missing Reference",K325="Possible Duplicate",H325=""),"Review","Check Student/Course/Status"))</f>
        <v/>
      </c>
    </row>
    <row r="326" spans="1:12" x14ac:dyDescent="0.3">
      <c r="A326" t="str">
        <f>IF('Raw Enrollments'!A326="","",'Raw Enrollments'!A326)</f>
        <v/>
      </c>
      <c r="B326" t="str">
        <f>IF(A326="","",'Raw Enrollments'!B326)</f>
        <v/>
      </c>
      <c r="C326" t="str">
        <f>IF(A326="","",'Raw Enrollments'!C326)</f>
        <v/>
      </c>
      <c r="D326" t="str">
        <f>IF(A326="","",'Raw Enrollments'!E326)</f>
        <v/>
      </c>
      <c r="E326" t="str">
        <f>IF('Raw Payments'!A326="","",'Raw Payments'!A326)</f>
        <v/>
      </c>
      <c r="F326" t="str">
        <f>IF(E326="","",'Raw Payments'!B326)</f>
        <v/>
      </c>
      <c r="G326" t="str">
        <f>IF(E326="","",'Raw Payments'!F326)</f>
        <v/>
      </c>
      <c r="H326" t="str">
        <f>IF(E326="","",'Raw Payments'!H326)</f>
        <v/>
      </c>
      <c r="I326" t="str">
        <f>IF(E326="","",'Raw Payments'!I326)</f>
        <v/>
      </c>
      <c r="J326" t="str">
        <f>IF(A326="","",IF(COUNTIF('Raw Payments'!$C:$C,A326)&gt;0,"Payment Linked","No Payment"))</f>
        <v/>
      </c>
      <c r="K326" t="str">
        <f>IF(F326="","Missing Reference",IF(COUNTIF('Raw Payments'!$B:$B,F326)&gt;1,"Possible Duplicate","Reference Present"))</f>
        <v>Missing Reference</v>
      </c>
      <c r="L326" t="str">
        <f t="shared" si="5"/>
        <v/>
      </c>
    </row>
    <row r="327" spans="1:12" x14ac:dyDescent="0.3">
      <c r="A327" t="str">
        <f>IF('Raw Enrollments'!A327="","",'Raw Enrollments'!A327)</f>
        <v/>
      </c>
      <c r="B327" t="str">
        <f>IF(A327="","",'Raw Enrollments'!B327)</f>
        <v/>
      </c>
      <c r="C327" t="str">
        <f>IF(A327="","",'Raw Enrollments'!C327)</f>
        <v/>
      </c>
      <c r="D327" t="str">
        <f>IF(A327="","",'Raw Enrollments'!E327)</f>
        <v/>
      </c>
      <c r="E327" t="str">
        <f>IF('Raw Payments'!A327="","",'Raw Payments'!A327)</f>
        <v/>
      </c>
      <c r="F327" t="str">
        <f>IF(E327="","",'Raw Payments'!B327)</f>
        <v/>
      </c>
      <c r="G327" t="str">
        <f>IF(E327="","",'Raw Payments'!F327)</f>
        <v/>
      </c>
      <c r="H327" t="str">
        <f>IF(E327="","",'Raw Payments'!H327)</f>
        <v/>
      </c>
      <c r="I327" t="str">
        <f>IF(E327="","",'Raw Payments'!I327)</f>
        <v/>
      </c>
      <c r="J327" t="str">
        <f>IF(A327="","",IF(COUNTIF('Raw Payments'!$C:$C,A327)&gt;0,"Payment Linked","No Payment"))</f>
        <v/>
      </c>
      <c r="K327" t="str">
        <f>IF(F327="","Missing Reference",IF(COUNTIF('Raw Payments'!$B:$B,F327)&gt;1,"Possible Duplicate","Reference Present"))</f>
        <v>Missing Reference</v>
      </c>
      <c r="L327" t="str">
        <f t="shared" si="5"/>
        <v/>
      </c>
    </row>
    <row r="328" spans="1:12" x14ac:dyDescent="0.3">
      <c r="A328" t="str">
        <f>IF('Raw Enrollments'!A328="","",'Raw Enrollments'!A328)</f>
        <v/>
      </c>
      <c r="B328" t="str">
        <f>IF(A328="","",'Raw Enrollments'!B328)</f>
        <v/>
      </c>
      <c r="C328" t="str">
        <f>IF(A328="","",'Raw Enrollments'!C328)</f>
        <v/>
      </c>
      <c r="D328" t="str">
        <f>IF(A328="","",'Raw Enrollments'!E328)</f>
        <v/>
      </c>
      <c r="E328" t="str">
        <f>IF('Raw Payments'!A328="","",'Raw Payments'!A328)</f>
        <v/>
      </c>
      <c r="F328" t="str">
        <f>IF(E328="","",'Raw Payments'!B328)</f>
        <v/>
      </c>
      <c r="G328" t="str">
        <f>IF(E328="","",'Raw Payments'!F328)</f>
        <v/>
      </c>
      <c r="H328" t="str">
        <f>IF(E328="","",'Raw Payments'!H328)</f>
        <v/>
      </c>
      <c r="I328" t="str">
        <f>IF(E328="","",'Raw Payments'!I328)</f>
        <v/>
      </c>
      <c r="J328" t="str">
        <f>IF(A328="","",IF(COUNTIF('Raw Payments'!$C:$C,A328)&gt;0,"Payment Linked","No Payment"))</f>
        <v/>
      </c>
      <c r="K328" t="str">
        <f>IF(F328="","Missing Reference",IF(COUNTIF('Raw Payments'!$B:$B,F328)&gt;1,"Possible Duplicate","Reference Present"))</f>
        <v>Missing Reference</v>
      </c>
      <c r="L328" t="str">
        <f t="shared" si="5"/>
        <v/>
      </c>
    </row>
    <row r="329" spans="1:12" x14ac:dyDescent="0.3">
      <c r="A329" t="str">
        <f>IF('Raw Enrollments'!A329="","",'Raw Enrollments'!A329)</f>
        <v/>
      </c>
      <c r="B329" t="str">
        <f>IF(A329="","",'Raw Enrollments'!B329)</f>
        <v/>
      </c>
      <c r="C329" t="str">
        <f>IF(A329="","",'Raw Enrollments'!C329)</f>
        <v/>
      </c>
      <c r="D329" t="str">
        <f>IF(A329="","",'Raw Enrollments'!E329)</f>
        <v/>
      </c>
      <c r="E329" t="str">
        <f>IF('Raw Payments'!A329="","",'Raw Payments'!A329)</f>
        <v/>
      </c>
      <c r="F329" t="str">
        <f>IF(E329="","",'Raw Payments'!B329)</f>
        <v/>
      </c>
      <c r="G329" t="str">
        <f>IF(E329="","",'Raw Payments'!F329)</f>
        <v/>
      </c>
      <c r="H329" t="str">
        <f>IF(E329="","",'Raw Payments'!H329)</f>
        <v/>
      </c>
      <c r="I329" t="str">
        <f>IF(E329="","",'Raw Payments'!I329)</f>
        <v/>
      </c>
      <c r="J329" t="str">
        <f>IF(A329="","",IF(COUNTIF('Raw Payments'!$C:$C,A329)&gt;0,"Payment Linked","No Payment"))</f>
        <v/>
      </c>
      <c r="K329" t="str">
        <f>IF(F329="","Missing Reference",IF(COUNTIF('Raw Payments'!$B:$B,F329)&gt;1,"Possible Duplicate","Reference Present"))</f>
        <v>Missing Reference</v>
      </c>
      <c r="L329" t="str">
        <f t="shared" si="5"/>
        <v/>
      </c>
    </row>
    <row r="330" spans="1:12" x14ac:dyDescent="0.3">
      <c r="A330" t="str">
        <f>IF('Raw Enrollments'!A330="","",'Raw Enrollments'!A330)</f>
        <v/>
      </c>
      <c r="B330" t="str">
        <f>IF(A330="","",'Raw Enrollments'!B330)</f>
        <v/>
      </c>
      <c r="C330" t="str">
        <f>IF(A330="","",'Raw Enrollments'!C330)</f>
        <v/>
      </c>
      <c r="D330" t="str">
        <f>IF(A330="","",'Raw Enrollments'!E330)</f>
        <v/>
      </c>
      <c r="E330" t="str">
        <f>IF('Raw Payments'!A330="","",'Raw Payments'!A330)</f>
        <v/>
      </c>
      <c r="F330" t="str">
        <f>IF(E330="","",'Raw Payments'!B330)</f>
        <v/>
      </c>
      <c r="G330" t="str">
        <f>IF(E330="","",'Raw Payments'!F330)</f>
        <v/>
      </c>
      <c r="H330" t="str">
        <f>IF(E330="","",'Raw Payments'!H330)</f>
        <v/>
      </c>
      <c r="I330" t="str">
        <f>IF(E330="","",'Raw Payments'!I330)</f>
        <v/>
      </c>
      <c r="J330" t="str">
        <f>IF(A330="","",IF(COUNTIF('Raw Payments'!$C:$C,A330)&gt;0,"Payment Linked","No Payment"))</f>
        <v/>
      </c>
      <c r="K330" t="str">
        <f>IF(F330="","Missing Reference",IF(COUNTIF('Raw Payments'!$B:$B,F330)&gt;1,"Possible Duplicate","Reference Present"))</f>
        <v>Missing Reference</v>
      </c>
      <c r="L330" t="str">
        <f t="shared" si="5"/>
        <v/>
      </c>
    </row>
    <row r="331" spans="1:12" x14ac:dyDescent="0.3">
      <c r="A331" t="str">
        <f>IF('Raw Enrollments'!A331="","",'Raw Enrollments'!A331)</f>
        <v/>
      </c>
      <c r="B331" t="str">
        <f>IF(A331="","",'Raw Enrollments'!B331)</f>
        <v/>
      </c>
      <c r="C331" t="str">
        <f>IF(A331="","",'Raw Enrollments'!C331)</f>
        <v/>
      </c>
      <c r="D331" t="str">
        <f>IF(A331="","",'Raw Enrollments'!E331)</f>
        <v/>
      </c>
      <c r="E331" t="str">
        <f>IF('Raw Payments'!A331="","",'Raw Payments'!A331)</f>
        <v/>
      </c>
      <c r="F331" t="str">
        <f>IF(E331="","",'Raw Payments'!B331)</f>
        <v/>
      </c>
      <c r="G331" t="str">
        <f>IF(E331="","",'Raw Payments'!F331)</f>
        <v/>
      </c>
      <c r="H331" t="str">
        <f>IF(E331="","",'Raw Payments'!H331)</f>
        <v/>
      </c>
      <c r="I331" t="str">
        <f>IF(E331="","",'Raw Payments'!I331)</f>
        <v/>
      </c>
      <c r="J331" t="str">
        <f>IF(A331="","",IF(COUNTIF('Raw Payments'!$C:$C,A331)&gt;0,"Payment Linked","No Payment"))</f>
        <v/>
      </c>
      <c r="K331" t="str">
        <f>IF(F331="","Missing Reference",IF(COUNTIF('Raw Payments'!$B:$B,F331)&gt;1,"Possible Duplicate","Reference Present"))</f>
        <v>Missing Reference</v>
      </c>
      <c r="L331" t="str">
        <f t="shared" si="5"/>
        <v/>
      </c>
    </row>
    <row r="332" spans="1:12" x14ac:dyDescent="0.3">
      <c r="A332" t="str">
        <f>IF('Raw Enrollments'!A332="","",'Raw Enrollments'!A332)</f>
        <v/>
      </c>
      <c r="B332" t="str">
        <f>IF(A332="","",'Raw Enrollments'!B332)</f>
        <v/>
      </c>
      <c r="C332" t="str">
        <f>IF(A332="","",'Raw Enrollments'!C332)</f>
        <v/>
      </c>
      <c r="D332" t="str">
        <f>IF(A332="","",'Raw Enrollments'!E332)</f>
        <v/>
      </c>
      <c r="E332" t="str">
        <f>IF('Raw Payments'!A332="","",'Raw Payments'!A332)</f>
        <v/>
      </c>
      <c r="F332" t="str">
        <f>IF(E332="","",'Raw Payments'!B332)</f>
        <v/>
      </c>
      <c r="G332" t="str">
        <f>IF(E332="","",'Raw Payments'!F332)</f>
        <v/>
      </c>
      <c r="H332" t="str">
        <f>IF(E332="","",'Raw Payments'!H332)</f>
        <v/>
      </c>
      <c r="I332" t="str">
        <f>IF(E332="","",'Raw Payments'!I332)</f>
        <v/>
      </c>
      <c r="J332" t="str">
        <f>IF(A332="","",IF(COUNTIF('Raw Payments'!$C:$C,A332)&gt;0,"Payment Linked","No Payment"))</f>
        <v/>
      </c>
      <c r="K332" t="str">
        <f>IF(F332="","Missing Reference",IF(COUNTIF('Raw Payments'!$B:$B,F332)&gt;1,"Possible Duplicate","Reference Present"))</f>
        <v>Missing Reference</v>
      </c>
      <c r="L332" t="str">
        <f t="shared" si="5"/>
        <v/>
      </c>
    </row>
    <row r="333" spans="1:12" x14ac:dyDescent="0.3">
      <c r="A333" t="str">
        <f>IF('Raw Enrollments'!A333="","",'Raw Enrollments'!A333)</f>
        <v/>
      </c>
      <c r="B333" t="str">
        <f>IF(A333="","",'Raw Enrollments'!B333)</f>
        <v/>
      </c>
      <c r="C333" t="str">
        <f>IF(A333="","",'Raw Enrollments'!C333)</f>
        <v/>
      </c>
      <c r="D333" t="str">
        <f>IF(A333="","",'Raw Enrollments'!E333)</f>
        <v/>
      </c>
      <c r="E333" t="str">
        <f>IF('Raw Payments'!A333="","",'Raw Payments'!A333)</f>
        <v/>
      </c>
      <c r="F333" t="str">
        <f>IF(E333="","",'Raw Payments'!B333)</f>
        <v/>
      </c>
      <c r="G333" t="str">
        <f>IF(E333="","",'Raw Payments'!F333)</f>
        <v/>
      </c>
      <c r="H333" t="str">
        <f>IF(E333="","",'Raw Payments'!H333)</f>
        <v/>
      </c>
      <c r="I333" t="str">
        <f>IF(E333="","",'Raw Payments'!I333)</f>
        <v/>
      </c>
      <c r="J333" t="str">
        <f>IF(A333="","",IF(COUNTIF('Raw Payments'!$C:$C,A333)&gt;0,"Payment Linked","No Payment"))</f>
        <v/>
      </c>
      <c r="K333" t="str">
        <f>IF(F333="","Missing Reference",IF(COUNTIF('Raw Payments'!$B:$B,F333)&gt;1,"Possible Duplicate","Reference Present"))</f>
        <v>Missing Reference</v>
      </c>
      <c r="L333" t="str">
        <f t="shared" si="5"/>
        <v/>
      </c>
    </row>
    <row r="334" spans="1:12" x14ac:dyDescent="0.3">
      <c r="A334" t="str">
        <f>IF('Raw Enrollments'!A334="","",'Raw Enrollments'!A334)</f>
        <v/>
      </c>
      <c r="B334" t="str">
        <f>IF(A334="","",'Raw Enrollments'!B334)</f>
        <v/>
      </c>
      <c r="C334" t="str">
        <f>IF(A334="","",'Raw Enrollments'!C334)</f>
        <v/>
      </c>
      <c r="D334" t="str">
        <f>IF(A334="","",'Raw Enrollments'!E334)</f>
        <v/>
      </c>
      <c r="E334" t="str">
        <f>IF('Raw Payments'!A334="","",'Raw Payments'!A334)</f>
        <v/>
      </c>
      <c r="F334" t="str">
        <f>IF(E334="","",'Raw Payments'!B334)</f>
        <v/>
      </c>
      <c r="G334" t="str">
        <f>IF(E334="","",'Raw Payments'!F334)</f>
        <v/>
      </c>
      <c r="H334" t="str">
        <f>IF(E334="","",'Raw Payments'!H334)</f>
        <v/>
      </c>
      <c r="I334" t="str">
        <f>IF(E334="","",'Raw Payments'!I334)</f>
        <v/>
      </c>
      <c r="J334" t="str">
        <f>IF(A334="","",IF(COUNTIF('Raw Payments'!$C:$C,A334)&gt;0,"Payment Linked","No Payment"))</f>
        <v/>
      </c>
      <c r="K334" t="str">
        <f>IF(F334="","Missing Reference",IF(COUNTIF('Raw Payments'!$B:$B,F334)&gt;1,"Possible Duplicate","Reference Present"))</f>
        <v>Missing Reference</v>
      </c>
      <c r="L334" t="str">
        <f t="shared" si="5"/>
        <v/>
      </c>
    </row>
    <row r="335" spans="1:12" x14ac:dyDescent="0.3">
      <c r="A335" t="str">
        <f>IF('Raw Enrollments'!A335="","",'Raw Enrollments'!A335)</f>
        <v/>
      </c>
      <c r="B335" t="str">
        <f>IF(A335="","",'Raw Enrollments'!B335)</f>
        <v/>
      </c>
      <c r="C335" t="str">
        <f>IF(A335="","",'Raw Enrollments'!C335)</f>
        <v/>
      </c>
      <c r="D335" t="str">
        <f>IF(A335="","",'Raw Enrollments'!E335)</f>
        <v/>
      </c>
      <c r="E335" t="str">
        <f>IF('Raw Payments'!A335="","",'Raw Payments'!A335)</f>
        <v/>
      </c>
      <c r="F335" t="str">
        <f>IF(E335="","",'Raw Payments'!B335)</f>
        <v/>
      </c>
      <c r="G335" t="str">
        <f>IF(E335="","",'Raw Payments'!F335)</f>
        <v/>
      </c>
      <c r="H335" t="str">
        <f>IF(E335="","",'Raw Payments'!H335)</f>
        <v/>
      </c>
      <c r="I335" t="str">
        <f>IF(E335="","",'Raw Payments'!I335)</f>
        <v/>
      </c>
      <c r="J335" t="str">
        <f>IF(A335="","",IF(COUNTIF('Raw Payments'!$C:$C,A335)&gt;0,"Payment Linked","No Payment"))</f>
        <v/>
      </c>
      <c r="K335" t="str">
        <f>IF(F335="","Missing Reference",IF(COUNTIF('Raw Payments'!$B:$B,F335)&gt;1,"Possible Duplicate","Reference Present"))</f>
        <v>Missing Reference</v>
      </c>
      <c r="L335" t="str">
        <f t="shared" si="5"/>
        <v/>
      </c>
    </row>
    <row r="336" spans="1:12" x14ac:dyDescent="0.3">
      <c r="A336" t="str">
        <f>IF('Raw Enrollments'!A336="","",'Raw Enrollments'!A336)</f>
        <v/>
      </c>
      <c r="B336" t="str">
        <f>IF(A336="","",'Raw Enrollments'!B336)</f>
        <v/>
      </c>
      <c r="C336" t="str">
        <f>IF(A336="","",'Raw Enrollments'!C336)</f>
        <v/>
      </c>
      <c r="D336" t="str">
        <f>IF(A336="","",'Raw Enrollments'!E336)</f>
        <v/>
      </c>
      <c r="E336" t="str">
        <f>IF('Raw Payments'!A336="","",'Raw Payments'!A336)</f>
        <v/>
      </c>
      <c r="F336" t="str">
        <f>IF(E336="","",'Raw Payments'!B336)</f>
        <v/>
      </c>
      <c r="G336" t="str">
        <f>IF(E336="","",'Raw Payments'!F336)</f>
        <v/>
      </c>
      <c r="H336" t="str">
        <f>IF(E336="","",'Raw Payments'!H336)</f>
        <v/>
      </c>
      <c r="I336" t="str">
        <f>IF(E336="","",'Raw Payments'!I336)</f>
        <v/>
      </c>
      <c r="J336" t="str">
        <f>IF(A336="","",IF(COUNTIF('Raw Payments'!$C:$C,A336)&gt;0,"Payment Linked","No Payment"))</f>
        <v/>
      </c>
      <c r="K336" t="str">
        <f>IF(F336="","Missing Reference",IF(COUNTIF('Raw Payments'!$B:$B,F336)&gt;1,"Possible Duplicate","Reference Present"))</f>
        <v>Missing Reference</v>
      </c>
      <c r="L336" t="str">
        <f t="shared" si="5"/>
        <v/>
      </c>
    </row>
    <row r="337" spans="1:12" x14ac:dyDescent="0.3">
      <c r="A337" t="str">
        <f>IF('Raw Enrollments'!A337="","",'Raw Enrollments'!A337)</f>
        <v/>
      </c>
      <c r="B337" t="str">
        <f>IF(A337="","",'Raw Enrollments'!B337)</f>
        <v/>
      </c>
      <c r="C337" t="str">
        <f>IF(A337="","",'Raw Enrollments'!C337)</f>
        <v/>
      </c>
      <c r="D337" t="str">
        <f>IF(A337="","",'Raw Enrollments'!E337)</f>
        <v/>
      </c>
      <c r="E337" t="str">
        <f>IF('Raw Payments'!A337="","",'Raw Payments'!A337)</f>
        <v/>
      </c>
      <c r="F337" t="str">
        <f>IF(E337="","",'Raw Payments'!B337)</f>
        <v/>
      </c>
      <c r="G337" t="str">
        <f>IF(E337="","",'Raw Payments'!F337)</f>
        <v/>
      </c>
      <c r="H337" t="str">
        <f>IF(E337="","",'Raw Payments'!H337)</f>
        <v/>
      </c>
      <c r="I337" t="str">
        <f>IF(E337="","",'Raw Payments'!I337)</f>
        <v/>
      </c>
      <c r="J337" t="str">
        <f>IF(A337="","",IF(COUNTIF('Raw Payments'!$C:$C,A337)&gt;0,"Payment Linked","No Payment"))</f>
        <v/>
      </c>
      <c r="K337" t="str">
        <f>IF(F337="","Missing Reference",IF(COUNTIF('Raw Payments'!$B:$B,F337)&gt;1,"Possible Duplicate","Reference Present"))</f>
        <v>Missing Reference</v>
      </c>
      <c r="L337" t="str">
        <f t="shared" si="5"/>
        <v/>
      </c>
    </row>
    <row r="338" spans="1:12" x14ac:dyDescent="0.3">
      <c r="A338" t="str">
        <f>IF('Raw Enrollments'!A338="","",'Raw Enrollments'!A338)</f>
        <v/>
      </c>
      <c r="B338" t="str">
        <f>IF(A338="","",'Raw Enrollments'!B338)</f>
        <v/>
      </c>
      <c r="C338" t="str">
        <f>IF(A338="","",'Raw Enrollments'!C338)</f>
        <v/>
      </c>
      <c r="D338" t="str">
        <f>IF(A338="","",'Raw Enrollments'!E338)</f>
        <v/>
      </c>
      <c r="E338" t="str">
        <f>IF('Raw Payments'!A338="","",'Raw Payments'!A338)</f>
        <v/>
      </c>
      <c r="F338" t="str">
        <f>IF(E338="","",'Raw Payments'!B338)</f>
        <v/>
      </c>
      <c r="G338" t="str">
        <f>IF(E338="","",'Raw Payments'!F338)</f>
        <v/>
      </c>
      <c r="H338" t="str">
        <f>IF(E338="","",'Raw Payments'!H338)</f>
        <v/>
      </c>
      <c r="I338" t="str">
        <f>IF(E338="","",'Raw Payments'!I338)</f>
        <v/>
      </c>
      <c r="J338" t="str">
        <f>IF(A338="","",IF(COUNTIF('Raw Payments'!$C:$C,A338)&gt;0,"Payment Linked","No Payment"))</f>
        <v/>
      </c>
      <c r="K338" t="str">
        <f>IF(F338="","Missing Reference",IF(COUNTIF('Raw Payments'!$B:$B,F338)&gt;1,"Possible Duplicate","Reference Present"))</f>
        <v>Missing Reference</v>
      </c>
      <c r="L338" t="str">
        <f t="shared" si="5"/>
        <v/>
      </c>
    </row>
    <row r="339" spans="1:12" x14ac:dyDescent="0.3">
      <c r="A339" t="str">
        <f>IF('Raw Enrollments'!A339="","",'Raw Enrollments'!A339)</f>
        <v/>
      </c>
      <c r="B339" t="str">
        <f>IF(A339="","",'Raw Enrollments'!B339)</f>
        <v/>
      </c>
      <c r="C339" t="str">
        <f>IF(A339="","",'Raw Enrollments'!C339)</f>
        <v/>
      </c>
      <c r="D339" t="str">
        <f>IF(A339="","",'Raw Enrollments'!E339)</f>
        <v/>
      </c>
      <c r="E339" t="str">
        <f>IF('Raw Payments'!A339="","",'Raw Payments'!A339)</f>
        <v/>
      </c>
      <c r="F339" t="str">
        <f>IF(E339="","",'Raw Payments'!B339)</f>
        <v/>
      </c>
      <c r="G339" t="str">
        <f>IF(E339="","",'Raw Payments'!F339)</f>
        <v/>
      </c>
      <c r="H339" t="str">
        <f>IF(E339="","",'Raw Payments'!H339)</f>
        <v/>
      </c>
      <c r="I339" t="str">
        <f>IF(E339="","",'Raw Payments'!I339)</f>
        <v/>
      </c>
      <c r="J339" t="str">
        <f>IF(A339="","",IF(COUNTIF('Raw Payments'!$C:$C,A339)&gt;0,"Payment Linked","No Payment"))</f>
        <v/>
      </c>
      <c r="K339" t="str">
        <f>IF(F339="","Missing Reference",IF(COUNTIF('Raw Payments'!$B:$B,F339)&gt;1,"Possible Duplicate","Reference Present"))</f>
        <v>Missing Reference</v>
      </c>
      <c r="L339" t="str">
        <f t="shared" si="5"/>
        <v/>
      </c>
    </row>
    <row r="340" spans="1:12" x14ac:dyDescent="0.3">
      <c r="A340" t="str">
        <f>IF('Raw Enrollments'!A340="","",'Raw Enrollments'!A340)</f>
        <v/>
      </c>
      <c r="B340" t="str">
        <f>IF(A340="","",'Raw Enrollments'!B340)</f>
        <v/>
      </c>
      <c r="C340" t="str">
        <f>IF(A340="","",'Raw Enrollments'!C340)</f>
        <v/>
      </c>
      <c r="D340" t="str">
        <f>IF(A340="","",'Raw Enrollments'!E340)</f>
        <v/>
      </c>
      <c r="E340" t="str">
        <f>IF('Raw Payments'!A340="","",'Raw Payments'!A340)</f>
        <v/>
      </c>
      <c r="F340" t="str">
        <f>IF(E340="","",'Raw Payments'!B340)</f>
        <v/>
      </c>
      <c r="G340" t="str">
        <f>IF(E340="","",'Raw Payments'!F340)</f>
        <v/>
      </c>
      <c r="H340" t="str">
        <f>IF(E340="","",'Raw Payments'!H340)</f>
        <v/>
      </c>
      <c r="I340" t="str">
        <f>IF(E340="","",'Raw Payments'!I340)</f>
        <v/>
      </c>
      <c r="J340" t="str">
        <f>IF(A340="","",IF(COUNTIF('Raw Payments'!$C:$C,A340)&gt;0,"Payment Linked","No Payment"))</f>
        <v/>
      </c>
      <c r="K340" t="str">
        <f>IF(F340="","Missing Reference",IF(COUNTIF('Raw Payments'!$B:$B,F340)&gt;1,"Possible Duplicate","Reference Present"))</f>
        <v>Missing Reference</v>
      </c>
      <c r="L340" t="str">
        <f t="shared" si="5"/>
        <v/>
      </c>
    </row>
    <row r="341" spans="1:12" x14ac:dyDescent="0.3">
      <c r="A341" t="str">
        <f>IF('Raw Enrollments'!A341="","",'Raw Enrollments'!A341)</f>
        <v/>
      </c>
      <c r="B341" t="str">
        <f>IF(A341="","",'Raw Enrollments'!B341)</f>
        <v/>
      </c>
      <c r="C341" t="str">
        <f>IF(A341="","",'Raw Enrollments'!C341)</f>
        <v/>
      </c>
      <c r="D341" t="str">
        <f>IF(A341="","",'Raw Enrollments'!E341)</f>
        <v/>
      </c>
      <c r="E341" t="str">
        <f>IF('Raw Payments'!A341="","",'Raw Payments'!A341)</f>
        <v/>
      </c>
      <c r="F341" t="str">
        <f>IF(E341="","",'Raw Payments'!B341)</f>
        <v/>
      </c>
      <c r="G341" t="str">
        <f>IF(E341="","",'Raw Payments'!F341)</f>
        <v/>
      </c>
      <c r="H341" t="str">
        <f>IF(E341="","",'Raw Payments'!H341)</f>
        <v/>
      </c>
      <c r="I341" t="str">
        <f>IF(E341="","",'Raw Payments'!I341)</f>
        <v/>
      </c>
      <c r="J341" t="str">
        <f>IF(A341="","",IF(COUNTIF('Raw Payments'!$C:$C,A341)&gt;0,"Payment Linked","No Payment"))</f>
        <v/>
      </c>
      <c r="K341" t="str">
        <f>IF(F341="","Missing Reference",IF(COUNTIF('Raw Payments'!$B:$B,F341)&gt;1,"Possible Duplicate","Reference Present"))</f>
        <v>Missing Reference</v>
      </c>
      <c r="L341" t="str">
        <f t="shared" si="5"/>
        <v/>
      </c>
    </row>
    <row r="342" spans="1:12" x14ac:dyDescent="0.3">
      <c r="A342" t="str">
        <f>IF('Raw Enrollments'!A342="","",'Raw Enrollments'!A342)</f>
        <v/>
      </c>
      <c r="B342" t="str">
        <f>IF(A342="","",'Raw Enrollments'!B342)</f>
        <v/>
      </c>
      <c r="C342" t="str">
        <f>IF(A342="","",'Raw Enrollments'!C342)</f>
        <v/>
      </c>
      <c r="D342" t="str">
        <f>IF(A342="","",'Raw Enrollments'!E342)</f>
        <v/>
      </c>
      <c r="E342" t="str">
        <f>IF('Raw Payments'!A342="","",'Raw Payments'!A342)</f>
        <v/>
      </c>
      <c r="F342" t="str">
        <f>IF(E342="","",'Raw Payments'!B342)</f>
        <v/>
      </c>
      <c r="G342" t="str">
        <f>IF(E342="","",'Raw Payments'!F342)</f>
        <v/>
      </c>
      <c r="H342" t="str">
        <f>IF(E342="","",'Raw Payments'!H342)</f>
        <v/>
      </c>
      <c r="I342" t="str">
        <f>IF(E342="","",'Raw Payments'!I342)</f>
        <v/>
      </c>
      <c r="J342" t="str">
        <f>IF(A342="","",IF(COUNTIF('Raw Payments'!$C:$C,A342)&gt;0,"Payment Linked","No Payment"))</f>
        <v/>
      </c>
      <c r="K342" t="str">
        <f>IF(F342="","Missing Reference",IF(COUNTIF('Raw Payments'!$B:$B,F342)&gt;1,"Possible Duplicate","Reference Present"))</f>
        <v>Missing Reference</v>
      </c>
      <c r="L342" t="str">
        <f t="shared" si="5"/>
        <v/>
      </c>
    </row>
    <row r="343" spans="1:12" x14ac:dyDescent="0.3">
      <c r="A343" t="str">
        <f>IF('Raw Enrollments'!A343="","",'Raw Enrollments'!A343)</f>
        <v/>
      </c>
      <c r="B343" t="str">
        <f>IF(A343="","",'Raw Enrollments'!B343)</f>
        <v/>
      </c>
      <c r="C343" t="str">
        <f>IF(A343="","",'Raw Enrollments'!C343)</f>
        <v/>
      </c>
      <c r="D343" t="str">
        <f>IF(A343="","",'Raw Enrollments'!E343)</f>
        <v/>
      </c>
      <c r="E343" t="str">
        <f>IF('Raw Payments'!A343="","",'Raw Payments'!A343)</f>
        <v/>
      </c>
      <c r="F343" t="str">
        <f>IF(E343="","",'Raw Payments'!B343)</f>
        <v/>
      </c>
      <c r="G343" t="str">
        <f>IF(E343="","",'Raw Payments'!F343)</f>
        <v/>
      </c>
      <c r="H343" t="str">
        <f>IF(E343="","",'Raw Payments'!H343)</f>
        <v/>
      </c>
      <c r="I343" t="str">
        <f>IF(E343="","",'Raw Payments'!I343)</f>
        <v/>
      </c>
      <c r="J343" t="str">
        <f>IF(A343="","",IF(COUNTIF('Raw Payments'!$C:$C,A343)&gt;0,"Payment Linked","No Payment"))</f>
        <v/>
      </c>
      <c r="K343" t="str">
        <f>IF(F343="","Missing Reference",IF(COUNTIF('Raw Payments'!$B:$B,F343)&gt;1,"Possible Duplicate","Reference Present"))</f>
        <v>Missing Reference</v>
      </c>
      <c r="L343" t="str">
        <f t="shared" si="5"/>
        <v/>
      </c>
    </row>
    <row r="344" spans="1:12" x14ac:dyDescent="0.3">
      <c r="A344" t="str">
        <f>IF('Raw Enrollments'!A344="","",'Raw Enrollments'!A344)</f>
        <v/>
      </c>
      <c r="B344" t="str">
        <f>IF(A344="","",'Raw Enrollments'!B344)</f>
        <v/>
      </c>
      <c r="C344" t="str">
        <f>IF(A344="","",'Raw Enrollments'!C344)</f>
        <v/>
      </c>
      <c r="D344" t="str">
        <f>IF(A344="","",'Raw Enrollments'!E344)</f>
        <v/>
      </c>
      <c r="E344" t="str">
        <f>IF('Raw Payments'!A344="","",'Raw Payments'!A344)</f>
        <v/>
      </c>
      <c r="F344" t="str">
        <f>IF(E344="","",'Raw Payments'!B344)</f>
        <v/>
      </c>
      <c r="G344" t="str">
        <f>IF(E344="","",'Raw Payments'!F344)</f>
        <v/>
      </c>
      <c r="H344" t="str">
        <f>IF(E344="","",'Raw Payments'!H344)</f>
        <v/>
      </c>
      <c r="I344" t="str">
        <f>IF(E344="","",'Raw Payments'!I344)</f>
        <v/>
      </c>
      <c r="J344" t="str">
        <f>IF(A344="","",IF(COUNTIF('Raw Payments'!$C:$C,A344)&gt;0,"Payment Linked","No Payment"))</f>
        <v/>
      </c>
      <c r="K344" t="str">
        <f>IF(F344="","Missing Reference",IF(COUNTIF('Raw Payments'!$B:$B,F344)&gt;1,"Possible Duplicate","Reference Present"))</f>
        <v>Missing Reference</v>
      </c>
      <c r="L344" t="str">
        <f t="shared" si="5"/>
        <v/>
      </c>
    </row>
    <row r="345" spans="1:12" x14ac:dyDescent="0.3">
      <c r="A345" t="str">
        <f>IF('Raw Enrollments'!A345="","",'Raw Enrollments'!A345)</f>
        <v/>
      </c>
      <c r="B345" t="str">
        <f>IF(A345="","",'Raw Enrollments'!B345)</f>
        <v/>
      </c>
      <c r="C345" t="str">
        <f>IF(A345="","",'Raw Enrollments'!C345)</f>
        <v/>
      </c>
      <c r="D345" t="str">
        <f>IF(A345="","",'Raw Enrollments'!E345)</f>
        <v/>
      </c>
      <c r="E345" t="str">
        <f>IF('Raw Payments'!A345="","",'Raw Payments'!A345)</f>
        <v/>
      </c>
      <c r="F345" t="str">
        <f>IF(E345="","",'Raw Payments'!B345)</f>
        <v/>
      </c>
      <c r="G345" t="str">
        <f>IF(E345="","",'Raw Payments'!F345)</f>
        <v/>
      </c>
      <c r="H345" t="str">
        <f>IF(E345="","",'Raw Payments'!H345)</f>
        <v/>
      </c>
      <c r="I345" t="str">
        <f>IF(E345="","",'Raw Payments'!I345)</f>
        <v/>
      </c>
      <c r="J345" t="str">
        <f>IF(A345="","",IF(COUNTIF('Raw Payments'!$C:$C,A345)&gt;0,"Payment Linked","No Payment"))</f>
        <v/>
      </c>
      <c r="K345" t="str">
        <f>IF(F345="","Missing Reference",IF(COUNTIF('Raw Payments'!$B:$B,F345)&gt;1,"Possible Duplicate","Reference Present"))</f>
        <v>Missing Reference</v>
      </c>
      <c r="L345" t="str">
        <f t="shared" si="5"/>
        <v/>
      </c>
    </row>
    <row r="346" spans="1:12" x14ac:dyDescent="0.3">
      <c r="A346" t="str">
        <f>IF('Raw Enrollments'!A346="","",'Raw Enrollments'!A346)</f>
        <v/>
      </c>
      <c r="B346" t="str">
        <f>IF(A346="","",'Raw Enrollments'!B346)</f>
        <v/>
      </c>
      <c r="C346" t="str">
        <f>IF(A346="","",'Raw Enrollments'!C346)</f>
        <v/>
      </c>
      <c r="D346" t="str">
        <f>IF(A346="","",'Raw Enrollments'!E346)</f>
        <v/>
      </c>
      <c r="E346" t="str">
        <f>IF('Raw Payments'!A346="","",'Raw Payments'!A346)</f>
        <v/>
      </c>
      <c r="F346" t="str">
        <f>IF(E346="","",'Raw Payments'!B346)</f>
        <v/>
      </c>
      <c r="G346" t="str">
        <f>IF(E346="","",'Raw Payments'!F346)</f>
        <v/>
      </c>
      <c r="H346" t="str">
        <f>IF(E346="","",'Raw Payments'!H346)</f>
        <v/>
      </c>
      <c r="I346" t="str">
        <f>IF(E346="","",'Raw Payments'!I346)</f>
        <v/>
      </c>
      <c r="J346" t="str">
        <f>IF(A346="","",IF(COUNTIF('Raw Payments'!$C:$C,A346)&gt;0,"Payment Linked","No Payment"))</f>
        <v/>
      </c>
      <c r="K346" t="str">
        <f>IF(F346="","Missing Reference",IF(COUNTIF('Raw Payments'!$B:$B,F346)&gt;1,"Possible Duplicate","Reference Present"))</f>
        <v>Missing Reference</v>
      </c>
      <c r="L346" t="str">
        <f t="shared" si="5"/>
        <v/>
      </c>
    </row>
    <row r="347" spans="1:12" x14ac:dyDescent="0.3">
      <c r="A347" t="str">
        <f>IF('Raw Enrollments'!A347="","",'Raw Enrollments'!A347)</f>
        <v/>
      </c>
      <c r="B347" t="str">
        <f>IF(A347="","",'Raw Enrollments'!B347)</f>
        <v/>
      </c>
      <c r="C347" t="str">
        <f>IF(A347="","",'Raw Enrollments'!C347)</f>
        <v/>
      </c>
      <c r="D347" t="str">
        <f>IF(A347="","",'Raw Enrollments'!E347)</f>
        <v/>
      </c>
      <c r="E347" t="str">
        <f>IF('Raw Payments'!A347="","",'Raw Payments'!A347)</f>
        <v/>
      </c>
      <c r="F347" t="str">
        <f>IF(E347="","",'Raw Payments'!B347)</f>
        <v/>
      </c>
      <c r="G347" t="str">
        <f>IF(E347="","",'Raw Payments'!F347)</f>
        <v/>
      </c>
      <c r="H347" t="str">
        <f>IF(E347="","",'Raw Payments'!H347)</f>
        <v/>
      </c>
      <c r="I347" t="str">
        <f>IF(E347="","",'Raw Payments'!I347)</f>
        <v/>
      </c>
      <c r="J347" t="str">
        <f>IF(A347="","",IF(COUNTIF('Raw Payments'!$C:$C,A347)&gt;0,"Payment Linked","No Payment"))</f>
        <v/>
      </c>
      <c r="K347" t="str">
        <f>IF(F347="","Missing Reference",IF(COUNTIF('Raw Payments'!$B:$B,F347)&gt;1,"Possible Duplicate","Reference Present"))</f>
        <v>Missing Reference</v>
      </c>
      <c r="L347" t="str">
        <f t="shared" si="5"/>
        <v/>
      </c>
    </row>
    <row r="348" spans="1:12" x14ac:dyDescent="0.3">
      <c r="A348" t="str">
        <f>IF('Raw Enrollments'!A348="","",'Raw Enrollments'!A348)</f>
        <v/>
      </c>
      <c r="B348" t="str">
        <f>IF(A348="","",'Raw Enrollments'!B348)</f>
        <v/>
      </c>
      <c r="C348" t="str">
        <f>IF(A348="","",'Raw Enrollments'!C348)</f>
        <v/>
      </c>
      <c r="D348" t="str">
        <f>IF(A348="","",'Raw Enrollments'!E348)</f>
        <v/>
      </c>
      <c r="E348" t="str">
        <f>IF('Raw Payments'!A348="","",'Raw Payments'!A348)</f>
        <v/>
      </c>
      <c r="F348" t="str">
        <f>IF(E348="","",'Raw Payments'!B348)</f>
        <v/>
      </c>
      <c r="G348" t="str">
        <f>IF(E348="","",'Raw Payments'!F348)</f>
        <v/>
      </c>
      <c r="H348" t="str">
        <f>IF(E348="","",'Raw Payments'!H348)</f>
        <v/>
      </c>
      <c r="I348" t="str">
        <f>IF(E348="","",'Raw Payments'!I348)</f>
        <v/>
      </c>
      <c r="J348" t="str">
        <f>IF(A348="","",IF(COUNTIF('Raw Payments'!$C:$C,A348)&gt;0,"Payment Linked","No Payment"))</f>
        <v/>
      </c>
      <c r="K348" t="str">
        <f>IF(F348="","Missing Reference",IF(COUNTIF('Raw Payments'!$B:$B,F348)&gt;1,"Possible Duplicate","Reference Present"))</f>
        <v>Missing Reference</v>
      </c>
      <c r="L348" t="str">
        <f t="shared" si="5"/>
        <v/>
      </c>
    </row>
    <row r="349" spans="1:12" x14ac:dyDescent="0.3">
      <c r="A349" t="str">
        <f>IF('Raw Enrollments'!A349="","",'Raw Enrollments'!A349)</f>
        <v/>
      </c>
      <c r="B349" t="str">
        <f>IF(A349="","",'Raw Enrollments'!B349)</f>
        <v/>
      </c>
      <c r="C349" t="str">
        <f>IF(A349="","",'Raw Enrollments'!C349)</f>
        <v/>
      </c>
      <c r="D349" t="str">
        <f>IF(A349="","",'Raw Enrollments'!E349)</f>
        <v/>
      </c>
      <c r="E349" t="str">
        <f>IF('Raw Payments'!A349="","",'Raw Payments'!A349)</f>
        <v/>
      </c>
      <c r="F349" t="str">
        <f>IF(E349="","",'Raw Payments'!B349)</f>
        <v/>
      </c>
      <c r="G349" t="str">
        <f>IF(E349="","",'Raw Payments'!F349)</f>
        <v/>
      </c>
      <c r="H349" t="str">
        <f>IF(E349="","",'Raw Payments'!H349)</f>
        <v/>
      </c>
      <c r="I349" t="str">
        <f>IF(E349="","",'Raw Payments'!I349)</f>
        <v/>
      </c>
      <c r="J349" t="str">
        <f>IF(A349="","",IF(COUNTIF('Raw Payments'!$C:$C,A349)&gt;0,"Payment Linked","No Payment"))</f>
        <v/>
      </c>
      <c r="K349" t="str">
        <f>IF(F349="","Missing Reference",IF(COUNTIF('Raw Payments'!$B:$B,F349)&gt;1,"Possible Duplicate","Reference Present"))</f>
        <v>Missing Reference</v>
      </c>
      <c r="L349" t="str">
        <f t="shared" si="5"/>
        <v/>
      </c>
    </row>
    <row r="350" spans="1:12" x14ac:dyDescent="0.3">
      <c r="A350" t="str">
        <f>IF('Raw Enrollments'!A350="","",'Raw Enrollments'!A350)</f>
        <v/>
      </c>
      <c r="B350" t="str">
        <f>IF(A350="","",'Raw Enrollments'!B350)</f>
        <v/>
      </c>
      <c r="C350" t="str">
        <f>IF(A350="","",'Raw Enrollments'!C350)</f>
        <v/>
      </c>
      <c r="D350" t="str">
        <f>IF(A350="","",'Raw Enrollments'!E350)</f>
        <v/>
      </c>
      <c r="E350" t="str">
        <f>IF('Raw Payments'!A350="","",'Raw Payments'!A350)</f>
        <v/>
      </c>
      <c r="F350" t="str">
        <f>IF(E350="","",'Raw Payments'!B350)</f>
        <v/>
      </c>
      <c r="G350" t="str">
        <f>IF(E350="","",'Raw Payments'!F350)</f>
        <v/>
      </c>
      <c r="H350" t="str">
        <f>IF(E350="","",'Raw Payments'!H350)</f>
        <v/>
      </c>
      <c r="I350" t="str">
        <f>IF(E350="","",'Raw Payments'!I350)</f>
        <v/>
      </c>
      <c r="J350" t="str">
        <f>IF(A350="","",IF(COUNTIF('Raw Payments'!$C:$C,A350)&gt;0,"Payment Linked","No Payment"))</f>
        <v/>
      </c>
      <c r="K350" t="str">
        <f>IF(F350="","Missing Reference",IF(COUNTIF('Raw Payments'!$B:$B,F350)&gt;1,"Possible Duplicate","Reference Present"))</f>
        <v>Missing Reference</v>
      </c>
      <c r="L350" t="str">
        <f t="shared" si="5"/>
        <v/>
      </c>
    </row>
    <row r="351" spans="1:12" x14ac:dyDescent="0.3">
      <c r="A351" t="str">
        <f>IF('Raw Enrollments'!A351="","",'Raw Enrollments'!A351)</f>
        <v/>
      </c>
      <c r="B351" t="str">
        <f>IF(A351="","",'Raw Enrollments'!B351)</f>
        <v/>
      </c>
      <c r="C351" t="str">
        <f>IF(A351="","",'Raw Enrollments'!C351)</f>
        <v/>
      </c>
      <c r="D351" t="str">
        <f>IF(A351="","",'Raw Enrollments'!E351)</f>
        <v/>
      </c>
      <c r="E351" t="str">
        <f>IF('Raw Payments'!A351="","",'Raw Payments'!A351)</f>
        <v/>
      </c>
      <c r="F351" t="str">
        <f>IF(E351="","",'Raw Payments'!B351)</f>
        <v/>
      </c>
      <c r="G351" t="str">
        <f>IF(E351="","",'Raw Payments'!F351)</f>
        <v/>
      </c>
      <c r="H351" t="str">
        <f>IF(E351="","",'Raw Payments'!H351)</f>
        <v/>
      </c>
      <c r="I351" t="str">
        <f>IF(E351="","",'Raw Payments'!I351)</f>
        <v/>
      </c>
      <c r="J351" t="str">
        <f>IF(A351="","",IF(COUNTIF('Raw Payments'!$C:$C,A351)&gt;0,"Payment Linked","No Payment"))</f>
        <v/>
      </c>
      <c r="K351" t="str">
        <f>IF(F351="","Missing Reference",IF(COUNTIF('Raw Payments'!$B:$B,F351)&gt;1,"Possible Duplicate","Reference Present"))</f>
        <v>Missing Reference</v>
      </c>
      <c r="L351" t="str">
        <f t="shared" si="5"/>
        <v/>
      </c>
    </row>
    <row r="352" spans="1:12" x14ac:dyDescent="0.3">
      <c r="A352" t="str">
        <f>IF('Raw Enrollments'!A352="","",'Raw Enrollments'!A352)</f>
        <v/>
      </c>
      <c r="B352" t="str">
        <f>IF(A352="","",'Raw Enrollments'!B352)</f>
        <v/>
      </c>
      <c r="C352" t="str">
        <f>IF(A352="","",'Raw Enrollments'!C352)</f>
        <v/>
      </c>
      <c r="D352" t="str">
        <f>IF(A352="","",'Raw Enrollments'!E352)</f>
        <v/>
      </c>
      <c r="E352" t="str">
        <f>IF('Raw Payments'!A352="","",'Raw Payments'!A352)</f>
        <v/>
      </c>
      <c r="F352" t="str">
        <f>IF(E352="","",'Raw Payments'!B352)</f>
        <v/>
      </c>
      <c r="G352" t="str">
        <f>IF(E352="","",'Raw Payments'!F352)</f>
        <v/>
      </c>
      <c r="H352" t="str">
        <f>IF(E352="","",'Raw Payments'!H352)</f>
        <v/>
      </c>
      <c r="I352" t="str">
        <f>IF(E352="","",'Raw Payments'!I352)</f>
        <v/>
      </c>
      <c r="J352" t="str">
        <f>IF(A352="","",IF(COUNTIF('Raw Payments'!$C:$C,A352)&gt;0,"Payment Linked","No Payment"))</f>
        <v/>
      </c>
      <c r="K352" t="str">
        <f>IF(F352="","Missing Reference",IF(COUNTIF('Raw Payments'!$B:$B,F352)&gt;1,"Possible Duplicate","Reference Present"))</f>
        <v>Missing Reference</v>
      </c>
      <c r="L352" t="str">
        <f t="shared" si="5"/>
        <v/>
      </c>
    </row>
    <row r="353" spans="1:12" x14ac:dyDescent="0.3">
      <c r="A353" t="str">
        <f>IF('Raw Enrollments'!A353="","",'Raw Enrollments'!A353)</f>
        <v/>
      </c>
      <c r="B353" t="str">
        <f>IF(A353="","",'Raw Enrollments'!B353)</f>
        <v/>
      </c>
      <c r="C353" t="str">
        <f>IF(A353="","",'Raw Enrollments'!C353)</f>
        <v/>
      </c>
      <c r="D353" t="str">
        <f>IF(A353="","",'Raw Enrollments'!E353)</f>
        <v/>
      </c>
      <c r="E353" t="str">
        <f>IF('Raw Payments'!A353="","",'Raw Payments'!A353)</f>
        <v/>
      </c>
      <c r="F353" t="str">
        <f>IF(E353="","",'Raw Payments'!B353)</f>
        <v/>
      </c>
      <c r="G353" t="str">
        <f>IF(E353="","",'Raw Payments'!F353)</f>
        <v/>
      </c>
      <c r="H353" t="str">
        <f>IF(E353="","",'Raw Payments'!H353)</f>
        <v/>
      </c>
      <c r="I353" t="str">
        <f>IF(E353="","",'Raw Payments'!I353)</f>
        <v/>
      </c>
      <c r="J353" t="str">
        <f>IF(A353="","",IF(COUNTIF('Raw Payments'!$C:$C,A353)&gt;0,"Payment Linked","No Payment"))</f>
        <v/>
      </c>
      <c r="K353" t="str">
        <f>IF(F353="","Missing Reference",IF(COUNTIF('Raw Payments'!$B:$B,F353)&gt;1,"Possible Duplicate","Reference Present"))</f>
        <v>Missing Reference</v>
      </c>
      <c r="L353" t="str">
        <f t="shared" si="5"/>
        <v/>
      </c>
    </row>
    <row r="354" spans="1:12" x14ac:dyDescent="0.3">
      <c r="A354" t="str">
        <f>IF('Raw Enrollments'!A354="","",'Raw Enrollments'!A354)</f>
        <v/>
      </c>
      <c r="B354" t="str">
        <f>IF(A354="","",'Raw Enrollments'!B354)</f>
        <v/>
      </c>
      <c r="C354" t="str">
        <f>IF(A354="","",'Raw Enrollments'!C354)</f>
        <v/>
      </c>
      <c r="D354" t="str">
        <f>IF(A354="","",'Raw Enrollments'!E354)</f>
        <v/>
      </c>
      <c r="E354" t="str">
        <f>IF('Raw Payments'!A354="","",'Raw Payments'!A354)</f>
        <v/>
      </c>
      <c r="F354" t="str">
        <f>IF(E354="","",'Raw Payments'!B354)</f>
        <v/>
      </c>
      <c r="G354" t="str">
        <f>IF(E354="","",'Raw Payments'!F354)</f>
        <v/>
      </c>
      <c r="H354" t="str">
        <f>IF(E354="","",'Raw Payments'!H354)</f>
        <v/>
      </c>
      <c r="I354" t="str">
        <f>IF(E354="","",'Raw Payments'!I354)</f>
        <v/>
      </c>
      <c r="J354" t="str">
        <f>IF(A354="","",IF(COUNTIF('Raw Payments'!$C:$C,A354)&gt;0,"Payment Linked","No Payment"))</f>
        <v/>
      </c>
      <c r="K354" t="str">
        <f>IF(F354="","Missing Reference",IF(COUNTIF('Raw Payments'!$B:$B,F354)&gt;1,"Possible Duplicate","Reference Present"))</f>
        <v>Missing Reference</v>
      </c>
      <c r="L354" t="str">
        <f t="shared" si="5"/>
        <v/>
      </c>
    </row>
    <row r="355" spans="1:12" x14ac:dyDescent="0.3">
      <c r="A355" t="str">
        <f>IF('Raw Enrollments'!A355="","",'Raw Enrollments'!A355)</f>
        <v/>
      </c>
      <c r="B355" t="str">
        <f>IF(A355="","",'Raw Enrollments'!B355)</f>
        <v/>
      </c>
      <c r="C355" t="str">
        <f>IF(A355="","",'Raw Enrollments'!C355)</f>
        <v/>
      </c>
      <c r="D355" t="str">
        <f>IF(A355="","",'Raw Enrollments'!E355)</f>
        <v/>
      </c>
      <c r="E355" t="str">
        <f>IF('Raw Payments'!A355="","",'Raw Payments'!A355)</f>
        <v/>
      </c>
      <c r="F355" t="str">
        <f>IF(E355="","",'Raw Payments'!B355)</f>
        <v/>
      </c>
      <c r="G355" t="str">
        <f>IF(E355="","",'Raw Payments'!F355)</f>
        <v/>
      </c>
      <c r="H355" t="str">
        <f>IF(E355="","",'Raw Payments'!H355)</f>
        <v/>
      </c>
      <c r="I355" t="str">
        <f>IF(E355="","",'Raw Payments'!I355)</f>
        <v/>
      </c>
      <c r="J355" t="str">
        <f>IF(A355="","",IF(COUNTIF('Raw Payments'!$C:$C,A355)&gt;0,"Payment Linked","No Payment"))</f>
        <v/>
      </c>
      <c r="K355" t="str">
        <f>IF(F355="","Missing Reference",IF(COUNTIF('Raw Payments'!$B:$B,F355)&gt;1,"Possible Duplicate","Reference Present"))</f>
        <v>Missing Reference</v>
      </c>
      <c r="L355" t="str">
        <f t="shared" si="5"/>
        <v/>
      </c>
    </row>
    <row r="356" spans="1:12" x14ac:dyDescent="0.3">
      <c r="A356" t="str">
        <f>IF('Raw Enrollments'!A356="","",'Raw Enrollments'!A356)</f>
        <v/>
      </c>
      <c r="B356" t="str">
        <f>IF(A356="","",'Raw Enrollments'!B356)</f>
        <v/>
      </c>
      <c r="C356" t="str">
        <f>IF(A356="","",'Raw Enrollments'!C356)</f>
        <v/>
      </c>
      <c r="D356" t="str">
        <f>IF(A356="","",'Raw Enrollments'!E356)</f>
        <v/>
      </c>
      <c r="E356" t="str">
        <f>IF('Raw Payments'!A356="","",'Raw Payments'!A356)</f>
        <v/>
      </c>
      <c r="F356" t="str">
        <f>IF(E356="","",'Raw Payments'!B356)</f>
        <v/>
      </c>
      <c r="G356" t="str">
        <f>IF(E356="","",'Raw Payments'!F356)</f>
        <v/>
      </c>
      <c r="H356" t="str">
        <f>IF(E356="","",'Raw Payments'!H356)</f>
        <v/>
      </c>
      <c r="I356" t="str">
        <f>IF(E356="","",'Raw Payments'!I356)</f>
        <v/>
      </c>
      <c r="J356" t="str">
        <f>IF(A356="","",IF(COUNTIF('Raw Payments'!$C:$C,A356)&gt;0,"Payment Linked","No Payment"))</f>
        <v/>
      </c>
      <c r="K356" t="str">
        <f>IF(F356="","Missing Reference",IF(COUNTIF('Raw Payments'!$B:$B,F356)&gt;1,"Possible Duplicate","Reference Present"))</f>
        <v>Missing Reference</v>
      </c>
      <c r="L356" t="str">
        <f t="shared" si="5"/>
        <v/>
      </c>
    </row>
    <row r="357" spans="1:12" x14ac:dyDescent="0.3">
      <c r="A357" t="str">
        <f>IF('Raw Enrollments'!A357="","",'Raw Enrollments'!A357)</f>
        <v/>
      </c>
      <c r="B357" t="str">
        <f>IF(A357="","",'Raw Enrollments'!B357)</f>
        <v/>
      </c>
      <c r="C357" t="str">
        <f>IF(A357="","",'Raw Enrollments'!C357)</f>
        <v/>
      </c>
      <c r="D357" t="str">
        <f>IF(A357="","",'Raw Enrollments'!E357)</f>
        <v/>
      </c>
      <c r="E357" t="str">
        <f>IF('Raw Payments'!A357="","",'Raw Payments'!A357)</f>
        <v/>
      </c>
      <c r="F357" t="str">
        <f>IF(E357="","",'Raw Payments'!B357)</f>
        <v/>
      </c>
      <c r="G357" t="str">
        <f>IF(E357="","",'Raw Payments'!F357)</f>
        <v/>
      </c>
      <c r="H357" t="str">
        <f>IF(E357="","",'Raw Payments'!H357)</f>
        <v/>
      </c>
      <c r="I357" t="str">
        <f>IF(E357="","",'Raw Payments'!I357)</f>
        <v/>
      </c>
      <c r="J357" t="str">
        <f>IF(A357="","",IF(COUNTIF('Raw Payments'!$C:$C,A357)&gt;0,"Payment Linked","No Payment"))</f>
        <v/>
      </c>
      <c r="K357" t="str">
        <f>IF(F357="","Missing Reference",IF(COUNTIF('Raw Payments'!$B:$B,F357)&gt;1,"Possible Duplicate","Reference Present"))</f>
        <v>Missing Reference</v>
      </c>
      <c r="L357" t="str">
        <f t="shared" si="5"/>
        <v/>
      </c>
    </row>
    <row r="358" spans="1:12" x14ac:dyDescent="0.3">
      <c r="A358" t="str">
        <f>IF('Raw Enrollments'!A358="","",'Raw Enrollments'!A358)</f>
        <v/>
      </c>
      <c r="B358" t="str">
        <f>IF(A358="","",'Raw Enrollments'!B358)</f>
        <v/>
      </c>
      <c r="C358" t="str">
        <f>IF(A358="","",'Raw Enrollments'!C358)</f>
        <v/>
      </c>
      <c r="D358" t="str">
        <f>IF(A358="","",'Raw Enrollments'!E358)</f>
        <v/>
      </c>
      <c r="E358" t="str">
        <f>IF('Raw Payments'!A358="","",'Raw Payments'!A358)</f>
        <v/>
      </c>
      <c r="F358" t="str">
        <f>IF(E358="","",'Raw Payments'!B358)</f>
        <v/>
      </c>
      <c r="G358" t="str">
        <f>IF(E358="","",'Raw Payments'!F358)</f>
        <v/>
      </c>
      <c r="H358" t="str">
        <f>IF(E358="","",'Raw Payments'!H358)</f>
        <v/>
      </c>
      <c r="I358" t="str">
        <f>IF(E358="","",'Raw Payments'!I358)</f>
        <v/>
      </c>
      <c r="J358" t="str">
        <f>IF(A358="","",IF(COUNTIF('Raw Payments'!$C:$C,A358)&gt;0,"Payment Linked","No Payment"))</f>
        <v/>
      </c>
      <c r="K358" t="str">
        <f>IF(F358="","Missing Reference",IF(COUNTIF('Raw Payments'!$B:$B,F358)&gt;1,"Possible Duplicate","Reference Present"))</f>
        <v>Missing Reference</v>
      </c>
      <c r="L358" t="str">
        <f t="shared" si="5"/>
        <v/>
      </c>
    </row>
    <row r="359" spans="1:12" x14ac:dyDescent="0.3">
      <c r="A359" t="str">
        <f>IF('Raw Enrollments'!A359="","",'Raw Enrollments'!A359)</f>
        <v/>
      </c>
      <c r="B359" t="str">
        <f>IF(A359="","",'Raw Enrollments'!B359)</f>
        <v/>
      </c>
      <c r="C359" t="str">
        <f>IF(A359="","",'Raw Enrollments'!C359)</f>
        <v/>
      </c>
      <c r="D359" t="str">
        <f>IF(A359="","",'Raw Enrollments'!E359)</f>
        <v/>
      </c>
      <c r="E359" t="str">
        <f>IF('Raw Payments'!A359="","",'Raw Payments'!A359)</f>
        <v/>
      </c>
      <c r="F359" t="str">
        <f>IF(E359="","",'Raw Payments'!B359)</f>
        <v/>
      </c>
      <c r="G359" t="str">
        <f>IF(E359="","",'Raw Payments'!F359)</f>
        <v/>
      </c>
      <c r="H359" t="str">
        <f>IF(E359="","",'Raw Payments'!H359)</f>
        <v/>
      </c>
      <c r="I359" t="str">
        <f>IF(E359="","",'Raw Payments'!I359)</f>
        <v/>
      </c>
      <c r="J359" t="str">
        <f>IF(A359="","",IF(COUNTIF('Raw Payments'!$C:$C,A359)&gt;0,"Payment Linked","No Payment"))</f>
        <v/>
      </c>
      <c r="K359" t="str">
        <f>IF(F359="","Missing Reference",IF(COUNTIF('Raw Payments'!$B:$B,F359)&gt;1,"Possible Duplicate","Reference Present"))</f>
        <v>Missing Reference</v>
      </c>
      <c r="L359" t="str">
        <f t="shared" si="5"/>
        <v/>
      </c>
    </row>
    <row r="360" spans="1:12" x14ac:dyDescent="0.3">
      <c r="A360" t="str">
        <f>IF('Raw Enrollments'!A360="","",'Raw Enrollments'!A360)</f>
        <v/>
      </c>
      <c r="B360" t="str">
        <f>IF(A360="","",'Raw Enrollments'!B360)</f>
        <v/>
      </c>
      <c r="C360" t="str">
        <f>IF(A360="","",'Raw Enrollments'!C360)</f>
        <v/>
      </c>
      <c r="D360" t="str">
        <f>IF(A360="","",'Raw Enrollments'!E360)</f>
        <v/>
      </c>
      <c r="E360" t="str">
        <f>IF('Raw Payments'!A360="","",'Raw Payments'!A360)</f>
        <v/>
      </c>
      <c r="F360" t="str">
        <f>IF(E360="","",'Raw Payments'!B360)</f>
        <v/>
      </c>
      <c r="G360" t="str">
        <f>IF(E360="","",'Raw Payments'!F360)</f>
        <v/>
      </c>
      <c r="H360" t="str">
        <f>IF(E360="","",'Raw Payments'!H360)</f>
        <v/>
      </c>
      <c r="I360" t="str">
        <f>IF(E360="","",'Raw Payments'!I360)</f>
        <v/>
      </c>
      <c r="J360" t="str">
        <f>IF(A360="","",IF(COUNTIF('Raw Payments'!$C:$C,A360)&gt;0,"Payment Linked","No Payment"))</f>
        <v/>
      </c>
      <c r="K360" t="str">
        <f>IF(F360="","Missing Reference",IF(COUNTIF('Raw Payments'!$B:$B,F360)&gt;1,"Possible Duplicate","Reference Present"))</f>
        <v>Missing Reference</v>
      </c>
      <c r="L360" t="str">
        <f t="shared" si="5"/>
        <v/>
      </c>
    </row>
    <row r="361" spans="1:12" x14ac:dyDescent="0.3">
      <c r="A361" t="str">
        <f>IF('Raw Enrollments'!A361="","",'Raw Enrollments'!A361)</f>
        <v/>
      </c>
      <c r="B361" t="str">
        <f>IF(A361="","",'Raw Enrollments'!B361)</f>
        <v/>
      </c>
      <c r="C361" t="str">
        <f>IF(A361="","",'Raw Enrollments'!C361)</f>
        <v/>
      </c>
      <c r="D361" t="str">
        <f>IF(A361="","",'Raw Enrollments'!E361)</f>
        <v/>
      </c>
      <c r="E361" t="str">
        <f>IF('Raw Payments'!A361="","",'Raw Payments'!A361)</f>
        <v/>
      </c>
      <c r="F361" t="str">
        <f>IF(E361="","",'Raw Payments'!B361)</f>
        <v/>
      </c>
      <c r="G361" t="str">
        <f>IF(E361="","",'Raw Payments'!F361)</f>
        <v/>
      </c>
      <c r="H361" t="str">
        <f>IF(E361="","",'Raw Payments'!H361)</f>
        <v/>
      </c>
      <c r="I361" t="str">
        <f>IF(E361="","",'Raw Payments'!I361)</f>
        <v/>
      </c>
      <c r="J361" t="str">
        <f>IF(A361="","",IF(COUNTIF('Raw Payments'!$C:$C,A361)&gt;0,"Payment Linked","No Payment"))</f>
        <v/>
      </c>
      <c r="K361" t="str">
        <f>IF(F361="","Missing Reference",IF(COUNTIF('Raw Payments'!$B:$B,F361)&gt;1,"Possible Duplicate","Reference Present"))</f>
        <v>Missing Reference</v>
      </c>
      <c r="L361" t="str">
        <f t="shared" si="5"/>
        <v/>
      </c>
    </row>
    <row r="362" spans="1:12" x14ac:dyDescent="0.3">
      <c r="A362" t="str">
        <f>IF('Raw Enrollments'!A362="","",'Raw Enrollments'!A362)</f>
        <v/>
      </c>
      <c r="B362" t="str">
        <f>IF(A362="","",'Raw Enrollments'!B362)</f>
        <v/>
      </c>
      <c r="C362" t="str">
        <f>IF(A362="","",'Raw Enrollments'!C362)</f>
        <v/>
      </c>
      <c r="D362" t="str">
        <f>IF(A362="","",'Raw Enrollments'!E362)</f>
        <v/>
      </c>
      <c r="E362" t="str">
        <f>IF('Raw Payments'!A362="","",'Raw Payments'!A362)</f>
        <v/>
      </c>
      <c r="F362" t="str">
        <f>IF(E362="","",'Raw Payments'!B362)</f>
        <v/>
      </c>
      <c r="G362" t="str">
        <f>IF(E362="","",'Raw Payments'!F362)</f>
        <v/>
      </c>
      <c r="H362" t="str">
        <f>IF(E362="","",'Raw Payments'!H362)</f>
        <v/>
      </c>
      <c r="I362" t="str">
        <f>IF(E362="","",'Raw Payments'!I362)</f>
        <v/>
      </c>
      <c r="J362" t="str">
        <f>IF(A362="","",IF(COUNTIF('Raw Payments'!$C:$C,A362)&gt;0,"Payment Linked","No Payment"))</f>
        <v/>
      </c>
      <c r="K362" t="str">
        <f>IF(F362="","Missing Reference",IF(COUNTIF('Raw Payments'!$B:$B,F362)&gt;1,"Possible Duplicate","Reference Present"))</f>
        <v>Missing Reference</v>
      </c>
      <c r="L362" t="str">
        <f t="shared" si="5"/>
        <v/>
      </c>
    </row>
    <row r="363" spans="1:12" x14ac:dyDescent="0.3">
      <c r="A363" t="str">
        <f>IF('Raw Enrollments'!A363="","",'Raw Enrollments'!A363)</f>
        <v/>
      </c>
      <c r="B363" t="str">
        <f>IF(A363="","",'Raw Enrollments'!B363)</f>
        <v/>
      </c>
      <c r="C363" t="str">
        <f>IF(A363="","",'Raw Enrollments'!C363)</f>
        <v/>
      </c>
      <c r="D363" t="str">
        <f>IF(A363="","",'Raw Enrollments'!E363)</f>
        <v/>
      </c>
      <c r="E363" t="str">
        <f>IF('Raw Payments'!A363="","",'Raw Payments'!A363)</f>
        <v/>
      </c>
      <c r="F363" t="str">
        <f>IF(E363="","",'Raw Payments'!B363)</f>
        <v/>
      </c>
      <c r="G363" t="str">
        <f>IF(E363="","",'Raw Payments'!F363)</f>
        <v/>
      </c>
      <c r="H363" t="str">
        <f>IF(E363="","",'Raw Payments'!H363)</f>
        <v/>
      </c>
      <c r="I363" t="str">
        <f>IF(E363="","",'Raw Payments'!I363)</f>
        <v/>
      </c>
      <c r="J363" t="str">
        <f>IF(A363="","",IF(COUNTIF('Raw Payments'!$C:$C,A363)&gt;0,"Payment Linked","No Payment"))</f>
        <v/>
      </c>
      <c r="K363" t="str">
        <f>IF(F363="","Missing Reference",IF(COUNTIF('Raw Payments'!$B:$B,F363)&gt;1,"Possible Duplicate","Reference Present"))</f>
        <v>Missing Reference</v>
      </c>
      <c r="L363" t="str">
        <f t="shared" si="5"/>
        <v/>
      </c>
    </row>
    <row r="364" spans="1:12" x14ac:dyDescent="0.3">
      <c r="A364" t="str">
        <f>IF('Raw Enrollments'!A364="","",'Raw Enrollments'!A364)</f>
        <v/>
      </c>
      <c r="B364" t="str">
        <f>IF(A364="","",'Raw Enrollments'!B364)</f>
        <v/>
      </c>
      <c r="C364" t="str">
        <f>IF(A364="","",'Raw Enrollments'!C364)</f>
        <v/>
      </c>
      <c r="D364" t="str">
        <f>IF(A364="","",'Raw Enrollments'!E364)</f>
        <v/>
      </c>
      <c r="E364" t="str">
        <f>IF('Raw Payments'!A364="","",'Raw Payments'!A364)</f>
        <v/>
      </c>
      <c r="F364" t="str">
        <f>IF(E364="","",'Raw Payments'!B364)</f>
        <v/>
      </c>
      <c r="G364" t="str">
        <f>IF(E364="","",'Raw Payments'!F364)</f>
        <v/>
      </c>
      <c r="H364" t="str">
        <f>IF(E364="","",'Raw Payments'!H364)</f>
        <v/>
      </c>
      <c r="I364" t="str">
        <f>IF(E364="","",'Raw Payments'!I364)</f>
        <v/>
      </c>
      <c r="J364" t="str">
        <f>IF(A364="","",IF(COUNTIF('Raw Payments'!$C:$C,A364)&gt;0,"Payment Linked","No Payment"))</f>
        <v/>
      </c>
      <c r="K364" t="str">
        <f>IF(F364="","Missing Reference",IF(COUNTIF('Raw Payments'!$B:$B,F364)&gt;1,"Possible Duplicate","Reference Present"))</f>
        <v>Missing Reference</v>
      </c>
      <c r="L364" t="str">
        <f t="shared" si="5"/>
        <v/>
      </c>
    </row>
    <row r="365" spans="1:12" x14ac:dyDescent="0.3">
      <c r="A365" t="str">
        <f>IF('Raw Enrollments'!A365="","",'Raw Enrollments'!A365)</f>
        <v/>
      </c>
      <c r="B365" t="str">
        <f>IF(A365="","",'Raw Enrollments'!B365)</f>
        <v/>
      </c>
      <c r="C365" t="str">
        <f>IF(A365="","",'Raw Enrollments'!C365)</f>
        <v/>
      </c>
      <c r="D365" t="str">
        <f>IF(A365="","",'Raw Enrollments'!E365)</f>
        <v/>
      </c>
      <c r="E365" t="str">
        <f>IF('Raw Payments'!A365="","",'Raw Payments'!A365)</f>
        <v/>
      </c>
      <c r="F365" t="str">
        <f>IF(E365="","",'Raw Payments'!B365)</f>
        <v/>
      </c>
      <c r="G365" t="str">
        <f>IF(E365="","",'Raw Payments'!F365)</f>
        <v/>
      </c>
      <c r="H365" t="str">
        <f>IF(E365="","",'Raw Payments'!H365)</f>
        <v/>
      </c>
      <c r="I365" t="str">
        <f>IF(E365="","",'Raw Payments'!I365)</f>
        <v/>
      </c>
      <c r="J365" t="str">
        <f>IF(A365="","",IF(COUNTIF('Raw Payments'!$C:$C,A365)&gt;0,"Payment Linked","No Payment"))</f>
        <v/>
      </c>
      <c r="K365" t="str">
        <f>IF(F365="","Missing Reference",IF(COUNTIF('Raw Payments'!$B:$B,F365)&gt;1,"Possible Duplicate","Reference Present"))</f>
        <v>Missing Reference</v>
      </c>
      <c r="L365" t="str">
        <f t="shared" si="5"/>
        <v/>
      </c>
    </row>
    <row r="366" spans="1:12" x14ac:dyDescent="0.3">
      <c r="A366" t="str">
        <f>IF('Raw Enrollments'!A366="","",'Raw Enrollments'!A366)</f>
        <v/>
      </c>
      <c r="B366" t="str">
        <f>IF(A366="","",'Raw Enrollments'!B366)</f>
        <v/>
      </c>
      <c r="C366" t="str">
        <f>IF(A366="","",'Raw Enrollments'!C366)</f>
        <v/>
      </c>
      <c r="D366" t="str">
        <f>IF(A366="","",'Raw Enrollments'!E366)</f>
        <v/>
      </c>
      <c r="E366" t="str">
        <f>IF('Raw Payments'!A366="","",'Raw Payments'!A366)</f>
        <v/>
      </c>
      <c r="F366" t="str">
        <f>IF(E366="","",'Raw Payments'!B366)</f>
        <v/>
      </c>
      <c r="G366" t="str">
        <f>IF(E366="","",'Raw Payments'!F366)</f>
        <v/>
      </c>
      <c r="H366" t="str">
        <f>IF(E366="","",'Raw Payments'!H366)</f>
        <v/>
      </c>
      <c r="I366" t="str">
        <f>IF(E366="","",'Raw Payments'!I366)</f>
        <v/>
      </c>
      <c r="J366" t="str">
        <f>IF(A366="","",IF(COUNTIF('Raw Payments'!$C:$C,A366)&gt;0,"Payment Linked","No Payment"))</f>
        <v/>
      </c>
      <c r="K366" t="str">
        <f>IF(F366="","Missing Reference",IF(COUNTIF('Raw Payments'!$B:$B,F366)&gt;1,"Possible Duplicate","Reference Present"))</f>
        <v>Missing Reference</v>
      </c>
      <c r="L366" t="str">
        <f t="shared" si="5"/>
        <v/>
      </c>
    </row>
    <row r="367" spans="1:12" x14ac:dyDescent="0.3">
      <c r="A367" t="str">
        <f>IF('Raw Enrollments'!A367="","",'Raw Enrollments'!A367)</f>
        <v/>
      </c>
      <c r="B367" t="str">
        <f>IF(A367="","",'Raw Enrollments'!B367)</f>
        <v/>
      </c>
      <c r="C367" t="str">
        <f>IF(A367="","",'Raw Enrollments'!C367)</f>
        <v/>
      </c>
      <c r="D367" t="str">
        <f>IF(A367="","",'Raw Enrollments'!E367)</f>
        <v/>
      </c>
      <c r="E367" t="str">
        <f>IF('Raw Payments'!A367="","",'Raw Payments'!A367)</f>
        <v/>
      </c>
      <c r="F367" t="str">
        <f>IF(E367="","",'Raw Payments'!B367)</f>
        <v/>
      </c>
      <c r="G367" t="str">
        <f>IF(E367="","",'Raw Payments'!F367)</f>
        <v/>
      </c>
      <c r="H367" t="str">
        <f>IF(E367="","",'Raw Payments'!H367)</f>
        <v/>
      </c>
      <c r="I367" t="str">
        <f>IF(E367="","",'Raw Payments'!I367)</f>
        <v/>
      </c>
      <c r="J367" t="str">
        <f>IF(A367="","",IF(COUNTIF('Raw Payments'!$C:$C,A367)&gt;0,"Payment Linked","No Payment"))</f>
        <v/>
      </c>
      <c r="K367" t="str">
        <f>IF(F367="","Missing Reference",IF(COUNTIF('Raw Payments'!$B:$B,F367)&gt;1,"Possible Duplicate","Reference Present"))</f>
        <v>Missing Reference</v>
      </c>
      <c r="L367" t="str">
        <f t="shared" si="5"/>
        <v/>
      </c>
    </row>
    <row r="368" spans="1:12" x14ac:dyDescent="0.3">
      <c r="A368" t="str">
        <f>IF('Raw Enrollments'!A368="","",'Raw Enrollments'!A368)</f>
        <v/>
      </c>
      <c r="B368" t="str">
        <f>IF(A368="","",'Raw Enrollments'!B368)</f>
        <v/>
      </c>
      <c r="C368" t="str">
        <f>IF(A368="","",'Raw Enrollments'!C368)</f>
        <v/>
      </c>
      <c r="D368" t="str">
        <f>IF(A368="","",'Raw Enrollments'!E368)</f>
        <v/>
      </c>
      <c r="E368" t="str">
        <f>IF('Raw Payments'!A368="","",'Raw Payments'!A368)</f>
        <v/>
      </c>
      <c r="F368" t="str">
        <f>IF(E368="","",'Raw Payments'!B368)</f>
        <v/>
      </c>
      <c r="G368" t="str">
        <f>IF(E368="","",'Raw Payments'!F368)</f>
        <v/>
      </c>
      <c r="H368" t="str">
        <f>IF(E368="","",'Raw Payments'!H368)</f>
        <v/>
      </c>
      <c r="I368" t="str">
        <f>IF(E368="","",'Raw Payments'!I368)</f>
        <v/>
      </c>
      <c r="J368" t="str">
        <f>IF(A368="","",IF(COUNTIF('Raw Payments'!$C:$C,A368)&gt;0,"Payment Linked","No Payment"))</f>
        <v/>
      </c>
      <c r="K368" t="str">
        <f>IF(F368="","Missing Reference",IF(COUNTIF('Raw Payments'!$B:$B,F368)&gt;1,"Possible Duplicate","Reference Present"))</f>
        <v>Missing Reference</v>
      </c>
      <c r="L368" t="str">
        <f t="shared" si="5"/>
        <v/>
      </c>
    </row>
    <row r="369" spans="1:12" x14ac:dyDescent="0.3">
      <c r="A369" t="str">
        <f>IF('Raw Enrollments'!A369="","",'Raw Enrollments'!A369)</f>
        <v/>
      </c>
      <c r="B369" t="str">
        <f>IF(A369="","",'Raw Enrollments'!B369)</f>
        <v/>
      </c>
      <c r="C369" t="str">
        <f>IF(A369="","",'Raw Enrollments'!C369)</f>
        <v/>
      </c>
      <c r="D369" t="str">
        <f>IF(A369="","",'Raw Enrollments'!E369)</f>
        <v/>
      </c>
      <c r="E369" t="str">
        <f>IF('Raw Payments'!A369="","",'Raw Payments'!A369)</f>
        <v/>
      </c>
      <c r="F369" t="str">
        <f>IF(E369="","",'Raw Payments'!B369)</f>
        <v/>
      </c>
      <c r="G369" t="str">
        <f>IF(E369="","",'Raw Payments'!F369)</f>
        <v/>
      </c>
      <c r="H369" t="str">
        <f>IF(E369="","",'Raw Payments'!H369)</f>
        <v/>
      </c>
      <c r="I369" t="str">
        <f>IF(E369="","",'Raw Payments'!I369)</f>
        <v/>
      </c>
      <c r="J369" t="str">
        <f>IF(A369="","",IF(COUNTIF('Raw Payments'!$C:$C,A369)&gt;0,"Payment Linked","No Payment"))</f>
        <v/>
      </c>
      <c r="K369" t="str">
        <f>IF(F369="","Missing Reference",IF(COUNTIF('Raw Payments'!$B:$B,F369)&gt;1,"Possible Duplicate","Reference Present"))</f>
        <v>Missing Reference</v>
      </c>
      <c r="L369" t="str">
        <f t="shared" si="5"/>
        <v/>
      </c>
    </row>
    <row r="370" spans="1:12" x14ac:dyDescent="0.3">
      <c r="A370" t="str">
        <f>IF('Raw Enrollments'!A370="","",'Raw Enrollments'!A370)</f>
        <v/>
      </c>
      <c r="B370" t="str">
        <f>IF(A370="","",'Raw Enrollments'!B370)</f>
        <v/>
      </c>
      <c r="C370" t="str">
        <f>IF(A370="","",'Raw Enrollments'!C370)</f>
        <v/>
      </c>
      <c r="D370" t="str">
        <f>IF(A370="","",'Raw Enrollments'!E370)</f>
        <v/>
      </c>
      <c r="E370" t="str">
        <f>IF('Raw Payments'!A370="","",'Raw Payments'!A370)</f>
        <v/>
      </c>
      <c r="F370" t="str">
        <f>IF(E370="","",'Raw Payments'!B370)</f>
        <v/>
      </c>
      <c r="G370" t="str">
        <f>IF(E370="","",'Raw Payments'!F370)</f>
        <v/>
      </c>
      <c r="H370" t="str">
        <f>IF(E370="","",'Raw Payments'!H370)</f>
        <v/>
      </c>
      <c r="I370" t="str">
        <f>IF(E370="","",'Raw Payments'!I370)</f>
        <v/>
      </c>
      <c r="J370" t="str">
        <f>IF(A370="","",IF(COUNTIF('Raw Payments'!$C:$C,A370)&gt;0,"Payment Linked","No Payment"))</f>
        <v/>
      </c>
      <c r="K370" t="str">
        <f>IF(F370="","Missing Reference",IF(COUNTIF('Raw Payments'!$B:$B,F370)&gt;1,"Possible Duplicate","Reference Present"))</f>
        <v>Missing Reference</v>
      </c>
      <c r="L370" t="str">
        <f t="shared" si="5"/>
        <v/>
      </c>
    </row>
    <row r="371" spans="1:12" x14ac:dyDescent="0.3">
      <c r="A371" t="str">
        <f>IF('Raw Enrollments'!A371="","",'Raw Enrollments'!A371)</f>
        <v/>
      </c>
      <c r="B371" t="str">
        <f>IF(A371="","",'Raw Enrollments'!B371)</f>
        <v/>
      </c>
      <c r="C371" t="str">
        <f>IF(A371="","",'Raw Enrollments'!C371)</f>
        <v/>
      </c>
      <c r="D371" t="str">
        <f>IF(A371="","",'Raw Enrollments'!E371)</f>
        <v/>
      </c>
      <c r="E371" t="str">
        <f>IF('Raw Payments'!A371="","",'Raw Payments'!A371)</f>
        <v/>
      </c>
      <c r="F371" t="str">
        <f>IF(E371="","",'Raw Payments'!B371)</f>
        <v/>
      </c>
      <c r="G371" t="str">
        <f>IF(E371="","",'Raw Payments'!F371)</f>
        <v/>
      </c>
      <c r="H371" t="str">
        <f>IF(E371="","",'Raw Payments'!H371)</f>
        <v/>
      </c>
      <c r="I371" t="str">
        <f>IF(E371="","",'Raw Payments'!I371)</f>
        <v/>
      </c>
      <c r="J371" t="str">
        <f>IF(A371="","",IF(COUNTIF('Raw Payments'!$C:$C,A371)&gt;0,"Payment Linked","No Payment"))</f>
        <v/>
      </c>
      <c r="K371" t="str">
        <f>IF(F371="","Missing Reference",IF(COUNTIF('Raw Payments'!$B:$B,F371)&gt;1,"Possible Duplicate","Reference Present"))</f>
        <v>Missing Reference</v>
      </c>
      <c r="L371" t="str">
        <f t="shared" si="5"/>
        <v/>
      </c>
    </row>
    <row r="372" spans="1:12" x14ac:dyDescent="0.3">
      <c r="A372" t="str">
        <f>IF('Raw Enrollments'!A372="","",'Raw Enrollments'!A372)</f>
        <v/>
      </c>
      <c r="B372" t="str">
        <f>IF(A372="","",'Raw Enrollments'!B372)</f>
        <v/>
      </c>
      <c r="C372" t="str">
        <f>IF(A372="","",'Raw Enrollments'!C372)</f>
        <v/>
      </c>
      <c r="D372" t="str">
        <f>IF(A372="","",'Raw Enrollments'!E372)</f>
        <v/>
      </c>
      <c r="E372" t="str">
        <f>IF('Raw Payments'!A372="","",'Raw Payments'!A372)</f>
        <v/>
      </c>
      <c r="F372" t="str">
        <f>IF(E372="","",'Raw Payments'!B372)</f>
        <v/>
      </c>
      <c r="G372" t="str">
        <f>IF(E372="","",'Raw Payments'!F372)</f>
        <v/>
      </c>
      <c r="H372" t="str">
        <f>IF(E372="","",'Raw Payments'!H372)</f>
        <v/>
      </c>
      <c r="I372" t="str">
        <f>IF(E372="","",'Raw Payments'!I372)</f>
        <v/>
      </c>
      <c r="J372" t="str">
        <f>IF(A372="","",IF(COUNTIF('Raw Payments'!$C:$C,A372)&gt;0,"Payment Linked","No Payment"))</f>
        <v/>
      </c>
      <c r="K372" t="str">
        <f>IF(F372="","Missing Reference",IF(COUNTIF('Raw Payments'!$B:$B,F372)&gt;1,"Possible Duplicate","Reference Present"))</f>
        <v>Missing Reference</v>
      </c>
      <c r="L372" t="str">
        <f t="shared" si="5"/>
        <v/>
      </c>
    </row>
    <row r="373" spans="1:12" x14ac:dyDescent="0.3">
      <c r="A373" t="str">
        <f>IF('Raw Enrollments'!A373="","",'Raw Enrollments'!A373)</f>
        <v/>
      </c>
      <c r="B373" t="str">
        <f>IF(A373="","",'Raw Enrollments'!B373)</f>
        <v/>
      </c>
      <c r="C373" t="str">
        <f>IF(A373="","",'Raw Enrollments'!C373)</f>
        <v/>
      </c>
      <c r="D373" t="str">
        <f>IF(A373="","",'Raw Enrollments'!E373)</f>
        <v/>
      </c>
      <c r="E373" t="str">
        <f>IF('Raw Payments'!A373="","",'Raw Payments'!A373)</f>
        <v/>
      </c>
      <c r="F373" t="str">
        <f>IF(E373="","",'Raw Payments'!B373)</f>
        <v/>
      </c>
      <c r="G373" t="str">
        <f>IF(E373="","",'Raw Payments'!F373)</f>
        <v/>
      </c>
      <c r="H373" t="str">
        <f>IF(E373="","",'Raw Payments'!H373)</f>
        <v/>
      </c>
      <c r="I373" t="str">
        <f>IF(E373="","",'Raw Payments'!I373)</f>
        <v/>
      </c>
      <c r="J373" t="str">
        <f>IF(A373="","",IF(COUNTIF('Raw Payments'!$C:$C,A373)&gt;0,"Payment Linked","No Payment"))</f>
        <v/>
      </c>
      <c r="K373" t="str">
        <f>IF(F373="","Missing Reference",IF(COUNTIF('Raw Payments'!$B:$B,F373)&gt;1,"Possible Duplicate","Reference Present"))</f>
        <v>Missing Reference</v>
      </c>
      <c r="L373" t="str">
        <f t="shared" si="5"/>
        <v/>
      </c>
    </row>
    <row r="374" spans="1:12" x14ac:dyDescent="0.3">
      <c r="A374" t="str">
        <f>IF('Raw Enrollments'!A374="","",'Raw Enrollments'!A374)</f>
        <v/>
      </c>
      <c r="B374" t="str">
        <f>IF(A374="","",'Raw Enrollments'!B374)</f>
        <v/>
      </c>
      <c r="C374" t="str">
        <f>IF(A374="","",'Raw Enrollments'!C374)</f>
        <v/>
      </c>
      <c r="D374" t="str">
        <f>IF(A374="","",'Raw Enrollments'!E374)</f>
        <v/>
      </c>
      <c r="E374" t="str">
        <f>IF('Raw Payments'!A374="","",'Raw Payments'!A374)</f>
        <v/>
      </c>
      <c r="F374" t="str">
        <f>IF(E374="","",'Raw Payments'!B374)</f>
        <v/>
      </c>
      <c r="G374" t="str">
        <f>IF(E374="","",'Raw Payments'!F374)</f>
        <v/>
      </c>
      <c r="H374" t="str">
        <f>IF(E374="","",'Raw Payments'!H374)</f>
        <v/>
      </c>
      <c r="I374" t="str">
        <f>IF(E374="","",'Raw Payments'!I374)</f>
        <v/>
      </c>
      <c r="J374" t="str">
        <f>IF(A374="","",IF(COUNTIF('Raw Payments'!$C:$C,A374)&gt;0,"Payment Linked","No Payment"))</f>
        <v/>
      </c>
      <c r="K374" t="str">
        <f>IF(F374="","Missing Reference",IF(COUNTIF('Raw Payments'!$B:$B,F374)&gt;1,"Possible Duplicate","Reference Present"))</f>
        <v>Missing Reference</v>
      </c>
      <c r="L374" t="str">
        <f t="shared" si="5"/>
        <v/>
      </c>
    </row>
    <row r="375" spans="1:12" x14ac:dyDescent="0.3">
      <c r="A375" t="str">
        <f>IF('Raw Enrollments'!A375="","",'Raw Enrollments'!A375)</f>
        <v/>
      </c>
      <c r="B375" t="str">
        <f>IF(A375="","",'Raw Enrollments'!B375)</f>
        <v/>
      </c>
      <c r="C375" t="str">
        <f>IF(A375="","",'Raw Enrollments'!C375)</f>
        <v/>
      </c>
      <c r="D375" t="str">
        <f>IF(A375="","",'Raw Enrollments'!E375)</f>
        <v/>
      </c>
      <c r="E375" t="str">
        <f>IF('Raw Payments'!A375="","",'Raw Payments'!A375)</f>
        <v/>
      </c>
      <c r="F375" t="str">
        <f>IF(E375="","",'Raw Payments'!B375)</f>
        <v/>
      </c>
      <c r="G375" t="str">
        <f>IF(E375="","",'Raw Payments'!F375)</f>
        <v/>
      </c>
      <c r="H375" t="str">
        <f>IF(E375="","",'Raw Payments'!H375)</f>
        <v/>
      </c>
      <c r="I375" t="str">
        <f>IF(E375="","",'Raw Payments'!I375)</f>
        <v/>
      </c>
      <c r="J375" t="str">
        <f>IF(A375="","",IF(COUNTIF('Raw Payments'!$C:$C,A375)&gt;0,"Payment Linked","No Payment"))</f>
        <v/>
      </c>
      <c r="K375" t="str">
        <f>IF(F375="","Missing Reference",IF(COUNTIF('Raw Payments'!$B:$B,F375)&gt;1,"Possible Duplicate","Reference Present"))</f>
        <v>Missing Reference</v>
      </c>
      <c r="L375" t="str">
        <f t="shared" si="5"/>
        <v/>
      </c>
    </row>
    <row r="376" spans="1:12" x14ac:dyDescent="0.3">
      <c r="A376" t="str">
        <f>IF('Raw Enrollments'!A376="","",'Raw Enrollments'!A376)</f>
        <v/>
      </c>
      <c r="B376" t="str">
        <f>IF(A376="","",'Raw Enrollments'!B376)</f>
        <v/>
      </c>
      <c r="C376" t="str">
        <f>IF(A376="","",'Raw Enrollments'!C376)</f>
        <v/>
      </c>
      <c r="D376" t="str">
        <f>IF(A376="","",'Raw Enrollments'!E376)</f>
        <v/>
      </c>
      <c r="E376" t="str">
        <f>IF('Raw Payments'!A376="","",'Raw Payments'!A376)</f>
        <v/>
      </c>
      <c r="F376" t="str">
        <f>IF(E376="","",'Raw Payments'!B376)</f>
        <v/>
      </c>
      <c r="G376" t="str">
        <f>IF(E376="","",'Raw Payments'!F376)</f>
        <v/>
      </c>
      <c r="H376" t="str">
        <f>IF(E376="","",'Raw Payments'!H376)</f>
        <v/>
      </c>
      <c r="I376" t="str">
        <f>IF(E376="","",'Raw Payments'!I376)</f>
        <v/>
      </c>
      <c r="J376" t="str">
        <f>IF(A376="","",IF(COUNTIF('Raw Payments'!$C:$C,A376)&gt;0,"Payment Linked","No Payment"))</f>
        <v/>
      </c>
      <c r="K376" t="str">
        <f>IF(F376="","Missing Reference",IF(COUNTIF('Raw Payments'!$B:$B,F376)&gt;1,"Possible Duplicate","Reference Present"))</f>
        <v>Missing Reference</v>
      </c>
      <c r="L376" t="str">
        <f t="shared" si="5"/>
        <v/>
      </c>
    </row>
    <row r="377" spans="1:12" x14ac:dyDescent="0.3">
      <c r="A377" t="str">
        <f>IF('Raw Enrollments'!A377="","",'Raw Enrollments'!A377)</f>
        <v/>
      </c>
      <c r="B377" t="str">
        <f>IF(A377="","",'Raw Enrollments'!B377)</f>
        <v/>
      </c>
      <c r="C377" t="str">
        <f>IF(A377="","",'Raw Enrollments'!C377)</f>
        <v/>
      </c>
      <c r="D377" t="str">
        <f>IF(A377="","",'Raw Enrollments'!E377)</f>
        <v/>
      </c>
      <c r="E377" t="str">
        <f>IF('Raw Payments'!A377="","",'Raw Payments'!A377)</f>
        <v/>
      </c>
      <c r="F377" t="str">
        <f>IF(E377="","",'Raw Payments'!B377)</f>
        <v/>
      </c>
      <c r="G377" t="str">
        <f>IF(E377="","",'Raw Payments'!F377)</f>
        <v/>
      </c>
      <c r="H377" t="str">
        <f>IF(E377="","",'Raw Payments'!H377)</f>
        <v/>
      </c>
      <c r="I377" t="str">
        <f>IF(E377="","",'Raw Payments'!I377)</f>
        <v/>
      </c>
      <c r="J377" t="str">
        <f>IF(A377="","",IF(COUNTIF('Raw Payments'!$C:$C,A377)&gt;0,"Payment Linked","No Payment"))</f>
        <v/>
      </c>
      <c r="K377" t="str">
        <f>IF(F377="","Missing Reference",IF(COUNTIF('Raw Payments'!$B:$B,F377)&gt;1,"Possible Duplicate","Reference Present"))</f>
        <v>Missing Reference</v>
      </c>
      <c r="L377" t="str">
        <f t="shared" si="5"/>
        <v/>
      </c>
    </row>
    <row r="378" spans="1:12" x14ac:dyDescent="0.3">
      <c r="A378" t="str">
        <f>IF('Raw Enrollments'!A378="","",'Raw Enrollments'!A378)</f>
        <v/>
      </c>
      <c r="B378" t="str">
        <f>IF(A378="","",'Raw Enrollments'!B378)</f>
        <v/>
      </c>
      <c r="C378" t="str">
        <f>IF(A378="","",'Raw Enrollments'!C378)</f>
        <v/>
      </c>
      <c r="D378" t="str">
        <f>IF(A378="","",'Raw Enrollments'!E378)</f>
        <v/>
      </c>
      <c r="E378" t="str">
        <f>IF('Raw Payments'!A378="","",'Raw Payments'!A378)</f>
        <v/>
      </c>
      <c r="F378" t="str">
        <f>IF(E378="","",'Raw Payments'!B378)</f>
        <v/>
      </c>
      <c r="G378" t="str">
        <f>IF(E378="","",'Raw Payments'!F378)</f>
        <v/>
      </c>
      <c r="H378" t="str">
        <f>IF(E378="","",'Raw Payments'!H378)</f>
        <v/>
      </c>
      <c r="I378" t="str">
        <f>IF(E378="","",'Raw Payments'!I378)</f>
        <v/>
      </c>
      <c r="J378" t="str">
        <f>IF(A378="","",IF(COUNTIF('Raw Payments'!$C:$C,A378)&gt;0,"Payment Linked","No Payment"))</f>
        <v/>
      </c>
      <c r="K378" t="str">
        <f>IF(F378="","Missing Reference",IF(COUNTIF('Raw Payments'!$B:$B,F378)&gt;1,"Possible Duplicate","Reference Present"))</f>
        <v>Missing Reference</v>
      </c>
      <c r="L378" t="str">
        <f t="shared" si="5"/>
        <v/>
      </c>
    </row>
    <row r="379" spans="1:12" x14ac:dyDescent="0.3">
      <c r="A379" t="str">
        <f>IF('Raw Enrollments'!A379="","",'Raw Enrollments'!A379)</f>
        <v/>
      </c>
      <c r="B379" t="str">
        <f>IF(A379="","",'Raw Enrollments'!B379)</f>
        <v/>
      </c>
      <c r="C379" t="str">
        <f>IF(A379="","",'Raw Enrollments'!C379)</f>
        <v/>
      </c>
      <c r="D379" t="str">
        <f>IF(A379="","",'Raw Enrollments'!E379)</f>
        <v/>
      </c>
      <c r="E379" t="str">
        <f>IF('Raw Payments'!A379="","",'Raw Payments'!A379)</f>
        <v/>
      </c>
      <c r="F379" t="str">
        <f>IF(E379="","",'Raw Payments'!B379)</f>
        <v/>
      </c>
      <c r="G379" t="str">
        <f>IF(E379="","",'Raw Payments'!F379)</f>
        <v/>
      </c>
      <c r="H379" t="str">
        <f>IF(E379="","",'Raw Payments'!H379)</f>
        <v/>
      </c>
      <c r="I379" t="str">
        <f>IF(E379="","",'Raw Payments'!I379)</f>
        <v/>
      </c>
      <c r="J379" t="str">
        <f>IF(A379="","",IF(COUNTIF('Raw Payments'!$C:$C,A379)&gt;0,"Payment Linked","No Payment"))</f>
        <v/>
      </c>
      <c r="K379" t="str">
        <f>IF(F379="","Missing Reference",IF(COUNTIF('Raw Payments'!$B:$B,F379)&gt;1,"Possible Duplicate","Reference Present"))</f>
        <v>Missing Reference</v>
      </c>
      <c r="L379" t="str">
        <f t="shared" si="5"/>
        <v/>
      </c>
    </row>
    <row r="380" spans="1:12" x14ac:dyDescent="0.3">
      <c r="A380" t="str">
        <f>IF('Raw Enrollments'!A380="","",'Raw Enrollments'!A380)</f>
        <v/>
      </c>
      <c r="B380" t="str">
        <f>IF(A380="","",'Raw Enrollments'!B380)</f>
        <v/>
      </c>
      <c r="C380" t="str">
        <f>IF(A380="","",'Raw Enrollments'!C380)</f>
        <v/>
      </c>
      <c r="D380" t="str">
        <f>IF(A380="","",'Raw Enrollments'!E380)</f>
        <v/>
      </c>
      <c r="E380" t="str">
        <f>IF('Raw Payments'!A380="","",'Raw Payments'!A380)</f>
        <v/>
      </c>
      <c r="F380" t="str">
        <f>IF(E380="","",'Raw Payments'!B380)</f>
        <v/>
      </c>
      <c r="G380" t="str">
        <f>IF(E380="","",'Raw Payments'!F380)</f>
        <v/>
      </c>
      <c r="H380" t="str">
        <f>IF(E380="","",'Raw Payments'!H380)</f>
        <v/>
      </c>
      <c r="I380" t="str">
        <f>IF(E380="","",'Raw Payments'!I380)</f>
        <v/>
      </c>
      <c r="J380" t="str">
        <f>IF(A380="","",IF(COUNTIF('Raw Payments'!$C:$C,A380)&gt;0,"Payment Linked","No Payment"))</f>
        <v/>
      </c>
      <c r="K380" t="str">
        <f>IF(F380="","Missing Reference",IF(COUNTIF('Raw Payments'!$B:$B,F380)&gt;1,"Possible Duplicate","Reference Present"))</f>
        <v>Missing Reference</v>
      </c>
      <c r="L380" t="str">
        <f t="shared" si="5"/>
        <v/>
      </c>
    </row>
    <row r="381" spans="1:12" x14ac:dyDescent="0.3">
      <c r="A381" t="str">
        <f>IF('Raw Enrollments'!A381="","",'Raw Enrollments'!A381)</f>
        <v/>
      </c>
      <c r="B381" t="str">
        <f>IF(A381="","",'Raw Enrollments'!B381)</f>
        <v/>
      </c>
      <c r="C381" t="str">
        <f>IF(A381="","",'Raw Enrollments'!C381)</f>
        <v/>
      </c>
      <c r="D381" t="str">
        <f>IF(A381="","",'Raw Enrollments'!E381)</f>
        <v/>
      </c>
      <c r="E381" t="str">
        <f>IF('Raw Payments'!A381="","",'Raw Payments'!A381)</f>
        <v/>
      </c>
      <c r="F381" t="str">
        <f>IF(E381="","",'Raw Payments'!B381)</f>
        <v/>
      </c>
      <c r="G381" t="str">
        <f>IF(E381="","",'Raw Payments'!F381)</f>
        <v/>
      </c>
      <c r="H381" t="str">
        <f>IF(E381="","",'Raw Payments'!H381)</f>
        <v/>
      </c>
      <c r="I381" t="str">
        <f>IF(E381="","",'Raw Payments'!I381)</f>
        <v/>
      </c>
      <c r="J381" t="str">
        <f>IF(A381="","",IF(COUNTIF('Raw Payments'!$C:$C,A381)&gt;0,"Payment Linked","No Payment"))</f>
        <v/>
      </c>
      <c r="K381" t="str">
        <f>IF(F381="","Missing Reference",IF(COUNTIF('Raw Payments'!$B:$B,F381)&gt;1,"Possible Duplicate","Reference Present"))</f>
        <v>Missing Reference</v>
      </c>
      <c r="L381" t="str">
        <f t="shared" si="5"/>
        <v/>
      </c>
    </row>
    <row r="382" spans="1:12" x14ac:dyDescent="0.3">
      <c r="A382" t="str">
        <f>IF('Raw Enrollments'!A382="","",'Raw Enrollments'!A382)</f>
        <v/>
      </c>
      <c r="B382" t="str">
        <f>IF(A382="","",'Raw Enrollments'!B382)</f>
        <v/>
      </c>
      <c r="C382" t="str">
        <f>IF(A382="","",'Raw Enrollments'!C382)</f>
        <v/>
      </c>
      <c r="D382" t="str">
        <f>IF(A382="","",'Raw Enrollments'!E382)</f>
        <v/>
      </c>
      <c r="E382" t="str">
        <f>IF('Raw Payments'!A382="","",'Raw Payments'!A382)</f>
        <v/>
      </c>
      <c r="F382" t="str">
        <f>IF(E382="","",'Raw Payments'!B382)</f>
        <v/>
      </c>
      <c r="G382" t="str">
        <f>IF(E382="","",'Raw Payments'!F382)</f>
        <v/>
      </c>
      <c r="H382" t="str">
        <f>IF(E382="","",'Raw Payments'!H382)</f>
        <v/>
      </c>
      <c r="I382" t="str">
        <f>IF(E382="","",'Raw Payments'!I382)</f>
        <v/>
      </c>
      <c r="J382" t="str">
        <f>IF(A382="","",IF(COUNTIF('Raw Payments'!$C:$C,A382)&gt;0,"Payment Linked","No Payment"))</f>
        <v/>
      </c>
      <c r="K382" t="str">
        <f>IF(F382="","Missing Reference",IF(COUNTIF('Raw Payments'!$B:$B,F382)&gt;1,"Possible Duplicate","Reference Present"))</f>
        <v>Missing Reference</v>
      </c>
      <c r="L382" t="str">
        <f t="shared" si="5"/>
        <v/>
      </c>
    </row>
    <row r="383" spans="1:12" x14ac:dyDescent="0.3">
      <c r="A383" t="str">
        <f>IF('Raw Enrollments'!A383="","",'Raw Enrollments'!A383)</f>
        <v/>
      </c>
      <c r="B383" t="str">
        <f>IF(A383="","",'Raw Enrollments'!B383)</f>
        <v/>
      </c>
      <c r="C383" t="str">
        <f>IF(A383="","",'Raw Enrollments'!C383)</f>
        <v/>
      </c>
      <c r="D383" t="str">
        <f>IF(A383="","",'Raw Enrollments'!E383)</f>
        <v/>
      </c>
      <c r="E383" t="str">
        <f>IF('Raw Payments'!A383="","",'Raw Payments'!A383)</f>
        <v/>
      </c>
      <c r="F383" t="str">
        <f>IF(E383="","",'Raw Payments'!B383)</f>
        <v/>
      </c>
      <c r="G383" t="str">
        <f>IF(E383="","",'Raw Payments'!F383)</f>
        <v/>
      </c>
      <c r="H383" t="str">
        <f>IF(E383="","",'Raw Payments'!H383)</f>
        <v/>
      </c>
      <c r="I383" t="str">
        <f>IF(E383="","",'Raw Payments'!I383)</f>
        <v/>
      </c>
      <c r="J383" t="str">
        <f>IF(A383="","",IF(COUNTIF('Raw Payments'!$C:$C,A383)&gt;0,"Payment Linked","No Payment"))</f>
        <v/>
      </c>
      <c r="K383" t="str">
        <f>IF(F383="","Missing Reference",IF(COUNTIF('Raw Payments'!$B:$B,F383)&gt;1,"Possible Duplicate","Reference Present"))</f>
        <v>Missing Reference</v>
      </c>
      <c r="L383" t="str">
        <f t="shared" si="5"/>
        <v/>
      </c>
    </row>
    <row r="384" spans="1:12" x14ac:dyDescent="0.3">
      <c r="A384" t="str">
        <f>IF('Raw Enrollments'!A384="","",'Raw Enrollments'!A384)</f>
        <v/>
      </c>
      <c r="B384" t="str">
        <f>IF(A384="","",'Raw Enrollments'!B384)</f>
        <v/>
      </c>
      <c r="C384" t="str">
        <f>IF(A384="","",'Raw Enrollments'!C384)</f>
        <v/>
      </c>
      <c r="D384" t="str">
        <f>IF(A384="","",'Raw Enrollments'!E384)</f>
        <v/>
      </c>
      <c r="E384" t="str">
        <f>IF('Raw Payments'!A384="","",'Raw Payments'!A384)</f>
        <v/>
      </c>
      <c r="F384" t="str">
        <f>IF(E384="","",'Raw Payments'!B384)</f>
        <v/>
      </c>
      <c r="G384" t="str">
        <f>IF(E384="","",'Raw Payments'!F384)</f>
        <v/>
      </c>
      <c r="H384" t="str">
        <f>IF(E384="","",'Raw Payments'!H384)</f>
        <v/>
      </c>
      <c r="I384" t="str">
        <f>IF(E384="","",'Raw Payments'!I384)</f>
        <v/>
      </c>
      <c r="J384" t="str">
        <f>IF(A384="","",IF(COUNTIF('Raw Payments'!$C:$C,A384)&gt;0,"Payment Linked","No Payment"))</f>
        <v/>
      </c>
      <c r="K384" t="str">
        <f>IF(F384="","Missing Reference",IF(COUNTIF('Raw Payments'!$B:$B,F384)&gt;1,"Possible Duplicate","Reference Present"))</f>
        <v>Missing Reference</v>
      </c>
      <c r="L384" t="str">
        <f t="shared" si="5"/>
        <v/>
      </c>
    </row>
    <row r="385" spans="1:12" x14ac:dyDescent="0.3">
      <c r="A385" t="str">
        <f>IF('Raw Enrollments'!A385="","",'Raw Enrollments'!A385)</f>
        <v/>
      </c>
      <c r="B385" t="str">
        <f>IF(A385="","",'Raw Enrollments'!B385)</f>
        <v/>
      </c>
      <c r="C385" t="str">
        <f>IF(A385="","",'Raw Enrollments'!C385)</f>
        <v/>
      </c>
      <c r="D385" t="str">
        <f>IF(A385="","",'Raw Enrollments'!E385)</f>
        <v/>
      </c>
      <c r="E385" t="str">
        <f>IF('Raw Payments'!A385="","",'Raw Payments'!A385)</f>
        <v/>
      </c>
      <c r="F385" t="str">
        <f>IF(E385="","",'Raw Payments'!B385)</f>
        <v/>
      </c>
      <c r="G385" t="str">
        <f>IF(E385="","",'Raw Payments'!F385)</f>
        <v/>
      </c>
      <c r="H385" t="str">
        <f>IF(E385="","",'Raw Payments'!H385)</f>
        <v/>
      </c>
      <c r="I385" t="str">
        <f>IF(E385="","",'Raw Payments'!I385)</f>
        <v/>
      </c>
      <c r="J385" t="str">
        <f>IF(A385="","",IF(COUNTIF('Raw Payments'!$C:$C,A385)&gt;0,"Payment Linked","No Payment"))</f>
        <v/>
      </c>
      <c r="K385" t="str">
        <f>IF(F385="","Missing Reference",IF(COUNTIF('Raw Payments'!$B:$B,F385)&gt;1,"Possible Duplicate","Reference Present"))</f>
        <v>Missing Reference</v>
      </c>
      <c r="L385" t="str">
        <f t="shared" si="5"/>
        <v/>
      </c>
    </row>
    <row r="386" spans="1:12" x14ac:dyDescent="0.3">
      <c r="A386" t="str">
        <f>IF('Raw Enrollments'!A386="","",'Raw Enrollments'!A386)</f>
        <v/>
      </c>
      <c r="B386" t="str">
        <f>IF(A386="","",'Raw Enrollments'!B386)</f>
        <v/>
      </c>
      <c r="C386" t="str">
        <f>IF(A386="","",'Raw Enrollments'!C386)</f>
        <v/>
      </c>
      <c r="D386" t="str">
        <f>IF(A386="","",'Raw Enrollments'!E386)</f>
        <v/>
      </c>
      <c r="E386" t="str">
        <f>IF('Raw Payments'!A386="","",'Raw Payments'!A386)</f>
        <v/>
      </c>
      <c r="F386" t="str">
        <f>IF(E386="","",'Raw Payments'!B386)</f>
        <v/>
      </c>
      <c r="G386" t="str">
        <f>IF(E386="","",'Raw Payments'!F386)</f>
        <v/>
      </c>
      <c r="H386" t="str">
        <f>IF(E386="","",'Raw Payments'!H386)</f>
        <v/>
      </c>
      <c r="I386" t="str">
        <f>IF(E386="","",'Raw Payments'!I386)</f>
        <v/>
      </c>
      <c r="J386" t="str">
        <f>IF(A386="","",IF(COUNTIF('Raw Payments'!$C:$C,A386)&gt;0,"Payment Linked","No Payment"))</f>
        <v/>
      </c>
      <c r="K386" t="str">
        <f>IF(F386="","Missing Reference",IF(COUNTIF('Raw Payments'!$B:$B,F386)&gt;1,"Possible Duplicate","Reference Present"))</f>
        <v>Missing Reference</v>
      </c>
      <c r="L386" t="str">
        <f t="shared" si="5"/>
        <v/>
      </c>
    </row>
    <row r="387" spans="1:12" x14ac:dyDescent="0.3">
      <c r="A387" t="str">
        <f>IF('Raw Enrollments'!A387="","",'Raw Enrollments'!A387)</f>
        <v/>
      </c>
      <c r="B387" t="str">
        <f>IF(A387="","",'Raw Enrollments'!B387)</f>
        <v/>
      </c>
      <c r="C387" t="str">
        <f>IF(A387="","",'Raw Enrollments'!C387)</f>
        <v/>
      </c>
      <c r="D387" t="str">
        <f>IF(A387="","",'Raw Enrollments'!E387)</f>
        <v/>
      </c>
      <c r="E387" t="str">
        <f>IF('Raw Payments'!A387="","",'Raw Payments'!A387)</f>
        <v/>
      </c>
      <c r="F387" t="str">
        <f>IF(E387="","",'Raw Payments'!B387)</f>
        <v/>
      </c>
      <c r="G387" t="str">
        <f>IF(E387="","",'Raw Payments'!F387)</f>
        <v/>
      </c>
      <c r="H387" t="str">
        <f>IF(E387="","",'Raw Payments'!H387)</f>
        <v/>
      </c>
      <c r="I387" t="str">
        <f>IF(E387="","",'Raw Payments'!I387)</f>
        <v/>
      </c>
      <c r="J387" t="str">
        <f>IF(A387="","",IF(COUNTIF('Raw Payments'!$C:$C,A387)&gt;0,"Payment Linked","No Payment"))</f>
        <v/>
      </c>
      <c r="K387" t="str">
        <f>IF(F387="","Missing Reference",IF(COUNTIF('Raw Payments'!$B:$B,F387)&gt;1,"Possible Duplicate","Reference Present"))</f>
        <v>Missing Reference</v>
      </c>
      <c r="L387" t="str">
        <f t="shared" si="5"/>
        <v/>
      </c>
    </row>
    <row r="388" spans="1:12" x14ac:dyDescent="0.3">
      <c r="A388" t="str">
        <f>IF('Raw Enrollments'!A388="","",'Raw Enrollments'!A388)</f>
        <v/>
      </c>
      <c r="B388" t="str">
        <f>IF(A388="","",'Raw Enrollments'!B388)</f>
        <v/>
      </c>
      <c r="C388" t="str">
        <f>IF(A388="","",'Raw Enrollments'!C388)</f>
        <v/>
      </c>
      <c r="D388" t="str">
        <f>IF(A388="","",'Raw Enrollments'!E388)</f>
        <v/>
      </c>
      <c r="E388" t="str">
        <f>IF('Raw Payments'!A388="","",'Raw Payments'!A388)</f>
        <v/>
      </c>
      <c r="F388" t="str">
        <f>IF(E388="","",'Raw Payments'!B388)</f>
        <v/>
      </c>
      <c r="G388" t="str">
        <f>IF(E388="","",'Raw Payments'!F388)</f>
        <v/>
      </c>
      <c r="H388" t="str">
        <f>IF(E388="","",'Raw Payments'!H388)</f>
        <v/>
      </c>
      <c r="I388" t="str">
        <f>IF(E388="","",'Raw Payments'!I388)</f>
        <v/>
      </c>
      <c r="J388" t="str">
        <f>IF(A388="","",IF(COUNTIF('Raw Payments'!$C:$C,A388)&gt;0,"Payment Linked","No Payment"))</f>
        <v/>
      </c>
      <c r="K388" t="str">
        <f>IF(F388="","Missing Reference",IF(COUNTIF('Raw Payments'!$B:$B,F388)&gt;1,"Possible Duplicate","Reference Present"))</f>
        <v>Missing Reference</v>
      </c>
      <c r="L388" t="str">
        <f t="shared" si="5"/>
        <v/>
      </c>
    </row>
    <row r="389" spans="1:12" x14ac:dyDescent="0.3">
      <c r="A389" t="str">
        <f>IF('Raw Enrollments'!A389="","",'Raw Enrollments'!A389)</f>
        <v/>
      </c>
      <c r="B389" t="str">
        <f>IF(A389="","",'Raw Enrollments'!B389)</f>
        <v/>
      </c>
      <c r="C389" t="str">
        <f>IF(A389="","",'Raw Enrollments'!C389)</f>
        <v/>
      </c>
      <c r="D389" t="str">
        <f>IF(A389="","",'Raw Enrollments'!E389)</f>
        <v/>
      </c>
      <c r="E389" t="str">
        <f>IF('Raw Payments'!A389="","",'Raw Payments'!A389)</f>
        <v/>
      </c>
      <c r="F389" t="str">
        <f>IF(E389="","",'Raw Payments'!B389)</f>
        <v/>
      </c>
      <c r="G389" t="str">
        <f>IF(E389="","",'Raw Payments'!F389)</f>
        <v/>
      </c>
      <c r="H389" t="str">
        <f>IF(E389="","",'Raw Payments'!H389)</f>
        <v/>
      </c>
      <c r="I389" t="str">
        <f>IF(E389="","",'Raw Payments'!I389)</f>
        <v/>
      </c>
      <c r="J389" t="str">
        <f>IF(A389="","",IF(COUNTIF('Raw Payments'!$C:$C,A389)&gt;0,"Payment Linked","No Payment"))</f>
        <v/>
      </c>
      <c r="K389" t="str">
        <f>IF(F389="","Missing Reference",IF(COUNTIF('Raw Payments'!$B:$B,F389)&gt;1,"Possible Duplicate","Reference Present"))</f>
        <v>Missing Reference</v>
      </c>
      <c r="L389" t="str">
        <f t="shared" ref="L389:L452" si="6">IF(A389="","",IF(OR(J389="No Payment",K389="Missing Reference",K389="Possible Duplicate",H389=""),"Review","Check Student/Course/Status"))</f>
        <v/>
      </c>
    </row>
    <row r="390" spans="1:12" x14ac:dyDescent="0.3">
      <c r="A390" t="str">
        <f>IF('Raw Enrollments'!A390="","",'Raw Enrollments'!A390)</f>
        <v/>
      </c>
      <c r="B390" t="str">
        <f>IF(A390="","",'Raw Enrollments'!B390)</f>
        <v/>
      </c>
      <c r="C390" t="str">
        <f>IF(A390="","",'Raw Enrollments'!C390)</f>
        <v/>
      </c>
      <c r="D390" t="str">
        <f>IF(A390="","",'Raw Enrollments'!E390)</f>
        <v/>
      </c>
      <c r="E390" t="str">
        <f>IF('Raw Payments'!A390="","",'Raw Payments'!A390)</f>
        <v/>
      </c>
      <c r="F390" t="str">
        <f>IF(E390="","",'Raw Payments'!B390)</f>
        <v/>
      </c>
      <c r="G390" t="str">
        <f>IF(E390="","",'Raw Payments'!F390)</f>
        <v/>
      </c>
      <c r="H390" t="str">
        <f>IF(E390="","",'Raw Payments'!H390)</f>
        <v/>
      </c>
      <c r="I390" t="str">
        <f>IF(E390="","",'Raw Payments'!I390)</f>
        <v/>
      </c>
      <c r="J390" t="str">
        <f>IF(A390="","",IF(COUNTIF('Raw Payments'!$C:$C,A390)&gt;0,"Payment Linked","No Payment"))</f>
        <v/>
      </c>
      <c r="K390" t="str">
        <f>IF(F390="","Missing Reference",IF(COUNTIF('Raw Payments'!$B:$B,F390)&gt;1,"Possible Duplicate","Reference Present"))</f>
        <v>Missing Reference</v>
      </c>
      <c r="L390" t="str">
        <f t="shared" si="6"/>
        <v/>
      </c>
    </row>
    <row r="391" spans="1:12" x14ac:dyDescent="0.3">
      <c r="A391" t="str">
        <f>IF('Raw Enrollments'!A391="","",'Raw Enrollments'!A391)</f>
        <v/>
      </c>
      <c r="B391" t="str">
        <f>IF(A391="","",'Raw Enrollments'!B391)</f>
        <v/>
      </c>
      <c r="C391" t="str">
        <f>IF(A391="","",'Raw Enrollments'!C391)</f>
        <v/>
      </c>
      <c r="D391" t="str">
        <f>IF(A391="","",'Raw Enrollments'!E391)</f>
        <v/>
      </c>
      <c r="E391" t="str">
        <f>IF('Raw Payments'!A391="","",'Raw Payments'!A391)</f>
        <v/>
      </c>
      <c r="F391" t="str">
        <f>IF(E391="","",'Raw Payments'!B391)</f>
        <v/>
      </c>
      <c r="G391" t="str">
        <f>IF(E391="","",'Raw Payments'!F391)</f>
        <v/>
      </c>
      <c r="H391" t="str">
        <f>IF(E391="","",'Raw Payments'!H391)</f>
        <v/>
      </c>
      <c r="I391" t="str">
        <f>IF(E391="","",'Raw Payments'!I391)</f>
        <v/>
      </c>
      <c r="J391" t="str">
        <f>IF(A391="","",IF(COUNTIF('Raw Payments'!$C:$C,A391)&gt;0,"Payment Linked","No Payment"))</f>
        <v/>
      </c>
      <c r="K391" t="str">
        <f>IF(F391="","Missing Reference",IF(COUNTIF('Raw Payments'!$B:$B,F391)&gt;1,"Possible Duplicate","Reference Present"))</f>
        <v>Missing Reference</v>
      </c>
      <c r="L391" t="str">
        <f t="shared" si="6"/>
        <v/>
      </c>
    </row>
    <row r="392" spans="1:12" x14ac:dyDescent="0.3">
      <c r="A392" t="str">
        <f>IF('Raw Enrollments'!A392="","",'Raw Enrollments'!A392)</f>
        <v/>
      </c>
      <c r="B392" t="str">
        <f>IF(A392="","",'Raw Enrollments'!B392)</f>
        <v/>
      </c>
      <c r="C392" t="str">
        <f>IF(A392="","",'Raw Enrollments'!C392)</f>
        <v/>
      </c>
      <c r="D392" t="str">
        <f>IF(A392="","",'Raw Enrollments'!E392)</f>
        <v/>
      </c>
      <c r="E392" t="str">
        <f>IF('Raw Payments'!A392="","",'Raw Payments'!A392)</f>
        <v/>
      </c>
      <c r="F392" t="str">
        <f>IF(E392="","",'Raw Payments'!B392)</f>
        <v/>
      </c>
      <c r="G392" t="str">
        <f>IF(E392="","",'Raw Payments'!F392)</f>
        <v/>
      </c>
      <c r="H392" t="str">
        <f>IF(E392="","",'Raw Payments'!H392)</f>
        <v/>
      </c>
      <c r="I392" t="str">
        <f>IF(E392="","",'Raw Payments'!I392)</f>
        <v/>
      </c>
      <c r="J392" t="str">
        <f>IF(A392="","",IF(COUNTIF('Raw Payments'!$C:$C,A392)&gt;0,"Payment Linked","No Payment"))</f>
        <v/>
      </c>
      <c r="K392" t="str">
        <f>IF(F392="","Missing Reference",IF(COUNTIF('Raw Payments'!$B:$B,F392)&gt;1,"Possible Duplicate","Reference Present"))</f>
        <v>Missing Reference</v>
      </c>
      <c r="L392" t="str">
        <f t="shared" si="6"/>
        <v/>
      </c>
    </row>
    <row r="393" spans="1:12" x14ac:dyDescent="0.3">
      <c r="A393" t="str">
        <f>IF('Raw Enrollments'!A393="","",'Raw Enrollments'!A393)</f>
        <v/>
      </c>
      <c r="B393" t="str">
        <f>IF(A393="","",'Raw Enrollments'!B393)</f>
        <v/>
      </c>
      <c r="C393" t="str">
        <f>IF(A393="","",'Raw Enrollments'!C393)</f>
        <v/>
      </c>
      <c r="D393" t="str">
        <f>IF(A393="","",'Raw Enrollments'!E393)</f>
        <v/>
      </c>
      <c r="E393" t="str">
        <f>IF('Raw Payments'!A393="","",'Raw Payments'!A393)</f>
        <v/>
      </c>
      <c r="F393" t="str">
        <f>IF(E393="","",'Raw Payments'!B393)</f>
        <v/>
      </c>
      <c r="G393" t="str">
        <f>IF(E393="","",'Raw Payments'!F393)</f>
        <v/>
      </c>
      <c r="H393" t="str">
        <f>IF(E393="","",'Raw Payments'!H393)</f>
        <v/>
      </c>
      <c r="I393" t="str">
        <f>IF(E393="","",'Raw Payments'!I393)</f>
        <v/>
      </c>
      <c r="J393" t="str">
        <f>IF(A393="","",IF(COUNTIF('Raw Payments'!$C:$C,A393)&gt;0,"Payment Linked","No Payment"))</f>
        <v/>
      </c>
      <c r="K393" t="str">
        <f>IF(F393="","Missing Reference",IF(COUNTIF('Raw Payments'!$B:$B,F393)&gt;1,"Possible Duplicate","Reference Present"))</f>
        <v>Missing Reference</v>
      </c>
      <c r="L393" t="str">
        <f t="shared" si="6"/>
        <v/>
      </c>
    </row>
    <row r="394" spans="1:12" x14ac:dyDescent="0.3">
      <c r="A394" t="str">
        <f>IF('Raw Enrollments'!A394="","",'Raw Enrollments'!A394)</f>
        <v/>
      </c>
      <c r="B394" t="str">
        <f>IF(A394="","",'Raw Enrollments'!B394)</f>
        <v/>
      </c>
      <c r="C394" t="str">
        <f>IF(A394="","",'Raw Enrollments'!C394)</f>
        <v/>
      </c>
      <c r="D394" t="str">
        <f>IF(A394="","",'Raw Enrollments'!E394)</f>
        <v/>
      </c>
      <c r="E394" t="str">
        <f>IF('Raw Payments'!A394="","",'Raw Payments'!A394)</f>
        <v/>
      </c>
      <c r="F394" t="str">
        <f>IF(E394="","",'Raw Payments'!B394)</f>
        <v/>
      </c>
      <c r="G394" t="str">
        <f>IF(E394="","",'Raw Payments'!F394)</f>
        <v/>
      </c>
      <c r="H394" t="str">
        <f>IF(E394="","",'Raw Payments'!H394)</f>
        <v/>
      </c>
      <c r="I394" t="str">
        <f>IF(E394="","",'Raw Payments'!I394)</f>
        <v/>
      </c>
      <c r="J394" t="str">
        <f>IF(A394="","",IF(COUNTIF('Raw Payments'!$C:$C,A394)&gt;0,"Payment Linked","No Payment"))</f>
        <v/>
      </c>
      <c r="K394" t="str">
        <f>IF(F394="","Missing Reference",IF(COUNTIF('Raw Payments'!$B:$B,F394)&gt;1,"Possible Duplicate","Reference Present"))</f>
        <v>Missing Reference</v>
      </c>
      <c r="L394" t="str">
        <f t="shared" si="6"/>
        <v/>
      </c>
    </row>
    <row r="395" spans="1:12" x14ac:dyDescent="0.3">
      <c r="A395" t="str">
        <f>IF('Raw Enrollments'!A395="","",'Raw Enrollments'!A395)</f>
        <v/>
      </c>
      <c r="B395" t="str">
        <f>IF(A395="","",'Raw Enrollments'!B395)</f>
        <v/>
      </c>
      <c r="C395" t="str">
        <f>IF(A395="","",'Raw Enrollments'!C395)</f>
        <v/>
      </c>
      <c r="D395" t="str">
        <f>IF(A395="","",'Raw Enrollments'!E395)</f>
        <v/>
      </c>
      <c r="E395" t="str">
        <f>IF('Raw Payments'!A395="","",'Raw Payments'!A395)</f>
        <v/>
      </c>
      <c r="F395" t="str">
        <f>IF(E395="","",'Raw Payments'!B395)</f>
        <v/>
      </c>
      <c r="G395" t="str">
        <f>IF(E395="","",'Raw Payments'!F395)</f>
        <v/>
      </c>
      <c r="H395" t="str">
        <f>IF(E395="","",'Raw Payments'!H395)</f>
        <v/>
      </c>
      <c r="I395" t="str">
        <f>IF(E395="","",'Raw Payments'!I395)</f>
        <v/>
      </c>
      <c r="J395" t="str">
        <f>IF(A395="","",IF(COUNTIF('Raw Payments'!$C:$C,A395)&gt;0,"Payment Linked","No Payment"))</f>
        <v/>
      </c>
      <c r="K395" t="str">
        <f>IF(F395="","Missing Reference",IF(COUNTIF('Raw Payments'!$B:$B,F395)&gt;1,"Possible Duplicate","Reference Present"))</f>
        <v>Missing Reference</v>
      </c>
      <c r="L395" t="str">
        <f t="shared" si="6"/>
        <v/>
      </c>
    </row>
    <row r="396" spans="1:12" x14ac:dyDescent="0.3">
      <c r="A396" t="str">
        <f>IF('Raw Enrollments'!A396="","",'Raw Enrollments'!A396)</f>
        <v/>
      </c>
      <c r="B396" t="str">
        <f>IF(A396="","",'Raw Enrollments'!B396)</f>
        <v/>
      </c>
      <c r="C396" t="str">
        <f>IF(A396="","",'Raw Enrollments'!C396)</f>
        <v/>
      </c>
      <c r="D396" t="str">
        <f>IF(A396="","",'Raw Enrollments'!E396)</f>
        <v/>
      </c>
      <c r="E396" t="str">
        <f>IF('Raw Payments'!A396="","",'Raw Payments'!A396)</f>
        <v/>
      </c>
      <c r="F396" t="str">
        <f>IF(E396="","",'Raw Payments'!B396)</f>
        <v/>
      </c>
      <c r="G396" t="str">
        <f>IF(E396="","",'Raw Payments'!F396)</f>
        <v/>
      </c>
      <c r="H396" t="str">
        <f>IF(E396="","",'Raw Payments'!H396)</f>
        <v/>
      </c>
      <c r="I396" t="str">
        <f>IF(E396="","",'Raw Payments'!I396)</f>
        <v/>
      </c>
      <c r="J396" t="str">
        <f>IF(A396="","",IF(COUNTIF('Raw Payments'!$C:$C,A396)&gt;0,"Payment Linked","No Payment"))</f>
        <v/>
      </c>
      <c r="K396" t="str">
        <f>IF(F396="","Missing Reference",IF(COUNTIF('Raw Payments'!$B:$B,F396)&gt;1,"Possible Duplicate","Reference Present"))</f>
        <v>Missing Reference</v>
      </c>
      <c r="L396" t="str">
        <f t="shared" si="6"/>
        <v/>
      </c>
    </row>
    <row r="397" spans="1:12" x14ac:dyDescent="0.3">
      <c r="A397" t="str">
        <f>IF('Raw Enrollments'!A397="","",'Raw Enrollments'!A397)</f>
        <v/>
      </c>
      <c r="B397" t="str">
        <f>IF(A397="","",'Raw Enrollments'!B397)</f>
        <v/>
      </c>
      <c r="C397" t="str">
        <f>IF(A397="","",'Raw Enrollments'!C397)</f>
        <v/>
      </c>
      <c r="D397" t="str">
        <f>IF(A397="","",'Raw Enrollments'!E397)</f>
        <v/>
      </c>
      <c r="E397" t="str">
        <f>IF('Raw Payments'!A397="","",'Raw Payments'!A397)</f>
        <v/>
      </c>
      <c r="F397" t="str">
        <f>IF(E397="","",'Raw Payments'!B397)</f>
        <v/>
      </c>
      <c r="G397" t="str">
        <f>IF(E397="","",'Raw Payments'!F397)</f>
        <v/>
      </c>
      <c r="H397" t="str">
        <f>IF(E397="","",'Raw Payments'!H397)</f>
        <v/>
      </c>
      <c r="I397" t="str">
        <f>IF(E397="","",'Raw Payments'!I397)</f>
        <v/>
      </c>
      <c r="J397" t="str">
        <f>IF(A397="","",IF(COUNTIF('Raw Payments'!$C:$C,A397)&gt;0,"Payment Linked","No Payment"))</f>
        <v/>
      </c>
      <c r="K397" t="str">
        <f>IF(F397="","Missing Reference",IF(COUNTIF('Raw Payments'!$B:$B,F397)&gt;1,"Possible Duplicate","Reference Present"))</f>
        <v>Missing Reference</v>
      </c>
      <c r="L397" t="str">
        <f t="shared" si="6"/>
        <v/>
      </c>
    </row>
    <row r="398" spans="1:12" x14ac:dyDescent="0.3">
      <c r="A398" t="str">
        <f>IF('Raw Enrollments'!A398="","",'Raw Enrollments'!A398)</f>
        <v/>
      </c>
      <c r="B398" t="str">
        <f>IF(A398="","",'Raw Enrollments'!B398)</f>
        <v/>
      </c>
      <c r="C398" t="str">
        <f>IF(A398="","",'Raw Enrollments'!C398)</f>
        <v/>
      </c>
      <c r="D398" t="str">
        <f>IF(A398="","",'Raw Enrollments'!E398)</f>
        <v/>
      </c>
      <c r="E398" t="str">
        <f>IF('Raw Payments'!A398="","",'Raw Payments'!A398)</f>
        <v/>
      </c>
      <c r="F398" t="str">
        <f>IF(E398="","",'Raw Payments'!B398)</f>
        <v/>
      </c>
      <c r="G398" t="str">
        <f>IF(E398="","",'Raw Payments'!F398)</f>
        <v/>
      </c>
      <c r="H398" t="str">
        <f>IF(E398="","",'Raw Payments'!H398)</f>
        <v/>
      </c>
      <c r="I398" t="str">
        <f>IF(E398="","",'Raw Payments'!I398)</f>
        <v/>
      </c>
      <c r="J398" t="str">
        <f>IF(A398="","",IF(COUNTIF('Raw Payments'!$C:$C,A398)&gt;0,"Payment Linked","No Payment"))</f>
        <v/>
      </c>
      <c r="K398" t="str">
        <f>IF(F398="","Missing Reference",IF(COUNTIF('Raw Payments'!$B:$B,F398)&gt;1,"Possible Duplicate","Reference Present"))</f>
        <v>Missing Reference</v>
      </c>
      <c r="L398" t="str">
        <f t="shared" si="6"/>
        <v/>
      </c>
    </row>
    <row r="399" spans="1:12" x14ac:dyDescent="0.3">
      <c r="A399" t="str">
        <f>IF('Raw Enrollments'!A399="","",'Raw Enrollments'!A399)</f>
        <v/>
      </c>
      <c r="B399" t="str">
        <f>IF(A399="","",'Raw Enrollments'!B399)</f>
        <v/>
      </c>
      <c r="C399" t="str">
        <f>IF(A399="","",'Raw Enrollments'!C399)</f>
        <v/>
      </c>
      <c r="D399" t="str">
        <f>IF(A399="","",'Raw Enrollments'!E399)</f>
        <v/>
      </c>
      <c r="E399" t="str">
        <f>IF('Raw Payments'!A399="","",'Raw Payments'!A399)</f>
        <v/>
      </c>
      <c r="F399" t="str">
        <f>IF(E399="","",'Raw Payments'!B399)</f>
        <v/>
      </c>
      <c r="G399" t="str">
        <f>IF(E399="","",'Raw Payments'!F399)</f>
        <v/>
      </c>
      <c r="H399" t="str">
        <f>IF(E399="","",'Raw Payments'!H399)</f>
        <v/>
      </c>
      <c r="I399" t="str">
        <f>IF(E399="","",'Raw Payments'!I399)</f>
        <v/>
      </c>
      <c r="J399" t="str">
        <f>IF(A399="","",IF(COUNTIF('Raw Payments'!$C:$C,A399)&gt;0,"Payment Linked","No Payment"))</f>
        <v/>
      </c>
      <c r="K399" t="str">
        <f>IF(F399="","Missing Reference",IF(COUNTIF('Raw Payments'!$B:$B,F399)&gt;1,"Possible Duplicate","Reference Present"))</f>
        <v>Missing Reference</v>
      </c>
      <c r="L399" t="str">
        <f t="shared" si="6"/>
        <v/>
      </c>
    </row>
    <row r="400" spans="1:12" x14ac:dyDescent="0.3">
      <c r="A400" t="str">
        <f>IF('Raw Enrollments'!A400="","",'Raw Enrollments'!A400)</f>
        <v/>
      </c>
      <c r="B400" t="str">
        <f>IF(A400="","",'Raw Enrollments'!B400)</f>
        <v/>
      </c>
      <c r="C400" t="str">
        <f>IF(A400="","",'Raw Enrollments'!C400)</f>
        <v/>
      </c>
      <c r="D400" t="str">
        <f>IF(A400="","",'Raw Enrollments'!E400)</f>
        <v/>
      </c>
      <c r="E400" t="str">
        <f>IF('Raw Payments'!A400="","",'Raw Payments'!A400)</f>
        <v/>
      </c>
      <c r="F400" t="str">
        <f>IF(E400="","",'Raw Payments'!B400)</f>
        <v/>
      </c>
      <c r="G400" t="str">
        <f>IF(E400="","",'Raw Payments'!F400)</f>
        <v/>
      </c>
      <c r="H400" t="str">
        <f>IF(E400="","",'Raw Payments'!H400)</f>
        <v/>
      </c>
      <c r="I400" t="str">
        <f>IF(E400="","",'Raw Payments'!I400)</f>
        <v/>
      </c>
      <c r="J400" t="str">
        <f>IF(A400="","",IF(COUNTIF('Raw Payments'!$C:$C,A400)&gt;0,"Payment Linked","No Payment"))</f>
        <v/>
      </c>
      <c r="K400" t="str">
        <f>IF(F400="","Missing Reference",IF(COUNTIF('Raw Payments'!$B:$B,F400)&gt;1,"Possible Duplicate","Reference Present"))</f>
        <v>Missing Reference</v>
      </c>
      <c r="L400" t="str">
        <f t="shared" si="6"/>
        <v/>
      </c>
    </row>
    <row r="401" spans="1:12" x14ac:dyDescent="0.3">
      <c r="A401" t="str">
        <f>IF('Raw Enrollments'!A401="","",'Raw Enrollments'!A401)</f>
        <v/>
      </c>
      <c r="B401" t="str">
        <f>IF(A401="","",'Raw Enrollments'!B401)</f>
        <v/>
      </c>
      <c r="C401" t="str">
        <f>IF(A401="","",'Raw Enrollments'!C401)</f>
        <v/>
      </c>
      <c r="D401" t="str">
        <f>IF(A401="","",'Raw Enrollments'!E401)</f>
        <v/>
      </c>
      <c r="E401" t="str">
        <f>IF('Raw Payments'!A401="","",'Raw Payments'!A401)</f>
        <v/>
      </c>
      <c r="F401" t="str">
        <f>IF(E401="","",'Raw Payments'!B401)</f>
        <v/>
      </c>
      <c r="G401" t="str">
        <f>IF(E401="","",'Raw Payments'!F401)</f>
        <v/>
      </c>
      <c r="H401" t="str">
        <f>IF(E401="","",'Raw Payments'!H401)</f>
        <v/>
      </c>
      <c r="I401" t="str">
        <f>IF(E401="","",'Raw Payments'!I401)</f>
        <v/>
      </c>
      <c r="J401" t="str">
        <f>IF(A401="","",IF(COUNTIF('Raw Payments'!$C:$C,A401)&gt;0,"Payment Linked","No Payment"))</f>
        <v/>
      </c>
      <c r="K401" t="str">
        <f>IF(F401="","Missing Reference",IF(COUNTIF('Raw Payments'!$B:$B,F401)&gt;1,"Possible Duplicate","Reference Present"))</f>
        <v>Missing Reference</v>
      </c>
      <c r="L401" t="str">
        <f t="shared" si="6"/>
        <v/>
      </c>
    </row>
    <row r="402" spans="1:12" x14ac:dyDescent="0.3">
      <c r="A402" t="str">
        <f>IF('Raw Enrollments'!A402="","",'Raw Enrollments'!A402)</f>
        <v/>
      </c>
      <c r="B402" t="str">
        <f>IF(A402="","",'Raw Enrollments'!B402)</f>
        <v/>
      </c>
      <c r="C402" t="str">
        <f>IF(A402="","",'Raw Enrollments'!C402)</f>
        <v/>
      </c>
      <c r="D402" t="str">
        <f>IF(A402="","",'Raw Enrollments'!E402)</f>
        <v/>
      </c>
      <c r="E402" t="str">
        <f>IF('Raw Payments'!A402="","",'Raw Payments'!A402)</f>
        <v/>
      </c>
      <c r="F402" t="str">
        <f>IF(E402="","",'Raw Payments'!B402)</f>
        <v/>
      </c>
      <c r="G402" t="str">
        <f>IF(E402="","",'Raw Payments'!F402)</f>
        <v/>
      </c>
      <c r="H402" t="str">
        <f>IF(E402="","",'Raw Payments'!H402)</f>
        <v/>
      </c>
      <c r="I402" t="str">
        <f>IF(E402="","",'Raw Payments'!I402)</f>
        <v/>
      </c>
      <c r="J402" t="str">
        <f>IF(A402="","",IF(COUNTIF('Raw Payments'!$C:$C,A402)&gt;0,"Payment Linked","No Payment"))</f>
        <v/>
      </c>
      <c r="K402" t="str">
        <f>IF(F402="","Missing Reference",IF(COUNTIF('Raw Payments'!$B:$B,F402)&gt;1,"Possible Duplicate","Reference Present"))</f>
        <v>Missing Reference</v>
      </c>
      <c r="L402" t="str">
        <f t="shared" si="6"/>
        <v/>
      </c>
    </row>
    <row r="403" spans="1:12" x14ac:dyDescent="0.3">
      <c r="A403" t="str">
        <f>IF('Raw Enrollments'!A403="","",'Raw Enrollments'!A403)</f>
        <v/>
      </c>
      <c r="B403" t="str">
        <f>IF(A403="","",'Raw Enrollments'!B403)</f>
        <v/>
      </c>
      <c r="C403" t="str">
        <f>IF(A403="","",'Raw Enrollments'!C403)</f>
        <v/>
      </c>
      <c r="D403" t="str">
        <f>IF(A403="","",'Raw Enrollments'!E403)</f>
        <v/>
      </c>
      <c r="E403" t="str">
        <f>IF('Raw Payments'!A403="","",'Raw Payments'!A403)</f>
        <v/>
      </c>
      <c r="F403" t="str">
        <f>IF(E403="","",'Raw Payments'!B403)</f>
        <v/>
      </c>
      <c r="G403" t="str">
        <f>IF(E403="","",'Raw Payments'!F403)</f>
        <v/>
      </c>
      <c r="H403" t="str">
        <f>IF(E403="","",'Raw Payments'!H403)</f>
        <v/>
      </c>
      <c r="I403" t="str">
        <f>IF(E403="","",'Raw Payments'!I403)</f>
        <v/>
      </c>
      <c r="J403" t="str">
        <f>IF(A403="","",IF(COUNTIF('Raw Payments'!$C:$C,A403)&gt;0,"Payment Linked","No Payment"))</f>
        <v/>
      </c>
      <c r="K403" t="str">
        <f>IF(F403="","Missing Reference",IF(COUNTIF('Raw Payments'!$B:$B,F403)&gt;1,"Possible Duplicate","Reference Present"))</f>
        <v>Missing Reference</v>
      </c>
      <c r="L403" t="str">
        <f t="shared" si="6"/>
        <v/>
      </c>
    </row>
    <row r="404" spans="1:12" x14ac:dyDescent="0.3">
      <c r="A404" t="str">
        <f>IF('Raw Enrollments'!A404="","",'Raw Enrollments'!A404)</f>
        <v/>
      </c>
      <c r="B404" t="str">
        <f>IF(A404="","",'Raw Enrollments'!B404)</f>
        <v/>
      </c>
      <c r="C404" t="str">
        <f>IF(A404="","",'Raw Enrollments'!C404)</f>
        <v/>
      </c>
      <c r="D404" t="str">
        <f>IF(A404="","",'Raw Enrollments'!E404)</f>
        <v/>
      </c>
      <c r="E404" t="str">
        <f>IF('Raw Payments'!A404="","",'Raw Payments'!A404)</f>
        <v/>
      </c>
      <c r="F404" t="str">
        <f>IF(E404="","",'Raw Payments'!B404)</f>
        <v/>
      </c>
      <c r="G404" t="str">
        <f>IF(E404="","",'Raw Payments'!F404)</f>
        <v/>
      </c>
      <c r="H404" t="str">
        <f>IF(E404="","",'Raw Payments'!H404)</f>
        <v/>
      </c>
      <c r="I404" t="str">
        <f>IF(E404="","",'Raw Payments'!I404)</f>
        <v/>
      </c>
      <c r="J404" t="str">
        <f>IF(A404="","",IF(COUNTIF('Raw Payments'!$C:$C,A404)&gt;0,"Payment Linked","No Payment"))</f>
        <v/>
      </c>
      <c r="K404" t="str">
        <f>IF(F404="","Missing Reference",IF(COUNTIF('Raw Payments'!$B:$B,F404)&gt;1,"Possible Duplicate","Reference Present"))</f>
        <v>Missing Reference</v>
      </c>
      <c r="L404" t="str">
        <f t="shared" si="6"/>
        <v/>
      </c>
    </row>
    <row r="405" spans="1:12" x14ac:dyDescent="0.3">
      <c r="A405" t="str">
        <f>IF('Raw Enrollments'!A405="","",'Raw Enrollments'!A405)</f>
        <v/>
      </c>
      <c r="B405" t="str">
        <f>IF(A405="","",'Raw Enrollments'!B405)</f>
        <v/>
      </c>
      <c r="C405" t="str">
        <f>IF(A405="","",'Raw Enrollments'!C405)</f>
        <v/>
      </c>
      <c r="D405" t="str">
        <f>IF(A405="","",'Raw Enrollments'!E405)</f>
        <v/>
      </c>
      <c r="E405" t="str">
        <f>IF('Raw Payments'!A405="","",'Raw Payments'!A405)</f>
        <v/>
      </c>
      <c r="F405" t="str">
        <f>IF(E405="","",'Raw Payments'!B405)</f>
        <v/>
      </c>
      <c r="G405" t="str">
        <f>IF(E405="","",'Raw Payments'!F405)</f>
        <v/>
      </c>
      <c r="H405" t="str">
        <f>IF(E405="","",'Raw Payments'!H405)</f>
        <v/>
      </c>
      <c r="I405" t="str">
        <f>IF(E405="","",'Raw Payments'!I405)</f>
        <v/>
      </c>
      <c r="J405" t="str">
        <f>IF(A405="","",IF(COUNTIF('Raw Payments'!$C:$C,A405)&gt;0,"Payment Linked","No Payment"))</f>
        <v/>
      </c>
      <c r="K405" t="str">
        <f>IF(F405="","Missing Reference",IF(COUNTIF('Raw Payments'!$B:$B,F405)&gt;1,"Possible Duplicate","Reference Present"))</f>
        <v>Missing Reference</v>
      </c>
      <c r="L405" t="str">
        <f t="shared" si="6"/>
        <v/>
      </c>
    </row>
    <row r="406" spans="1:12" x14ac:dyDescent="0.3">
      <c r="A406" t="str">
        <f>IF('Raw Enrollments'!A406="","",'Raw Enrollments'!A406)</f>
        <v/>
      </c>
      <c r="B406" t="str">
        <f>IF(A406="","",'Raw Enrollments'!B406)</f>
        <v/>
      </c>
      <c r="C406" t="str">
        <f>IF(A406="","",'Raw Enrollments'!C406)</f>
        <v/>
      </c>
      <c r="D406" t="str">
        <f>IF(A406="","",'Raw Enrollments'!E406)</f>
        <v/>
      </c>
      <c r="E406" t="str">
        <f>IF('Raw Payments'!A406="","",'Raw Payments'!A406)</f>
        <v/>
      </c>
      <c r="F406" t="str">
        <f>IF(E406="","",'Raw Payments'!B406)</f>
        <v/>
      </c>
      <c r="G406" t="str">
        <f>IF(E406="","",'Raw Payments'!F406)</f>
        <v/>
      </c>
      <c r="H406" t="str">
        <f>IF(E406="","",'Raw Payments'!H406)</f>
        <v/>
      </c>
      <c r="I406" t="str">
        <f>IF(E406="","",'Raw Payments'!I406)</f>
        <v/>
      </c>
      <c r="J406" t="str">
        <f>IF(A406="","",IF(COUNTIF('Raw Payments'!$C:$C,A406)&gt;0,"Payment Linked","No Payment"))</f>
        <v/>
      </c>
      <c r="K406" t="str">
        <f>IF(F406="","Missing Reference",IF(COUNTIF('Raw Payments'!$B:$B,F406)&gt;1,"Possible Duplicate","Reference Present"))</f>
        <v>Missing Reference</v>
      </c>
      <c r="L406" t="str">
        <f t="shared" si="6"/>
        <v/>
      </c>
    </row>
    <row r="407" spans="1:12" x14ac:dyDescent="0.3">
      <c r="A407" t="str">
        <f>IF('Raw Enrollments'!A407="","",'Raw Enrollments'!A407)</f>
        <v/>
      </c>
      <c r="B407" t="str">
        <f>IF(A407="","",'Raw Enrollments'!B407)</f>
        <v/>
      </c>
      <c r="C407" t="str">
        <f>IF(A407="","",'Raw Enrollments'!C407)</f>
        <v/>
      </c>
      <c r="D407" t="str">
        <f>IF(A407="","",'Raw Enrollments'!E407)</f>
        <v/>
      </c>
      <c r="E407" t="str">
        <f>IF('Raw Payments'!A407="","",'Raw Payments'!A407)</f>
        <v/>
      </c>
      <c r="F407" t="str">
        <f>IF(E407="","",'Raw Payments'!B407)</f>
        <v/>
      </c>
      <c r="G407" t="str">
        <f>IF(E407="","",'Raw Payments'!F407)</f>
        <v/>
      </c>
      <c r="H407" t="str">
        <f>IF(E407="","",'Raw Payments'!H407)</f>
        <v/>
      </c>
      <c r="I407" t="str">
        <f>IF(E407="","",'Raw Payments'!I407)</f>
        <v/>
      </c>
      <c r="J407" t="str">
        <f>IF(A407="","",IF(COUNTIF('Raw Payments'!$C:$C,A407)&gt;0,"Payment Linked","No Payment"))</f>
        <v/>
      </c>
      <c r="K407" t="str">
        <f>IF(F407="","Missing Reference",IF(COUNTIF('Raw Payments'!$B:$B,F407)&gt;1,"Possible Duplicate","Reference Present"))</f>
        <v>Missing Reference</v>
      </c>
      <c r="L407" t="str">
        <f t="shared" si="6"/>
        <v/>
      </c>
    </row>
    <row r="408" spans="1:12" x14ac:dyDescent="0.3">
      <c r="A408" t="str">
        <f>IF('Raw Enrollments'!A408="","",'Raw Enrollments'!A408)</f>
        <v/>
      </c>
      <c r="B408" t="str">
        <f>IF(A408="","",'Raw Enrollments'!B408)</f>
        <v/>
      </c>
      <c r="C408" t="str">
        <f>IF(A408="","",'Raw Enrollments'!C408)</f>
        <v/>
      </c>
      <c r="D408" t="str">
        <f>IF(A408="","",'Raw Enrollments'!E408)</f>
        <v/>
      </c>
      <c r="E408" t="str">
        <f>IF('Raw Payments'!A408="","",'Raw Payments'!A408)</f>
        <v/>
      </c>
      <c r="F408" t="str">
        <f>IF(E408="","",'Raw Payments'!B408)</f>
        <v/>
      </c>
      <c r="G408" t="str">
        <f>IF(E408="","",'Raw Payments'!F408)</f>
        <v/>
      </c>
      <c r="H408" t="str">
        <f>IF(E408="","",'Raw Payments'!H408)</f>
        <v/>
      </c>
      <c r="I408" t="str">
        <f>IF(E408="","",'Raw Payments'!I408)</f>
        <v/>
      </c>
      <c r="J408" t="str">
        <f>IF(A408="","",IF(COUNTIF('Raw Payments'!$C:$C,A408)&gt;0,"Payment Linked","No Payment"))</f>
        <v/>
      </c>
      <c r="K408" t="str">
        <f>IF(F408="","Missing Reference",IF(COUNTIF('Raw Payments'!$B:$B,F408)&gt;1,"Possible Duplicate","Reference Present"))</f>
        <v>Missing Reference</v>
      </c>
      <c r="L408" t="str">
        <f t="shared" si="6"/>
        <v/>
      </c>
    </row>
    <row r="409" spans="1:12" x14ac:dyDescent="0.3">
      <c r="A409" t="str">
        <f>IF('Raw Enrollments'!A409="","",'Raw Enrollments'!A409)</f>
        <v/>
      </c>
      <c r="B409" t="str">
        <f>IF(A409="","",'Raw Enrollments'!B409)</f>
        <v/>
      </c>
      <c r="C409" t="str">
        <f>IF(A409="","",'Raw Enrollments'!C409)</f>
        <v/>
      </c>
      <c r="D409" t="str">
        <f>IF(A409="","",'Raw Enrollments'!E409)</f>
        <v/>
      </c>
      <c r="E409" t="str">
        <f>IF('Raw Payments'!A409="","",'Raw Payments'!A409)</f>
        <v/>
      </c>
      <c r="F409" t="str">
        <f>IF(E409="","",'Raw Payments'!B409)</f>
        <v/>
      </c>
      <c r="G409" t="str">
        <f>IF(E409="","",'Raw Payments'!F409)</f>
        <v/>
      </c>
      <c r="H409" t="str">
        <f>IF(E409="","",'Raw Payments'!H409)</f>
        <v/>
      </c>
      <c r="I409" t="str">
        <f>IF(E409="","",'Raw Payments'!I409)</f>
        <v/>
      </c>
      <c r="J409" t="str">
        <f>IF(A409="","",IF(COUNTIF('Raw Payments'!$C:$C,A409)&gt;0,"Payment Linked","No Payment"))</f>
        <v/>
      </c>
      <c r="K409" t="str">
        <f>IF(F409="","Missing Reference",IF(COUNTIF('Raw Payments'!$B:$B,F409)&gt;1,"Possible Duplicate","Reference Present"))</f>
        <v>Missing Reference</v>
      </c>
      <c r="L409" t="str">
        <f t="shared" si="6"/>
        <v/>
      </c>
    </row>
    <row r="410" spans="1:12" x14ac:dyDescent="0.3">
      <c r="A410" t="str">
        <f>IF('Raw Enrollments'!A410="","",'Raw Enrollments'!A410)</f>
        <v/>
      </c>
      <c r="B410" t="str">
        <f>IF(A410="","",'Raw Enrollments'!B410)</f>
        <v/>
      </c>
      <c r="C410" t="str">
        <f>IF(A410="","",'Raw Enrollments'!C410)</f>
        <v/>
      </c>
      <c r="D410" t="str">
        <f>IF(A410="","",'Raw Enrollments'!E410)</f>
        <v/>
      </c>
      <c r="E410" t="str">
        <f>IF('Raw Payments'!A410="","",'Raw Payments'!A410)</f>
        <v/>
      </c>
      <c r="F410" t="str">
        <f>IF(E410="","",'Raw Payments'!B410)</f>
        <v/>
      </c>
      <c r="G410" t="str">
        <f>IF(E410="","",'Raw Payments'!F410)</f>
        <v/>
      </c>
      <c r="H410" t="str">
        <f>IF(E410="","",'Raw Payments'!H410)</f>
        <v/>
      </c>
      <c r="I410" t="str">
        <f>IF(E410="","",'Raw Payments'!I410)</f>
        <v/>
      </c>
      <c r="J410" t="str">
        <f>IF(A410="","",IF(COUNTIF('Raw Payments'!$C:$C,A410)&gt;0,"Payment Linked","No Payment"))</f>
        <v/>
      </c>
      <c r="K410" t="str">
        <f>IF(F410="","Missing Reference",IF(COUNTIF('Raw Payments'!$B:$B,F410)&gt;1,"Possible Duplicate","Reference Present"))</f>
        <v>Missing Reference</v>
      </c>
      <c r="L410" t="str">
        <f t="shared" si="6"/>
        <v/>
      </c>
    </row>
    <row r="411" spans="1:12" x14ac:dyDescent="0.3">
      <c r="A411" t="str">
        <f>IF('Raw Enrollments'!A411="","",'Raw Enrollments'!A411)</f>
        <v/>
      </c>
      <c r="B411" t="str">
        <f>IF(A411="","",'Raw Enrollments'!B411)</f>
        <v/>
      </c>
      <c r="C411" t="str">
        <f>IF(A411="","",'Raw Enrollments'!C411)</f>
        <v/>
      </c>
      <c r="D411" t="str">
        <f>IF(A411="","",'Raw Enrollments'!E411)</f>
        <v/>
      </c>
      <c r="E411" t="str">
        <f>IF('Raw Payments'!A411="","",'Raw Payments'!A411)</f>
        <v/>
      </c>
      <c r="F411" t="str">
        <f>IF(E411="","",'Raw Payments'!B411)</f>
        <v/>
      </c>
      <c r="G411" t="str">
        <f>IF(E411="","",'Raw Payments'!F411)</f>
        <v/>
      </c>
      <c r="H411" t="str">
        <f>IF(E411="","",'Raw Payments'!H411)</f>
        <v/>
      </c>
      <c r="I411" t="str">
        <f>IF(E411="","",'Raw Payments'!I411)</f>
        <v/>
      </c>
      <c r="J411" t="str">
        <f>IF(A411="","",IF(COUNTIF('Raw Payments'!$C:$C,A411)&gt;0,"Payment Linked","No Payment"))</f>
        <v/>
      </c>
      <c r="K411" t="str">
        <f>IF(F411="","Missing Reference",IF(COUNTIF('Raw Payments'!$B:$B,F411)&gt;1,"Possible Duplicate","Reference Present"))</f>
        <v>Missing Reference</v>
      </c>
      <c r="L411" t="str">
        <f t="shared" si="6"/>
        <v/>
      </c>
    </row>
    <row r="412" spans="1:12" x14ac:dyDescent="0.3">
      <c r="A412" t="str">
        <f>IF('Raw Enrollments'!A412="","",'Raw Enrollments'!A412)</f>
        <v/>
      </c>
      <c r="B412" t="str">
        <f>IF(A412="","",'Raw Enrollments'!B412)</f>
        <v/>
      </c>
      <c r="C412" t="str">
        <f>IF(A412="","",'Raw Enrollments'!C412)</f>
        <v/>
      </c>
      <c r="D412" t="str">
        <f>IF(A412="","",'Raw Enrollments'!E412)</f>
        <v/>
      </c>
      <c r="E412" t="str">
        <f>IF('Raw Payments'!A412="","",'Raw Payments'!A412)</f>
        <v/>
      </c>
      <c r="F412" t="str">
        <f>IF(E412="","",'Raw Payments'!B412)</f>
        <v/>
      </c>
      <c r="G412" t="str">
        <f>IF(E412="","",'Raw Payments'!F412)</f>
        <v/>
      </c>
      <c r="H412" t="str">
        <f>IF(E412="","",'Raw Payments'!H412)</f>
        <v/>
      </c>
      <c r="I412" t="str">
        <f>IF(E412="","",'Raw Payments'!I412)</f>
        <v/>
      </c>
      <c r="J412" t="str">
        <f>IF(A412="","",IF(COUNTIF('Raw Payments'!$C:$C,A412)&gt;0,"Payment Linked","No Payment"))</f>
        <v/>
      </c>
      <c r="K412" t="str">
        <f>IF(F412="","Missing Reference",IF(COUNTIF('Raw Payments'!$B:$B,F412)&gt;1,"Possible Duplicate","Reference Present"))</f>
        <v>Missing Reference</v>
      </c>
      <c r="L412" t="str">
        <f t="shared" si="6"/>
        <v/>
      </c>
    </row>
    <row r="413" spans="1:12" x14ac:dyDescent="0.3">
      <c r="A413" t="str">
        <f>IF('Raw Enrollments'!A413="","",'Raw Enrollments'!A413)</f>
        <v/>
      </c>
      <c r="B413" t="str">
        <f>IF(A413="","",'Raw Enrollments'!B413)</f>
        <v/>
      </c>
      <c r="C413" t="str">
        <f>IF(A413="","",'Raw Enrollments'!C413)</f>
        <v/>
      </c>
      <c r="D413" t="str">
        <f>IF(A413="","",'Raw Enrollments'!E413)</f>
        <v/>
      </c>
      <c r="E413" t="str">
        <f>IF('Raw Payments'!A413="","",'Raw Payments'!A413)</f>
        <v/>
      </c>
      <c r="F413" t="str">
        <f>IF(E413="","",'Raw Payments'!B413)</f>
        <v/>
      </c>
      <c r="G413" t="str">
        <f>IF(E413="","",'Raw Payments'!F413)</f>
        <v/>
      </c>
      <c r="H413" t="str">
        <f>IF(E413="","",'Raw Payments'!H413)</f>
        <v/>
      </c>
      <c r="I413" t="str">
        <f>IF(E413="","",'Raw Payments'!I413)</f>
        <v/>
      </c>
      <c r="J413" t="str">
        <f>IF(A413="","",IF(COUNTIF('Raw Payments'!$C:$C,A413)&gt;0,"Payment Linked","No Payment"))</f>
        <v/>
      </c>
      <c r="K413" t="str">
        <f>IF(F413="","Missing Reference",IF(COUNTIF('Raw Payments'!$B:$B,F413)&gt;1,"Possible Duplicate","Reference Present"))</f>
        <v>Missing Reference</v>
      </c>
      <c r="L413" t="str">
        <f t="shared" si="6"/>
        <v/>
      </c>
    </row>
    <row r="414" spans="1:12" x14ac:dyDescent="0.3">
      <c r="A414" t="str">
        <f>IF('Raw Enrollments'!A414="","",'Raw Enrollments'!A414)</f>
        <v/>
      </c>
      <c r="B414" t="str">
        <f>IF(A414="","",'Raw Enrollments'!B414)</f>
        <v/>
      </c>
      <c r="C414" t="str">
        <f>IF(A414="","",'Raw Enrollments'!C414)</f>
        <v/>
      </c>
      <c r="D414" t="str">
        <f>IF(A414="","",'Raw Enrollments'!E414)</f>
        <v/>
      </c>
      <c r="E414" t="str">
        <f>IF('Raw Payments'!A414="","",'Raw Payments'!A414)</f>
        <v/>
      </c>
      <c r="F414" t="str">
        <f>IF(E414="","",'Raw Payments'!B414)</f>
        <v/>
      </c>
      <c r="G414" t="str">
        <f>IF(E414="","",'Raw Payments'!F414)</f>
        <v/>
      </c>
      <c r="H414" t="str">
        <f>IF(E414="","",'Raw Payments'!H414)</f>
        <v/>
      </c>
      <c r="I414" t="str">
        <f>IF(E414="","",'Raw Payments'!I414)</f>
        <v/>
      </c>
      <c r="J414" t="str">
        <f>IF(A414="","",IF(COUNTIF('Raw Payments'!$C:$C,A414)&gt;0,"Payment Linked","No Payment"))</f>
        <v/>
      </c>
      <c r="K414" t="str">
        <f>IF(F414="","Missing Reference",IF(COUNTIF('Raw Payments'!$B:$B,F414)&gt;1,"Possible Duplicate","Reference Present"))</f>
        <v>Missing Reference</v>
      </c>
      <c r="L414" t="str">
        <f t="shared" si="6"/>
        <v/>
      </c>
    </row>
    <row r="415" spans="1:12" x14ac:dyDescent="0.3">
      <c r="A415" t="str">
        <f>IF('Raw Enrollments'!A415="","",'Raw Enrollments'!A415)</f>
        <v/>
      </c>
      <c r="B415" t="str">
        <f>IF(A415="","",'Raw Enrollments'!B415)</f>
        <v/>
      </c>
      <c r="C415" t="str">
        <f>IF(A415="","",'Raw Enrollments'!C415)</f>
        <v/>
      </c>
      <c r="D415" t="str">
        <f>IF(A415="","",'Raw Enrollments'!E415)</f>
        <v/>
      </c>
      <c r="E415" t="str">
        <f>IF('Raw Payments'!A415="","",'Raw Payments'!A415)</f>
        <v/>
      </c>
      <c r="F415" t="str">
        <f>IF(E415="","",'Raw Payments'!B415)</f>
        <v/>
      </c>
      <c r="G415" t="str">
        <f>IF(E415="","",'Raw Payments'!F415)</f>
        <v/>
      </c>
      <c r="H415" t="str">
        <f>IF(E415="","",'Raw Payments'!H415)</f>
        <v/>
      </c>
      <c r="I415" t="str">
        <f>IF(E415="","",'Raw Payments'!I415)</f>
        <v/>
      </c>
      <c r="J415" t="str">
        <f>IF(A415="","",IF(COUNTIF('Raw Payments'!$C:$C,A415)&gt;0,"Payment Linked","No Payment"))</f>
        <v/>
      </c>
      <c r="K415" t="str">
        <f>IF(F415="","Missing Reference",IF(COUNTIF('Raw Payments'!$B:$B,F415)&gt;1,"Possible Duplicate","Reference Present"))</f>
        <v>Missing Reference</v>
      </c>
      <c r="L415" t="str">
        <f t="shared" si="6"/>
        <v/>
      </c>
    </row>
    <row r="416" spans="1:12" x14ac:dyDescent="0.3">
      <c r="A416" t="str">
        <f>IF('Raw Enrollments'!A416="","",'Raw Enrollments'!A416)</f>
        <v/>
      </c>
      <c r="B416" t="str">
        <f>IF(A416="","",'Raw Enrollments'!B416)</f>
        <v/>
      </c>
      <c r="C416" t="str">
        <f>IF(A416="","",'Raw Enrollments'!C416)</f>
        <v/>
      </c>
      <c r="D416" t="str">
        <f>IF(A416="","",'Raw Enrollments'!E416)</f>
        <v/>
      </c>
      <c r="E416" t="str">
        <f>IF('Raw Payments'!A416="","",'Raw Payments'!A416)</f>
        <v/>
      </c>
      <c r="F416" t="str">
        <f>IF(E416="","",'Raw Payments'!B416)</f>
        <v/>
      </c>
      <c r="G416" t="str">
        <f>IF(E416="","",'Raw Payments'!F416)</f>
        <v/>
      </c>
      <c r="H416" t="str">
        <f>IF(E416="","",'Raw Payments'!H416)</f>
        <v/>
      </c>
      <c r="I416" t="str">
        <f>IF(E416="","",'Raw Payments'!I416)</f>
        <v/>
      </c>
      <c r="J416" t="str">
        <f>IF(A416="","",IF(COUNTIF('Raw Payments'!$C:$C,A416)&gt;0,"Payment Linked","No Payment"))</f>
        <v/>
      </c>
      <c r="K416" t="str">
        <f>IF(F416="","Missing Reference",IF(COUNTIF('Raw Payments'!$B:$B,F416)&gt;1,"Possible Duplicate","Reference Present"))</f>
        <v>Missing Reference</v>
      </c>
      <c r="L416" t="str">
        <f t="shared" si="6"/>
        <v/>
      </c>
    </row>
    <row r="417" spans="1:12" x14ac:dyDescent="0.3">
      <c r="A417" t="str">
        <f>IF('Raw Enrollments'!A417="","",'Raw Enrollments'!A417)</f>
        <v/>
      </c>
      <c r="B417" t="str">
        <f>IF(A417="","",'Raw Enrollments'!B417)</f>
        <v/>
      </c>
      <c r="C417" t="str">
        <f>IF(A417="","",'Raw Enrollments'!C417)</f>
        <v/>
      </c>
      <c r="D417" t="str">
        <f>IF(A417="","",'Raw Enrollments'!E417)</f>
        <v/>
      </c>
      <c r="E417" t="str">
        <f>IF('Raw Payments'!A417="","",'Raw Payments'!A417)</f>
        <v/>
      </c>
      <c r="F417" t="str">
        <f>IF(E417="","",'Raw Payments'!B417)</f>
        <v/>
      </c>
      <c r="G417" t="str">
        <f>IF(E417="","",'Raw Payments'!F417)</f>
        <v/>
      </c>
      <c r="H417" t="str">
        <f>IF(E417="","",'Raw Payments'!H417)</f>
        <v/>
      </c>
      <c r="I417" t="str">
        <f>IF(E417="","",'Raw Payments'!I417)</f>
        <v/>
      </c>
      <c r="J417" t="str">
        <f>IF(A417="","",IF(COUNTIF('Raw Payments'!$C:$C,A417)&gt;0,"Payment Linked","No Payment"))</f>
        <v/>
      </c>
      <c r="K417" t="str">
        <f>IF(F417="","Missing Reference",IF(COUNTIF('Raw Payments'!$B:$B,F417)&gt;1,"Possible Duplicate","Reference Present"))</f>
        <v>Missing Reference</v>
      </c>
      <c r="L417" t="str">
        <f t="shared" si="6"/>
        <v/>
      </c>
    </row>
    <row r="418" spans="1:12" x14ac:dyDescent="0.3">
      <c r="A418" t="str">
        <f>IF('Raw Enrollments'!A418="","",'Raw Enrollments'!A418)</f>
        <v/>
      </c>
      <c r="B418" t="str">
        <f>IF(A418="","",'Raw Enrollments'!B418)</f>
        <v/>
      </c>
      <c r="C418" t="str">
        <f>IF(A418="","",'Raw Enrollments'!C418)</f>
        <v/>
      </c>
      <c r="D418" t="str">
        <f>IF(A418="","",'Raw Enrollments'!E418)</f>
        <v/>
      </c>
      <c r="E418" t="str">
        <f>IF('Raw Payments'!A418="","",'Raw Payments'!A418)</f>
        <v/>
      </c>
      <c r="F418" t="str">
        <f>IF(E418="","",'Raw Payments'!B418)</f>
        <v/>
      </c>
      <c r="G418" t="str">
        <f>IF(E418="","",'Raw Payments'!F418)</f>
        <v/>
      </c>
      <c r="H418" t="str">
        <f>IF(E418="","",'Raw Payments'!H418)</f>
        <v/>
      </c>
      <c r="I418" t="str">
        <f>IF(E418="","",'Raw Payments'!I418)</f>
        <v/>
      </c>
      <c r="J418" t="str">
        <f>IF(A418="","",IF(COUNTIF('Raw Payments'!$C:$C,A418)&gt;0,"Payment Linked","No Payment"))</f>
        <v/>
      </c>
      <c r="K418" t="str">
        <f>IF(F418="","Missing Reference",IF(COUNTIF('Raw Payments'!$B:$B,F418)&gt;1,"Possible Duplicate","Reference Present"))</f>
        <v>Missing Reference</v>
      </c>
      <c r="L418" t="str">
        <f t="shared" si="6"/>
        <v/>
      </c>
    </row>
    <row r="419" spans="1:12" x14ac:dyDescent="0.3">
      <c r="A419" t="str">
        <f>IF('Raw Enrollments'!A419="","",'Raw Enrollments'!A419)</f>
        <v/>
      </c>
      <c r="B419" t="str">
        <f>IF(A419="","",'Raw Enrollments'!B419)</f>
        <v/>
      </c>
      <c r="C419" t="str">
        <f>IF(A419="","",'Raw Enrollments'!C419)</f>
        <v/>
      </c>
      <c r="D419" t="str">
        <f>IF(A419="","",'Raw Enrollments'!E419)</f>
        <v/>
      </c>
      <c r="E419" t="str">
        <f>IF('Raw Payments'!A419="","",'Raw Payments'!A419)</f>
        <v/>
      </c>
      <c r="F419" t="str">
        <f>IF(E419="","",'Raw Payments'!B419)</f>
        <v/>
      </c>
      <c r="G419" t="str">
        <f>IF(E419="","",'Raw Payments'!F419)</f>
        <v/>
      </c>
      <c r="H419" t="str">
        <f>IF(E419="","",'Raw Payments'!H419)</f>
        <v/>
      </c>
      <c r="I419" t="str">
        <f>IF(E419="","",'Raw Payments'!I419)</f>
        <v/>
      </c>
      <c r="J419" t="str">
        <f>IF(A419="","",IF(COUNTIF('Raw Payments'!$C:$C,A419)&gt;0,"Payment Linked","No Payment"))</f>
        <v/>
      </c>
      <c r="K419" t="str">
        <f>IF(F419="","Missing Reference",IF(COUNTIF('Raw Payments'!$B:$B,F419)&gt;1,"Possible Duplicate","Reference Present"))</f>
        <v>Missing Reference</v>
      </c>
      <c r="L419" t="str">
        <f t="shared" si="6"/>
        <v/>
      </c>
    </row>
    <row r="420" spans="1:12" x14ac:dyDescent="0.3">
      <c r="A420" t="str">
        <f>IF('Raw Enrollments'!A420="","",'Raw Enrollments'!A420)</f>
        <v/>
      </c>
      <c r="B420" t="str">
        <f>IF(A420="","",'Raw Enrollments'!B420)</f>
        <v/>
      </c>
      <c r="C420" t="str">
        <f>IF(A420="","",'Raw Enrollments'!C420)</f>
        <v/>
      </c>
      <c r="D420" t="str">
        <f>IF(A420="","",'Raw Enrollments'!E420)</f>
        <v/>
      </c>
      <c r="E420" t="str">
        <f>IF('Raw Payments'!A420="","",'Raw Payments'!A420)</f>
        <v/>
      </c>
      <c r="F420" t="str">
        <f>IF(E420="","",'Raw Payments'!B420)</f>
        <v/>
      </c>
      <c r="G420" t="str">
        <f>IF(E420="","",'Raw Payments'!F420)</f>
        <v/>
      </c>
      <c r="H420" t="str">
        <f>IF(E420="","",'Raw Payments'!H420)</f>
        <v/>
      </c>
      <c r="I420" t="str">
        <f>IF(E420="","",'Raw Payments'!I420)</f>
        <v/>
      </c>
      <c r="J420" t="str">
        <f>IF(A420="","",IF(COUNTIF('Raw Payments'!$C:$C,A420)&gt;0,"Payment Linked","No Payment"))</f>
        <v/>
      </c>
      <c r="K420" t="str">
        <f>IF(F420="","Missing Reference",IF(COUNTIF('Raw Payments'!$B:$B,F420)&gt;1,"Possible Duplicate","Reference Present"))</f>
        <v>Missing Reference</v>
      </c>
      <c r="L420" t="str">
        <f t="shared" si="6"/>
        <v/>
      </c>
    </row>
    <row r="421" spans="1:12" x14ac:dyDescent="0.3">
      <c r="A421" t="str">
        <f>IF('Raw Enrollments'!A421="","",'Raw Enrollments'!A421)</f>
        <v/>
      </c>
      <c r="B421" t="str">
        <f>IF(A421="","",'Raw Enrollments'!B421)</f>
        <v/>
      </c>
      <c r="C421" t="str">
        <f>IF(A421="","",'Raw Enrollments'!C421)</f>
        <v/>
      </c>
      <c r="D421" t="str">
        <f>IF(A421="","",'Raw Enrollments'!E421)</f>
        <v/>
      </c>
      <c r="E421" t="str">
        <f>IF('Raw Payments'!A421="","",'Raw Payments'!A421)</f>
        <v/>
      </c>
      <c r="F421" t="str">
        <f>IF(E421="","",'Raw Payments'!B421)</f>
        <v/>
      </c>
      <c r="G421" t="str">
        <f>IF(E421="","",'Raw Payments'!F421)</f>
        <v/>
      </c>
      <c r="H421" t="str">
        <f>IF(E421="","",'Raw Payments'!H421)</f>
        <v/>
      </c>
      <c r="I421" t="str">
        <f>IF(E421="","",'Raw Payments'!I421)</f>
        <v/>
      </c>
      <c r="J421" t="str">
        <f>IF(A421="","",IF(COUNTIF('Raw Payments'!$C:$C,A421)&gt;0,"Payment Linked","No Payment"))</f>
        <v/>
      </c>
      <c r="K421" t="str">
        <f>IF(F421="","Missing Reference",IF(COUNTIF('Raw Payments'!$B:$B,F421)&gt;1,"Possible Duplicate","Reference Present"))</f>
        <v>Missing Reference</v>
      </c>
      <c r="L421" t="str">
        <f t="shared" si="6"/>
        <v/>
      </c>
    </row>
    <row r="422" spans="1:12" x14ac:dyDescent="0.3">
      <c r="A422" t="str">
        <f>IF('Raw Enrollments'!A422="","",'Raw Enrollments'!A422)</f>
        <v/>
      </c>
      <c r="B422" t="str">
        <f>IF(A422="","",'Raw Enrollments'!B422)</f>
        <v/>
      </c>
      <c r="C422" t="str">
        <f>IF(A422="","",'Raw Enrollments'!C422)</f>
        <v/>
      </c>
      <c r="D422" t="str">
        <f>IF(A422="","",'Raw Enrollments'!E422)</f>
        <v/>
      </c>
      <c r="E422" t="str">
        <f>IF('Raw Payments'!A422="","",'Raw Payments'!A422)</f>
        <v/>
      </c>
      <c r="F422" t="str">
        <f>IF(E422="","",'Raw Payments'!B422)</f>
        <v/>
      </c>
      <c r="G422" t="str">
        <f>IF(E422="","",'Raw Payments'!F422)</f>
        <v/>
      </c>
      <c r="H422" t="str">
        <f>IF(E422="","",'Raw Payments'!H422)</f>
        <v/>
      </c>
      <c r="I422" t="str">
        <f>IF(E422="","",'Raw Payments'!I422)</f>
        <v/>
      </c>
      <c r="J422" t="str">
        <f>IF(A422="","",IF(COUNTIF('Raw Payments'!$C:$C,A422)&gt;0,"Payment Linked","No Payment"))</f>
        <v/>
      </c>
      <c r="K422" t="str">
        <f>IF(F422="","Missing Reference",IF(COUNTIF('Raw Payments'!$B:$B,F422)&gt;1,"Possible Duplicate","Reference Present"))</f>
        <v>Missing Reference</v>
      </c>
      <c r="L422" t="str">
        <f t="shared" si="6"/>
        <v/>
      </c>
    </row>
    <row r="423" spans="1:12" x14ac:dyDescent="0.3">
      <c r="A423" t="str">
        <f>IF('Raw Enrollments'!A423="","",'Raw Enrollments'!A423)</f>
        <v/>
      </c>
      <c r="B423" t="str">
        <f>IF(A423="","",'Raw Enrollments'!B423)</f>
        <v/>
      </c>
      <c r="C423" t="str">
        <f>IF(A423="","",'Raw Enrollments'!C423)</f>
        <v/>
      </c>
      <c r="D423" t="str">
        <f>IF(A423="","",'Raw Enrollments'!E423)</f>
        <v/>
      </c>
      <c r="E423" t="str">
        <f>IF('Raw Payments'!A423="","",'Raw Payments'!A423)</f>
        <v/>
      </c>
      <c r="F423" t="str">
        <f>IF(E423="","",'Raw Payments'!B423)</f>
        <v/>
      </c>
      <c r="G423" t="str">
        <f>IF(E423="","",'Raw Payments'!F423)</f>
        <v/>
      </c>
      <c r="H423" t="str">
        <f>IF(E423="","",'Raw Payments'!H423)</f>
        <v/>
      </c>
      <c r="I423" t="str">
        <f>IF(E423="","",'Raw Payments'!I423)</f>
        <v/>
      </c>
      <c r="J423" t="str">
        <f>IF(A423="","",IF(COUNTIF('Raw Payments'!$C:$C,A423)&gt;0,"Payment Linked","No Payment"))</f>
        <v/>
      </c>
      <c r="K423" t="str">
        <f>IF(F423="","Missing Reference",IF(COUNTIF('Raw Payments'!$B:$B,F423)&gt;1,"Possible Duplicate","Reference Present"))</f>
        <v>Missing Reference</v>
      </c>
      <c r="L423" t="str">
        <f t="shared" si="6"/>
        <v/>
      </c>
    </row>
    <row r="424" spans="1:12" x14ac:dyDescent="0.3">
      <c r="A424" t="str">
        <f>IF('Raw Enrollments'!A424="","",'Raw Enrollments'!A424)</f>
        <v/>
      </c>
      <c r="B424" t="str">
        <f>IF(A424="","",'Raw Enrollments'!B424)</f>
        <v/>
      </c>
      <c r="C424" t="str">
        <f>IF(A424="","",'Raw Enrollments'!C424)</f>
        <v/>
      </c>
      <c r="D424" t="str">
        <f>IF(A424="","",'Raw Enrollments'!E424)</f>
        <v/>
      </c>
      <c r="E424" t="str">
        <f>IF('Raw Payments'!A424="","",'Raw Payments'!A424)</f>
        <v/>
      </c>
      <c r="F424" t="str">
        <f>IF(E424="","",'Raw Payments'!B424)</f>
        <v/>
      </c>
      <c r="G424" t="str">
        <f>IF(E424="","",'Raw Payments'!F424)</f>
        <v/>
      </c>
      <c r="H424" t="str">
        <f>IF(E424="","",'Raw Payments'!H424)</f>
        <v/>
      </c>
      <c r="I424" t="str">
        <f>IF(E424="","",'Raw Payments'!I424)</f>
        <v/>
      </c>
      <c r="J424" t="str">
        <f>IF(A424="","",IF(COUNTIF('Raw Payments'!$C:$C,A424)&gt;0,"Payment Linked","No Payment"))</f>
        <v/>
      </c>
      <c r="K424" t="str">
        <f>IF(F424="","Missing Reference",IF(COUNTIF('Raw Payments'!$B:$B,F424)&gt;1,"Possible Duplicate","Reference Present"))</f>
        <v>Missing Reference</v>
      </c>
      <c r="L424" t="str">
        <f t="shared" si="6"/>
        <v/>
      </c>
    </row>
    <row r="425" spans="1:12" x14ac:dyDescent="0.3">
      <c r="A425" t="str">
        <f>IF('Raw Enrollments'!A425="","",'Raw Enrollments'!A425)</f>
        <v/>
      </c>
      <c r="B425" t="str">
        <f>IF(A425="","",'Raw Enrollments'!B425)</f>
        <v/>
      </c>
      <c r="C425" t="str">
        <f>IF(A425="","",'Raw Enrollments'!C425)</f>
        <v/>
      </c>
      <c r="D425" t="str">
        <f>IF(A425="","",'Raw Enrollments'!E425)</f>
        <v/>
      </c>
      <c r="E425" t="str">
        <f>IF('Raw Payments'!A425="","",'Raw Payments'!A425)</f>
        <v/>
      </c>
      <c r="F425" t="str">
        <f>IF(E425="","",'Raw Payments'!B425)</f>
        <v/>
      </c>
      <c r="G425" t="str">
        <f>IF(E425="","",'Raw Payments'!F425)</f>
        <v/>
      </c>
      <c r="H425" t="str">
        <f>IF(E425="","",'Raw Payments'!H425)</f>
        <v/>
      </c>
      <c r="I425" t="str">
        <f>IF(E425="","",'Raw Payments'!I425)</f>
        <v/>
      </c>
      <c r="J425" t="str">
        <f>IF(A425="","",IF(COUNTIF('Raw Payments'!$C:$C,A425)&gt;0,"Payment Linked","No Payment"))</f>
        <v/>
      </c>
      <c r="K425" t="str">
        <f>IF(F425="","Missing Reference",IF(COUNTIF('Raw Payments'!$B:$B,F425)&gt;1,"Possible Duplicate","Reference Present"))</f>
        <v>Missing Reference</v>
      </c>
      <c r="L425" t="str">
        <f t="shared" si="6"/>
        <v/>
      </c>
    </row>
    <row r="426" spans="1:12" x14ac:dyDescent="0.3">
      <c r="A426" t="str">
        <f>IF('Raw Enrollments'!A426="","",'Raw Enrollments'!A426)</f>
        <v/>
      </c>
      <c r="B426" t="str">
        <f>IF(A426="","",'Raw Enrollments'!B426)</f>
        <v/>
      </c>
      <c r="C426" t="str">
        <f>IF(A426="","",'Raw Enrollments'!C426)</f>
        <v/>
      </c>
      <c r="D426" t="str">
        <f>IF(A426="","",'Raw Enrollments'!E426)</f>
        <v/>
      </c>
      <c r="E426" t="str">
        <f>IF('Raw Payments'!A426="","",'Raw Payments'!A426)</f>
        <v/>
      </c>
      <c r="F426" t="str">
        <f>IF(E426="","",'Raw Payments'!B426)</f>
        <v/>
      </c>
      <c r="G426" t="str">
        <f>IF(E426="","",'Raw Payments'!F426)</f>
        <v/>
      </c>
      <c r="H426" t="str">
        <f>IF(E426="","",'Raw Payments'!H426)</f>
        <v/>
      </c>
      <c r="I426" t="str">
        <f>IF(E426="","",'Raw Payments'!I426)</f>
        <v/>
      </c>
      <c r="J426" t="str">
        <f>IF(A426="","",IF(COUNTIF('Raw Payments'!$C:$C,A426)&gt;0,"Payment Linked","No Payment"))</f>
        <v/>
      </c>
      <c r="K426" t="str">
        <f>IF(F426="","Missing Reference",IF(COUNTIF('Raw Payments'!$B:$B,F426)&gt;1,"Possible Duplicate","Reference Present"))</f>
        <v>Missing Reference</v>
      </c>
      <c r="L426" t="str">
        <f t="shared" si="6"/>
        <v/>
      </c>
    </row>
    <row r="427" spans="1:12" x14ac:dyDescent="0.3">
      <c r="A427" t="str">
        <f>IF('Raw Enrollments'!A427="","",'Raw Enrollments'!A427)</f>
        <v/>
      </c>
      <c r="B427" t="str">
        <f>IF(A427="","",'Raw Enrollments'!B427)</f>
        <v/>
      </c>
      <c r="C427" t="str">
        <f>IF(A427="","",'Raw Enrollments'!C427)</f>
        <v/>
      </c>
      <c r="D427" t="str">
        <f>IF(A427="","",'Raw Enrollments'!E427)</f>
        <v/>
      </c>
      <c r="E427" t="str">
        <f>IF('Raw Payments'!A427="","",'Raw Payments'!A427)</f>
        <v/>
      </c>
      <c r="F427" t="str">
        <f>IF(E427="","",'Raw Payments'!B427)</f>
        <v/>
      </c>
      <c r="G427" t="str">
        <f>IF(E427="","",'Raw Payments'!F427)</f>
        <v/>
      </c>
      <c r="H427" t="str">
        <f>IF(E427="","",'Raw Payments'!H427)</f>
        <v/>
      </c>
      <c r="I427" t="str">
        <f>IF(E427="","",'Raw Payments'!I427)</f>
        <v/>
      </c>
      <c r="J427" t="str">
        <f>IF(A427="","",IF(COUNTIF('Raw Payments'!$C:$C,A427)&gt;0,"Payment Linked","No Payment"))</f>
        <v/>
      </c>
      <c r="K427" t="str">
        <f>IF(F427="","Missing Reference",IF(COUNTIF('Raw Payments'!$B:$B,F427)&gt;1,"Possible Duplicate","Reference Present"))</f>
        <v>Missing Reference</v>
      </c>
      <c r="L427" t="str">
        <f t="shared" si="6"/>
        <v/>
      </c>
    </row>
    <row r="428" spans="1:12" x14ac:dyDescent="0.3">
      <c r="A428" t="str">
        <f>IF('Raw Enrollments'!A428="","",'Raw Enrollments'!A428)</f>
        <v/>
      </c>
      <c r="B428" t="str">
        <f>IF(A428="","",'Raw Enrollments'!B428)</f>
        <v/>
      </c>
      <c r="C428" t="str">
        <f>IF(A428="","",'Raw Enrollments'!C428)</f>
        <v/>
      </c>
      <c r="D428" t="str">
        <f>IF(A428="","",'Raw Enrollments'!E428)</f>
        <v/>
      </c>
      <c r="E428" t="str">
        <f>IF('Raw Payments'!A428="","",'Raw Payments'!A428)</f>
        <v/>
      </c>
      <c r="F428" t="str">
        <f>IF(E428="","",'Raw Payments'!B428)</f>
        <v/>
      </c>
      <c r="G428" t="str">
        <f>IF(E428="","",'Raw Payments'!F428)</f>
        <v/>
      </c>
      <c r="H428" t="str">
        <f>IF(E428="","",'Raw Payments'!H428)</f>
        <v/>
      </c>
      <c r="I428" t="str">
        <f>IF(E428="","",'Raw Payments'!I428)</f>
        <v/>
      </c>
      <c r="J428" t="str">
        <f>IF(A428="","",IF(COUNTIF('Raw Payments'!$C:$C,A428)&gt;0,"Payment Linked","No Payment"))</f>
        <v/>
      </c>
      <c r="K428" t="str">
        <f>IF(F428="","Missing Reference",IF(COUNTIF('Raw Payments'!$B:$B,F428)&gt;1,"Possible Duplicate","Reference Present"))</f>
        <v>Missing Reference</v>
      </c>
      <c r="L428" t="str">
        <f t="shared" si="6"/>
        <v/>
      </c>
    </row>
    <row r="429" spans="1:12" x14ac:dyDescent="0.3">
      <c r="A429" t="str">
        <f>IF('Raw Enrollments'!A429="","",'Raw Enrollments'!A429)</f>
        <v/>
      </c>
      <c r="B429" t="str">
        <f>IF(A429="","",'Raw Enrollments'!B429)</f>
        <v/>
      </c>
      <c r="C429" t="str">
        <f>IF(A429="","",'Raw Enrollments'!C429)</f>
        <v/>
      </c>
      <c r="D429" t="str">
        <f>IF(A429="","",'Raw Enrollments'!E429)</f>
        <v/>
      </c>
      <c r="E429" t="str">
        <f>IF('Raw Payments'!A429="","",'Raw Payments'!A429)</f>
        <v/>
      </c>
      <c r="F429" t="str">
        <f>IF(E429="","",'Raw Payments'!B429)</f>
        <v/>
      </c>
      <c r="G429" t="str">
        <f>IF(E429="","",'Raw Payments'!F429)</f>
        <v/>
      </c>
      <c r="H429" t="str">
        <f>IF(E429="","",'Raw Payments'!H429)</f>
        <v/>
      </c>
      <c r="I429" t="str">
        <f>IF(E429="","",'Raw Payments'!I429)</f>
        <v/>
      </c>
      <c r="J429" t="str">
        <f>IF(A429="","",IF(COUNTIF('Raw Payments'!$C:$C,A429)&gt;0,"Payment Linked","No Payment"))</f>
        <v/>
      </c>
      <c r="K429" t="str">
        <f>IF(F429="","Missing Reference",IF(COUNTIF('Raw Payments'!$B:$B,F429)&gt;1,"Possible Duplicate","Reference Present"))</f>
        <v>Missing Reference</v>
      </c>
      <c r="L429" t="str">
        <f t="shared" si="6"/>
        <v/>
      </c>
    </row>
    <row r="430" spans="1:12" x14ac:dyDescent="0.3">
      <c r="A430" t="str">
        <f>IF('Raw Enrollments'!A430="","",'Raw Enrollments'!A430)</f>
        <v/>
      </c>
      <c r="B430" t="str">
        <f>IF(A430="","",'Raw Enrollments'!B430)</f>
        <v/>
      </c>
      <c r="C430" t="str">
        <f>IF(A430="","",'Raw Enrollments'!C430)</f>
        <v/>
      </c>
      <c r="D430" t="str">
        <f>IF(A430="","",'Raw Enrollments'!E430)</f>
        <v/>
      </c>
      <c r="E430" t="str">
        <f>IF('Raw Payments'!A430="","",'Raw Payments'!A430)</f>
        <v/>
      </c>
      <c r="F430" t="str">
        <f>IF(E430="","",'Raw Payments'!B430)</f>
        <v/>
      </c>
      <c r="G430" t="str">
        <f>IF(E430="","",'Raw Payments'!F430)</f>
        <v/>
      </c>
      <c r="H430" t="str">
        <f>IF(E430="","",'Raw Payments'!H430)</f>
        <v/>
      </c>
      <c r="I430" t="str">
        <f>IF(E430="","",'Raw Payments'!I430)</f>
        <v/>
      </c>
      <c r="J430" t="str">
        <f>IF(A430="","",IF(COUNTIF('Raw Payments'!$C:$C,A430)&gt;0,"Payment Linked","No Payment"))</f>
        <v/>
      </c>
      <c r="K430" t="str">
        <f>IF(F430="","Missing Reference",IF(COUNTIF('Raw Payments'!$B:$B,F430)&gt;1,"Possible Duplicate","Reference Present"))</f>
        <v>Missing Reference</v>
      </c>
      <c r="L430" t="str">
        <f t="shared" si="6"/>
        <v/>
      </c>
    </row>
    <row r="431" spans="1:12" x14ac:dyDescent="0.3">
      <c r="A431" t="str">
        <f>IF('Raw Enrollments'!A431="","",'Raw Enrollments'!A431)</f>
        <v/>
      </c>
      <c r="B431" t="str">
        <f>IF(A431="","",'Raw Enrollments'!B431)</f>
        <v/>
      </c>
      <c r="C431" t="str">
        <f>IF(A431="","",'Raw Enrollments'!C431)</f>
        <v/>
      </c>
      <c r="D431" t="str">
        <f>IF(A431="","",'Raw Enrollments'!E431)</f>
        <v/>
      </c>
      <c r="E431" t="str">
        <f>IF('Raw Payments'!A431="","",'Raw Payments'!A431)</f>
        <v/>
      </c>
      <c r="F431" t="str">
        <f>IF(E431="","",'Raw Payments'!B431)</f>
        <v/>
      </c>
      <c r="G431" t="str">
        <f>IF(E431="","",'Raw Payments'!F431)</f>
        <v/>
      </c>
      <c r="H431" t="str">
        <f>IF(E431="","",'Raw Payments'!H431)</f>
        <v/>
      </c>
      <c r="I431" t="str">
        <f>IF(E431="","",'Raw Payments'!I431)</f>
        <v/>
      </c>
      <c r="J431" t="str">
        <f>IF(A431="","",IF(COUNTIF('Raw Payments'!$C:$C,A431)&gt;0,"Payment Linked","No Payment"))</f>
        <v/>
      </c>
      <c r="K431" t="str">
        <f>IF(F431="","Missing Reference",IF(COUNTIF('Raw Payments'!$B:$B,F431)&gt;1,"Possible Duplicate","Reference Present"))</f>
        <v>Missing Reference</v>
      </c>
      <c r="L431" t="str">
        <f t="shared" si="6"/>
        <v/>
      </c>
    </row>
    <row r="432" spans="1:12" x14ac:dyDescent="0.3">
      <c r="A432" t="str">
        <f>IF('Raw Enrollments'!A432="","",'Raw Enrollments'!A432)</f>
        <v/>
      </c>
      <c r="B432" t="str">
        <f>IF(A432="","",'Raw Enrollments'!B432)</f>
        <v/>
      </c>
      <c r="C432" t="str">
        <f>IF(A432="","",'Raw Enrollments'!C432)</f>
        <v/>
      </c>
      <c r="D432" t="str">
        <f>IF(A432="","",'Raw Enrollments'!E432)</f>
        <v/>
      </c>
      <c r="E432" t="str">
        <f>IF('Raw Payments'!A432="","",'Raw Payments'!A432)</f>
        <v/>
      </c>
      <c r="F432" t="str">
        <f>IF(E432="","",'Raw Payments'!B432)</f>
        <v/>
      </c>
      <c r="G432" t="str">
        <f>IF(E432="","",'Raw Payments'!F432)</f>
        <v/>
      </c>
      <c r="H432" t="str">
        <f>IF(E432="","",'Raw Payments'!H432)</f>
        <v/>
      </c>
      <c r="I432" t="str">
        <f>IF(E432="","",'Raw Payments'!I432)</f>
        <v/>
      </c>
      <c r="J432" t="str">
        <f>IF(A432="","",IF(COUNTIF('Raw Payments'!$C:$C,A432)&gt;0,"Payment Linked","No Payment"))</f>
        <v/>
      </c>
      <c r="K432" t="str">
        <f>IF(F432="","Missing Reference",IF(COUNTIF('Raw Payments'!$B:$B,F432)&gt;1,"Possible Duplicate","Reference Present"))</f>
        <v>Missing Reference</v>
      </c>
      <c r="L432" t="str">
        <f t="shared" si="6"/>
        <v/>
      </c>
    </row>
    <row r="433" spans="1:12" x14ac:dyDescent="0.3">
      <c r="A433" t="str">
        <f>IF('Raw Enrollments'!A433="","",'Raw Enrollments'!A433)</f>
        <v/>
      </c>
      <c r="B433" t="str">
        <f>IF(A433="","",'Raw Enrollments'!B433)</f>
        <v/>
      </c>
      <c r="C433" t="str">
        <f>IF(A433="","",'Raw Enrollments'!C433)</f>
        <v/>
      </c>
      <c r="D433" t="str">
        <f>IF(A433="","",'Raw Enrollments'!E433)</f>
        <v/>
      </c>
      <c r="E433" t="str">
        <f>IF('Raw Payments'!A433="","",'Raw Payments'!A433)</f>
        <v/>
      </c>
      <c r="F433" t="str">
        <f>IF(E433="","",'Raw Payments'!B433)</f>
        <v/>
      </c>
      <c r="G433" t="str">
        <f>IF(E433="","",'Raw Payments'!F433)</f>
        <v/>
      </c>
      <c r="H433" t="str">
        <f>IF(E433="","",'Raw Payments'!H433)</f>
        <v/>
      </c>
      <c r="I433" t="str">
        <f>IF(E433="","",'Raw Payments'!I433)</f>
        <v/>
      </c>
      <c r="J433" t="str">
        <f>IF(A433="","",IF(COUNTIF('Raw Payments'!$C:$C,A433)&gt;0,"Payment Linked","No Payment"))</f>
        <v/>
      </c>
      <c r="K433" t="str">
        <f>IF(F433="","Missing Reference",IF(COUNTIF('Raw Payments'!$B:$B,F433)&gt;1,"Possible Duplicate","Reference Present"))</f>
        <v>Missing Reference</v>
      </c>
      <c r="L433" t="str">
        <f t="shared" si="6"/>
        <v/>
      </c>
    </row>
    <row r="434" spans="1:12" x14ac:dyDescent="0.3">
      <c r="A434" t="str">
        <f>IF('Raw Enrollments'!A434="","",'Raw Enrollments'!A434)</f>
        <v/>
      </c>
      <c r="B434" t="str">
        <f>IF(A434="","",'Raw Enrollments'!B434)</f>
        <v/>
      </c>
      <c r="C434" t="str">
        <f>IF(A434="","",'Raw Enrollments'!C434)</f>
        <v/>
      </c>
      <c r="D434" t="str">
        <f>IF(A434="","",'Raw Enrollments'!E434)</f>
        <v/>
      </c>
      <c r="E434" t="str">
        <f>IF('Raw Payments'!A434="","",'Raw Payments'!A434)</f>
        <v/>
      </c>
      <c r="F434" t="str">
        <f>IF(E434="","",'Raw Payments'!B434)</f>
        <v/>
      </c>
      <c r="G434" t="str">
        <f>IF(E434="","",'Raw Payments'!F434)</f>
        <v/>
      </c>
      <c r="H434" t="str">
        <f>IF(E434="","",'Raw Payments'!H434)</f>
        <v/>
      </c>
      <c r="I434" t="str">
        <f>IF(E434="","",'Raw Payments'!I434)</f>
        <v/>
      </c>
      <c r="J434" t="str">
        <f>IF(A434="","",IF(COUNTIF('Raw Payments'!$C:$C,A434)&gt;0,"Payment Linked","No Payment"))</f>
        <v/>
      </c>
      <c r="K434" t="str">
        <f>IF(F434="","Missing Reference",IF(COUNTIF('Raw Payments'!$B:$B,F434)&gt;1,"Possible Duplicate","Reference Present"))</f>
        <v>Missing Reference</v>
      </c>
      <c r="L434" t="str">
        <f t="shared" si="6"/>
        <v/>
      </c>
    </row>
    <row r="435" spans="1:12" x14ac:dyDescent="0.3">
      <c r="A435" t="str">
        <f>IF('Raw Enrollments'!A435="","",'Raw Enrollments'!A435)</f>
        <v/>
      </c>
      <c r="B435" t="str">
        <f>IF(A435="","",'Raw Enrollments'!B435)</f>
        <v/>
      </c>
      <c r="C435" t="str">
        <f>IF(A435="","",'Raw Enrollments'!C435)</f>
        <v/>
      </c>
      <c r="D435" t="str">
        <f>IF(A435="","",'Raw Enrollments'!E435)</f>
        <v/>
      </c>
      <c r="E435" t="str">
        <f>IF('Raw Payments'!A435="","",'Raw Payments'!A435)</f>
        <v/>
      </c>
      <c r="F435" t="str">
        <f>IF(E435="","",'Raw Payments'!B435)</f>
        <v/>
      </c>
      <c r="G435" t="str">
        <f>IF(E435="","",'Raw Payments'!F435)</f>
        <v/>
      </c>
      <c r="H435" t="str">
        <f>IF(E435="","",'Raw Payments'!H435)</f>
        <v/>
      </c>
      <c r="I435" t="str">
        <f>IF(E435="","",'Raw Payments'!I435)</f>
        <v/>
      </c>
      <c r="J435" t="str">
        <f>IF(A435="","",IF(COUNTIF('Raw Payments'!$C:$C,A435)&gt;0,"Payment Linked","No Payment"))</f>
        <v/>
      </c>
      <c r="K435" t="str">
        <f>IF(F435="","Missing Reference",IF(COUNTIF('Raw Payments'!$B:$B,F435)&gt;1,"Possible Duplicate","Reference Present"))</f>
        <v>Missing Reference</v>
      </c>
      <c r="L435" t="str">
        <f t="shared" si="6"/>
        <v/>
      </c>
    </row>
    <row r="436" spans="1:12" x14ac:dyDescent="0.3">
      <c r="A436" t="str">
        <f>IF('Raw Enrollments'!A436="","",'Raw Enrollments'!A436)</f>
        <v/>
      </c>
      <c r="B436" t="str">
        <f>IF(A436="","",'Raw Enrollments'!B436)</f>
        <v/>
      </c>
      <c r="C436" t="str">
        <f>IF(A436="","",'Raw Enrollments'!C436)</f>
        <v/>
      </c>
      <c r="D436" t="str">
        <f>IF(A436="","",'Raw Enrollments'!E436)</f>
        <v/>
      </c>
      <c r="E436" t="str">
        <f>IF('Raw Payments'!A436="","",'Raw Payments'!A436)</f>
        <v/>
      </c>
      <c r="F436" t="str">
        <f>IF(E436="","",'Raw Payments'!B436)</f>
        <v/>
      </c>
      <c r="G436" t="str">
        <f>IF(E436="","",'Raw Payments'!F436)</f>
        <v/>
      </c>
      <c r="H436" t="str">
        <f>IF(E436="","",'Raw Payments'!H436)</f>
        <v/>
      </c>
      <c r="I436" t="str">
        <f>IF(E436="","",'Raw Payments'!I436)</f>
        <v/>
      </c>
      <c r="J436" t="str">
        <f>IF(A436="","",IF(COUNTIF('Raw Payments'!$C:$C,A436)&gt;0,"Payment Linked","No Payment"))</f>
        <v/>
      </c>
      <c r="K436" t="str">
        <f>IF(F436="","Missing Reference",IF(COUNTIF('Raw Payments'!$B:$B,F436)&gt;1,"Possible Duplicate","Reference Present"))</f>
        <v>Missing Reference</v>
      </c>
      <c r="L436" t="str">
        <f t="shared" si="6"/>
        <v/>
      </c>
    </row>
    <row r="437" spans="1:12" x14ac:dyDescent="0.3">
      <c r="A437" t="str">
        <f>IF('Raw Enrollments'!A437="","",'Raw Enrollments'!A437)</f>
        <v/>
      </c>
      <c r="B437" t="str">
        <f>IF(A437="","",'Raw Enrollments'!B437)</f>
        <v/>
      </c>
      <c r="C437" t="str">
        <f>IF(A437="","",'Raw Enrollments'!C437)</f>
        <v/>
      </c>
      <c r="D437" t="str">
        <f>IF(A437="","",'Raw Enrollments'!E437)</f>
        <v/>
      </c>
      <c r="E437" t="str">
        <f>IF('Raw Payments'!A437="","",'Raw Payments'!A437)</f>
        <v/>
      </c>
      <c r="F437" t="str">
        <f>IF(E437="","",'Raw Payments'!B437)</f>
        <v/>
      </c>
      <c r="G437" t="str">
        <f>IF(E437="","",'Raw Payments'!F437)</f>
        <v/>
      </c>
      <c r="H437" t="str">
        <f>IF(E437="","",'Raw Payments'!H437)</f>
        <v/>
      </c>
      <c r="I437" t="str">
        <f>IF(E437="","",'Raw Payments'!I437)</f>
        <v/>
      </c>
      <c r="J437" t="str">
        <f>IF(A437="","",IF(COUNTIF('Raw Payments'!$C:$C,A437)&gt;0,"Payment Linked","No Payment"))</f>
        <v/>
      </c>
      <c r="K437" t="str">
        <f>IF(F437="","Missing Reference",IF(COUNTIF('Raw Payments'!$B:$B,F437)&gt;1,"Possible Duplicate","Reference Present"))</f>
        <v>Missing Reference</v>
      </c>
      <c r="L437" t="str">
        <f t="shared" si="6"/>
        <v/>
      </c>
    </row>
    <row r="438" spans="1:12" x14ac:dyDescent="0.3">
      <c r="A438" t="str">
        <f>IF('Raw Enrollments'!A438="","",'Raw Enrollments'!A438)</f>
        <v/>
      </c>
      <c r="B438" t="str">
        <f>IF(A438="","",'Raw Enrollments'!B438)</f>
        <v/>
      </c>
      <c r="C438" t="str">
        <f>IF(A438="","",'Raw Enrollments'!C438)</f>
        <v/>
      </c>
      <c r="D438" t="str">
        <f>IF(A438="","",'Raw Enrollments'!E438)</f>
        <v/>
      </c>
      <c r="E438" t="str">
        <f>IF('Raw Payments'!A438="","",'Raw Payments'!A438)</f>
        <v/>
      </c>
      <c r="F438" t="str">
        <f>IF(E438="","",'Raw Payments'!B438)</f>
        <v/>
      </c>
      <c r="G438" t="str">
        <f>IF(E438="","",'Raw Payments'!F438)</f>
        <v/>
      </c>
      <c r="H438" t="str">
        <f>IF(E438="","",'Raw Payments'!H438)</f>
        <v/>
      </c>
      <c r="I438" t="str">
        <f>IF(E438="","",'Raw Payments'!I438)</f>
        <v/>
      </c>
      <c r="J438" t="str">
        <f>IF(A438="","",IF(COUNTIF('Raw Payments'!$C:$C,A438)&gt;0,"Payment Linked","No Payment"))</f>
        <v/>
      </c>
      <c r="K438" t="str">
        <f>IF(F438="","Missing Reference",IF(COUNTIF('Raw Payments'!$B:$B,F438)&gt;1,"Possible Duplicate","Reference Present"))</f>
        <v>Missing Reference</v>
      </c>
      <c r="L438" t="str">
        <f t="shared" si="6"/>
        <v/>
      </c>
    </row>
    <row r="439" spans="1:12" x14ac:dyDescent="0.3">
      <c r="A439" t="str">
        <f>IF('Raw Enrollments'!A439="","",'Raw Enrollments'!A439)</f>
        <v/>
      </c>
      <c r="B439" t="str">
        <f>IF(A439="","",'Raw Enrollments'!B439)</f>
        <v/>
      </c>
      <c r="C439" t="str">
        <f>IF(A439="","",'Raw Enrollments'!C439)</f>
        <v/>
      </c>
      <c r="D439" t="str">
        <f>IF(A439="","",'Raw Enrollments'!E439)</f>
        <v/>
      </c>
      <c r="E439" t="str">
        <f>IF('Raw Payments'!A439="","",'Raw Payments'!A439)</f>
        <v/>
      </c>
      <c r="F439" t="str">
        <f>IF(E439="","",'Raw Payments'!B439)</f>
        <v/>
      </c>
      <c r="G439" t="str">
        <f>IF(E439="","",'Raw Payments'!F439)</f>
        <v/>
      </c>
      <c r="H439" t="str">
        <f>IF(E439="","",'Raw Payments'!H439)</f>
        <v/>
      </c>
      <c r="I439" t="str">
        <f>IF(E439="","",'Raw Payments'!I439)</f>
        <v/>
      </c>
      <c r="J439" t="str">
        <f>IF(A439="","",IF(COUNTIF('Raw Payments'!$C:$C,A439)&gt;0,"Payment Linked","No Payment"))</f>
        <v/>
      </c>
      <c r="K439" t="str">
        <f>IF(F439="","Missing Reference",IF(COUNTIF('Raw Payments'!$B:$B,F439)&gt;1,"Possible Duplicate","Reference Present"))</f>
        <v>Missing Reference</v>
      </c>
      <c r="L439" t="str">
        <f t="shared" si="6"/>
        <v/>
      </c>
    </row>
    <row r="440" spans="1:12" x14ac:dyDescent="0.3">
      <c r="A440" t="str">
        <f>IF('Raw Enrollments'!A440="","",'Raw Enrollments'!A440)</f>
        <v/>
      </c>
      <c r="B440" t="str">
        <f>IF(A440="","",'Raw Enrollments'!B440)</f>
        <v/>
      </c>
      <c r="C440" t="str">
        <f>IF(A440="","",'Raw Enrollments'!C440)</f>
        <v/>
      </c>
      <c r="D440" t="str">
        <f>IF(A440="","",'Raw Enrollments'!E440)</f>
        <v/>
      </c>
      <c r="E440" t="str">
        <f>IF('Raw Payments'!A440="","",'Raw Payments'!A440)</f>
        <v/>
      </c>
      <c r="F440" t="str">
        <f>IF(E440="","",'Raw Payments'!B440)</f>
        <v/>
      </c>
      <c r="G440" t="str">
        <f>IF(E440="","",'Raw Payments'!F440)</f>
        <v/>
      </c>
      <c r="H440" t="str">
        <f>IF(E440="","",'Raw Payments'!H440)</f>
        <v/>
      </c>
      <c r="I440" t="str">
        <f>IF(E440="","",'Raw Payments'!I440)</f>
        <v/>
      </c>
      <c r="J440" t="str">
        <f>IF(A440="","",IF(COUNTIF('Raw Payments'!$C:$C,A440)&gt;0,"Payment Linked","No Payment"))</f>
        <v/>
      </c>
      <c r="K440" t="str">
        <f>IF(F440="","Missing Reference",IF(COUNTIF('Raw Payments'!$B:$B,F440)&gt;1,"Possible Duplicate","Reference Present"))</f>
        <v>Missing Reference</v>
      </c>
      <c r="L440" t="str">
        <f t="shared" si="6"/>
        <v/>
      </c>
    </row>
    <row r="441" spans="1:12" x14ac:dyDescent="0.3">
      <c r="A441" t="str">
        <f>IF('Raw Enrollments'!A441="","",'Raw Enrollments'!A441)</f>
        <v/>
      </c>
      <c r="B441" t="str">
        <f>IF(A441="","",'Raw Enrollments'!B441)</f>
        <v/>
      </c>
      <c r="C441" t="str">
        <f>IF(A441="","",'Raw Enrollments'!C441)</f>
        <v/>
      </c>
      <c r="D441" t="str">
        <f>IF(A441="","",'Raw Enrollments'!E441)</f>
        <v/>
      </c>
      <c r="E441" t="str">
        <f>IF('Raw Payments'!A441="","",'Raw Payments'!A441)</f>
        <v/>
      </c>
      <c r="F441" t="str">
        <f>IF(E441="","",'Raw Payments'!B441)</f>
        <v/>
      </c>
      <c r="G441" t="str">
        <f>IF(E441="","",'Raw Payments'!F441)</f>
        <v/>
      </c>
      <c r="H441" t="str">
        <f>IF(E441="","",'Raw Payments'!H441)</f>
        <v/>
      </c>
      <c r="I441" t="str">
        <f>IF(E441="","",'Raw Payments'!I441)</f>
        <v/>
      </c>
      <c r="J441" t="str">
        <f>IF(A441="","",IF(COUNTIF('Raw Payments'!$C:$C,A441)&gt;0,"Payment Linked","No Payment"))</f>
        <v/>
      </c>
      <c r="K441" t="str">
        <f>IF(F441="","Missing Reference",IF(COUNTIF('Raw Payments'!$B:$B,F441)&gt;1,"Possible Duplicate","Reference Present"))</f>
        <v>Missing Reference</v>
      </c>
      <c r="L441" t="str">
        <f t="shared" si="6"/>
        <v/>
      </c>
    </row>
    <row r="442" spans="1:12" x14ac:dyDescent="0.3">
      <c r="A442" t="str">
        <f>IF('Raw Enrollments'!A442="","",'Raw Enrollments'!A442)</f>
        <v/>
      </c>
      <c r="B442" t="str">
        <f>IF(A442="","",'Raw Enrollments'!B442)</f>
        <v/>
      </c>
      <c r="C442" t="str">
        <f>IF(A442="","",'Raw Enrollments'!C442)</f>
        <v/>
      </c>
      <c r="D442" t="str">
        <f>IF(A442="","",'Raw Enrollments'!E442)</f>
        <v/>
      </c>
      <c r="E442" t="str">
        <f>IF('Raw Payments'!A442="","",'Raw Payments'!A442)</f>
        <v/>
      </c>
      <c r="F442" t="str">
        <f>IF(E442="","",'Raw Payments'!B442)</f>
        <v/>
      </c>
      <c r="G442" t="str">
        <f>IF(E442="","",'Raw Payments'!F442)</f>
        <v/>
      </c>
      <c r="H442" t="str">
        <f>IF(E442="","",'Raw Payments'!H442)</f>
        <v/>
      </c>
      <c r="I442" t="str">
        <f>IF(E442="","",'Raw Payments'!I442)</f>
        <v/>
      </c>
      <c r="J442" t="str">
        <f>IF(A442="","",IF(COUNTIF('Raw Payments'!$C:$C,A442)&gt;0,"Payment Linked","No Payment"))</f>
        <v/>
      </c>
      <c r="K442" t="str">
        <f>IF(F442="","Missing Reference",IF(COUNTIF('Raw Payments'!$B:$B,F442)&gt;1,"Possible Duplicate","Reference Present"))</f>
        <v>Missing Reference</v>
      </c>
      <c r="L442" t="str">
        <f t="shared" si="6"/>
        <v/>
      </c>
    </row>
    <row r="443" spans="1:12" x14ac:dyDescent="0.3">
      <c r="A443" t="str">
        <f>IF('Raw Enrollments'!A443="","",'Raw Enrollments'!A443)</f>
        <v/>
      </c>
      <c r="B443" t="str">
        <f>IF(A443="","",'Raw Enrollments'!B443)</f>
        <v/>
      </c>
      <c r="C443" t="str">
        <f>IF(A443="","",'Raw Enrollments'!C443)</f>
        <v/>
      </c>
      <c r="D443" t="str">
        <f>IF(A443="","",'Raw Enrollments'!E443)</f>
        <v/>
      </c>
      <c r="E443" t="str">
        <f>IF('Raw Payments'!A443="","",'Raw Payments'!A443)</f>
        <v/>
      </c>
      <c r="F443" t="str">
        <f>IF(E443="","",'Raw Payments'!B443)</f>
        <v/>
      </c>
      <c r="G443" t="str">
        <f>IF(E443="","",'Raw Payments'!F443)</f>
        <v/>
      </c>
      <c r="H443" t="str">
        <f>IF(E443="","",'Raw Payments'!H443)</f>
        <v/>
      </c>
      <c r="I443" t="str">
        <f>IF(E443="","",'Raw Payments'!I443)</f>
        <v/>
      </c>
      <c r="J443" t="str">
        <f>IF(A443="","",IF(COUNTIF('Raw Payments'!$C:$C,A443)&gt;0,"Payment Linked","No Payment"))</f>
        <v/>
      </c>
      <c r="K443" t="str">
        <f>IF(F443="","Missing Reference",IF(COUNTIF('Raw Payments'!$B:$B,F443)&gt;1,"Possible Duplicate","Reference Present"))</f>
        <v>Missing Reference</v>
      </c>
      <c r="L443" t="str">
        <f t="shared" si="6"/>
        <v/>
      </c>
    </row>
    <row r="444" spans="1:12" x14ac:dyDescent="0.3">
      <c r="A444" t="str">
        <f>IF('Raw Enrollments'!A444="","",'Raw Enrollments'!A444)</f>
        <v/>
      </c>
      <c r="B444" t="str">
        <f>IF(A444="","",'Raw Enrollments'!B444)</f>
        <v/>
      </c>
      <c r="C444" t="str">
        <f>IF(A444="","",'Raw Enrollments'!C444)</f>
        <v/>
      </c>
      <c r="D444" t="str">
        <f>IF(A444="","",'Raw Enrollments'!E444)</f>
        <v/>
      </c>
      <c r="E444" t="str">
        <f>IF('Raw Payments'!A444="","",'Raw Payments'!A444)</f>
        <v/>
      </c>
      <c r="F444" t="str">
        <f>IF(E444="","",'Raw Payments'!B444)</f>
        <v/>
      </c>
      <c r="G444" t="str">
        <f>IF(E444="","",'Raw Payments'!F444)</f>
        <v/>
      </c>
      <c r="H444" t="str">
        <f>IF(E444="","",'Raw Payments'!H444)</f>
        <v/>
      </c>
      <c r="I444" t="str">
        <f>IF(E444="","",'Raw Payments'!I444)</f>
        <v/>
      </c>
      <c r="J444" t="str">
        <f>IF(A444="","",IF(COUNTIF('Raw Payments'!$C:$C,A444)&gt;0,"Payment Linked","No Payment"))</f>
        <v/>
      </c>
      <c r="K444" t="str">
        <f>IF(F444="","Missing Reference",IF(COUNTIF('Raw Payments'!$B:$B,F444)&gt;1,"Possible Duplicate","Reference Present"))</f>
        <v>Missing Reference</v>
      </c>
      <c r="L444" t="str">
        <f t="shared" si="6"/>
        <v/>
      </c>
    </row>
    <row r="445" spans="1:12" x14ac:dyDescent="0.3">
      <c r="A445" t="str">
        <f>IF('Raw Enrollments'!A445="","",'Raw Enrollments'!A445)</f>
        <v/>
      </c>
      <c r="B445" t="str">
        <f>IF(A445="","",'Raw Enrollments'!B445)</f>
        <v/>
      </c>
      <c r="C445" t="str">
        <f>IF(A445="","",'Raw Enrollments'!C445)</f>
        <v/>
      </c>
      <c r="D445" t="str">
        <f>IF(A445="","",'Raw Enrollments'!E445)</f>
        <v/>
      </c>
      <c r="E445" t="str">
        <f>IF('Raw Payments'!A445="","",'Raw Payments'!A445)</f>
        <v/>
      </c>
      <c r="F445" t="str">
        <f>IF(E445="","",'Raw Payments'!B445)</f>
        <v/>
      </c>
      <c r="G445" t="str">
        <f>IF(E445="","",'Raw Payments'!F445)</f>
        <v/>
      </c>
      <c r="H445" t="str">
        <f>IF(E445="","",'Raw Payments'!H445)</f>
        <v/>
      </c>
      <c r="I445" t="str">
        <f>IF(E445="","",'Raw Payments'!I445)</f>
        <v/>
      </c>
      <c r="J445" t="str">
        <f>IF(A445="","",IF(COUNTIF('Raw Payments'!$C:$C,A445)&gt;0,"Payment Linked","No Payment"))</f>
        <v/>
      </c>
      <c r="K445" t="str">
        <f>IF(F445="","Missing Reference",IF(COUNTIF('Raw Payments'!$B:$B,F445)&gt;1,"Possible Duplicate","Reference Present"))</f>
        <v>Missing Reference</v>
      </c>
      <c r="L445" t="str">
        <f t="shared" si="6"/>
        <v/>
      </c>
    </row>
    <row r="446" spans="1:12" x14ac:dyDescent="0.3">
      <c r="A446" t="str">
        <f>IF('Raw Enrollments'!A446="","",'Raw Enrollments'!A446)</f>
        <v/>
      </c>
      <c r="B446" t="str">
        <f>IF(A446="","",'Raw Enrollments'!B446)</f>
        <v/>
      </c>
      <c r="C446" t="str">
        <f>IF(A446="","",'Raw Enrollments'!C446)</f>
        <v/>
      </c>
      <c r="D446" t="str">
        <f>IF(A446="","",'Raw Enrollments'!E446)</f>
        <v/>
      </c>
      <c r="E446" t="str">
        <f>IF('Raw Payments'!A446="","",'Raw Payments'!A446)</f>
        <v/>
      </c>
      <c r="F446" t="str">
        <f>IF(E446="","",'Raw Payments'!B446)</f>
        <v/>
      </c>
      <c r="G446" t="str">
        <f>IF(E446="","",'Raw Payments'!F446)</f>
        <v/>
      </c>
      <c r="H446" t="str">
        <f>IF(E446="","",'Raw Payments'!H446)</f>
        <v/>
      </c>
      <c r="I446" t="str">
        <f>IF(E446="","",'Raw Payments'!I446)</f>
        <v/>
      </c>
      <c r="J446" t="str">
        <f>IF(A446="","",IF(COUNTIF('Raw Payments'!$C:$C,A446)&gt;0,"Payment Linked","No Payment"))</f>
        <v/>
      </c>
      <c r="K446" t="str">
        <f>IF(F446="","Missing Reference",IF(COUNTIF('Raw Payments'!$B:$B,F446)&gt;1,"Possible Duplicate","Reference Present"))</f>
        <v>Missing Reference</v>
      </c>
      <c r="L446" t="str">
        <f t="shared" si="6"/>
        <v/>
      </c>
    </row>
    <row r="447" spans="1:12" x14ac:dyDescent="0.3">
      <c r="A447" t="str">
        <f>IF('Raw Enrollments'!A447="","",'Raw Enrollments'!A447)</f>
        <v/>
      </c>
      <c r="B447" t="str">
        <f>IF(A447="","",'Raw Enrollments'!B447)</f>
        <v/>
      </c>
      <c r="C447" t="str">
        <f>IF(A447="","",'Raw Enrollments'!C447)</f>
        <v/>
      </c>
      <c r="D447" t="str">
        <f>IF(A447="","",'Raw Enrollments'!E447)</f>
        <v/>
      </c>
      <c r="E447" t="str">
        <f>IF('Raw Payments'!A447="","",'Raw Payments'!A447)</f>
        <v/>
      </c>
      <c r="F447" t="str">
        <f>IF(E447="","",'Raw Payments'!B447)</f>
        <v/>
      </c>
      <c r="G447" t="str">
        <f>IF(E447="","",'Raw Payments'!F447)</f>
        <v/>
      </c>
      <c r="H447" t="str">
        <f>IF(E447="","",'Raw Payments'!H447)</f>
        <v/>
      </c>
      <c r="I447" t="str">
        <f>IF(E447="","",'Raw Payments'!I447)</f>
        <v/>
      </c>
      <c r="J447" t="str">
        <f>IF(A447="","",IF(COUNTIF('Raw Payments'!$C:$C,A447)&gt;0,"Payment Linked","No Payment"))</f>
        <v/>
      </c>
      <c r="K447" t="str">
        <f>IF(F447="","Missing Reference",IF(COUNTIF('Raw Payments'!$B:$B,F447)&gt;1,"Possible Duplicate","Reference Present"))</f>
        <v>Missing Reference</v>
      </c>
      <c r="L447" t="str">
        <f t="shared" si="6"/>
        <v/>
      </c>
    </row>
    <row r="448" spans="1:12" x14ac:dyDescent="0.3">
      <c r="A448" t="str">
        <f>IF('Raw Enrollments'!A448="","",'Raw Enrollments'!A448)</f>
        <v/>
      </c>
      <c r="B448" t="str">
        <f>IF(A448="","",'Raw Enrollments'!B448)</f>
        <v/>
      </c>
      <c r="C448" t="str">
        <f>IF(A448="","",'Raw Enrollments'!C448)</f>
        <v/>
      </c>
      <c r="D448" t="str">
        <f>IF(A448="","",'Raw Enrollments'!E448)</f>
        <v/>
      </c>
      <c r="E448" t="str">
        <f>IF('Raw Payments'!A448="","",'Raw Payments'!A448)</f>
        <v/>
      </c>
      <c r="F448" t="str">
        <f>IF(E448="","",'Raw Payments'!B448)</f>
        <v/>
      </c>
      <c r="G448" t="str">
        <f>IF(E448="","",'Raw Payments'!F448)</f>
        <v/>
      </c>
      <c r="H448" t="str">
        <f>IF(E448="","",'Raw Payments'!H448)</f>
        <v/>
      </c>
      <c r="I448" t="str">
        <f>IF(E448="","",'Raw Payments'!I448)</f>
        <v/>
      </c>
      <c r="J448" t="str">
        <f>IF(A448="","",IF(COUNTIF('Raw Payments'!$C:$C,A448)&gt;0,"Payment Linked","No Payment"))</f>
        <v/>
      </c>
      <c r="K448" t="str">
        <f>IF(F448="","Missing Reference",IF(COUNTIF('Raw Payments'!$B:$B,F448)&gt;1,"Possible Duplicate","Reference Present"))</f>
        <v>Missing Reference</v>
      </c>
      <c r="L448" t="str">
        <f t="shared" si="6"/>
        <v/>
      </c>
    </row>
    <row r="449" spans="1:12" x14ac:dyDescent="0.3">
      <c r="A449" t="str">
        <f>IF('Raw Enrollments'!A449="","",'Raw Enrollments'!A449)</f>
        <v/>
      </c>
      <c r="B449" t="str">
        <f>IF(A449="","",'Raw Enrollments'!B449)</f>
        <v/>
      </c>
      <c r="C449" t="str">
        <f>IF(A449="","",'Raw Enrollments'!C449)</f>
        <v/>
      </c>
      <c r="D449" t="str">
        <f>IF(A449="","",'Raw Enrollments'!E449)</f>
        <v/>
      </c>
      <c r="E449" t="str">
        <f>IF('Raw Payments'!A449="","",'Raw Payments'!A449)</f>
        <v/>
      </c>
      <c r="F449" t="str">
        <f>IF(E449="","",'Raw Payments'!B449)</f>
        <v/>
      </c>
      <c r="G449" t="str">
        <f>IF(E449="","",'Raw Payments'!F449)</f>
        <v/>
      </c>
      <c r="H449" t="str">
        <f>IF(E449="","",'Raw Payments'!H449)</f>
        <v/>
      </c>
      <c r="I449" t="str">
        <f>IF(E449="","",'Raw Payments'!I449)</f>
        <v/>
      </c>
      <c r="J449" t="str">
        <f>IF(A449="","",IF(COUNTIF('Raw Payments'!$C:$C,A449)&gt;0,"Payment Linked","No Payment"))</f>
        <v/>
      </c>
      <c r="K449" t="str">
        <f>IF(F449="","Missing Reference",IF(COUNTIF('Raw Payments'!$B:$B,F449)&gt;1,"Possible Duplicate","Reference Present"))</f>
        <v>Missing Reference</v>
      </c>
      <c r="L449" t="str">
        <f t="shared" si="6"/>
        <v/>
      </c>
    </row>
    <row r="450" spans="1:12" x14ac:dyDescent="0.3">
      <c r="A450" t="str">
        <f>IF('Raw Enrollments'!A450="","",'Raw Enrollments'!A450)</f>
        <v/>
      </c>
      <c r="B450" t="str">
        <f>IF(A450="","",'Raw Enrollments'!B450)</f>
        <v/>
      </c>
      <c r="C450" t="str">
        <f>IF(A450="","",'Raw Enrollments'!C450)</f>
        <v/>
      </c>
      <c r="D450" t="str">
        <f>IF(A450="","",'Raw Enrollments'!E450)</f>
        <v/>
      </c>
      <c r="E450" t="str">
        <f>IF('Raw Payments'!A450="","",'Raw Payments'!A450)</f>
        <v/>
      </c>
      <c r="F450" t="str">
        <f>IF(E450="","",'Raw Payments'!B450)</f>
        <v/>
      </c>
      <c r="G450" t="str">
        <f>IF(E450="","",'Raw Payments'!F450)</f>
        <v/>
      </c>
      <c r="H450" t="str">
        <f>IF(E450="","",'Raw Payments'!H450)</f>
        <v/>
      </c>
      <c r="I450" t="str">
        <f>IF(E450="","",'Raw Payments'!I450)</f>
        <v/>
      </c>
      <c r="J450" t="str">
        <f>IF(A450="","",IF(COUNTIF('Raw Payments'!$C:$C,A450)&gt;0,"Payment Linked","No Payment"))</f>
        <v/>
      </c>
      <c r="K450" t="str">
        <f>IF(F450="","Missing Reference",IF(COUNTIF('Raw Payments'!$B:$B,F450)&gt;1,"Possible Duplicate","Reference Present"))</f>
        <v>Missing Reference</v>
      </c>
      <c r="L450" t="str">
        <f t="shared" si="6"/>
        <v/>
      </c>
    </row>
    <row r="451" spans="1:12" x14ac:dyDescent="0.3">
      <c r="A451" t="str">
        <f>IF('Raw Enrollments'!A451="","",'Raw Enrollments'!A451)</f>
        <v/>
      </c>
      <c r="B451" t="str">
        <f>IF(A451="","",'Raw Enrollments'!B451)</f>
        <v/>
      </c>
      <c r="C451" t="str">
        <f>IF(A451="","",'Raw Enrollments'!C451)</f>
        <v/>
      </c>
      <c r="D451" t="str">
        <f>IF(A451="","",'Raw Enrollments'!E451)</f>
        <v/>
      </c>
      <c r="E451" t="str">
        <f>IF('Raw Payments'!A451="","",'Raw Payments'!A451)</f>
        <v/>
      </c>
      <c r="F451" t="str">
        <f>IF(E451="","",'Raw Payments'!B451)</f>
        <v/>
      </c>
      <c r="G451" t="str">
        <f>IF(E451="","",'Raw Payments'!F451)</f>
        <v/>
      </c>
      <c r="H451" t="str">
        <f>IF(E451="","",'Raw Payments'!H451)</f>
        <v/>
      </c>
      <c r="I451" t="str">
        <f>IF(E451="","",'Raw Payments'!I451)</f>
        <v/>
      </c>
      <c r="J451" t="str">
        <f>IF(A451="","",IF(COUNTIF('Raw Payments'!$C:$C,A451)&gt;0,"Payment Linked","No Payment"))</f>
        <v/>
      </c>
      <c r="K451" t="str">
        <f>IF(F451="","Missing Reference",IF(COUNTIF('Raw Payments'!$B:$B,F451)&gt;1,"Possible Duplicate","Reference Present"))</f>
        <v>Missing Reference</v>
      </c>
      <c r="L451" t="str">
        <f t="shared" si="6"/>
        <v/>
      </c>
    </row>
    <row r="452" spans="1:12" x14ac:dyDescent="0.3">
      <c r="A452" t="str">
        <f>IF('Raw Enrollments'!A452="","",'Raw Enrollments'!A452)</f>
        <v/>
      </c>
      <c r="B452" t="str">
        <f>IF(A452="","",'Raw Enrollments'!B452)</f>
        <v/>
      </c>
      <c r="C452" t="str">
        <f>IF(A452="","",'Raw Enrollments'!C452)</f>
        <v/>
      </c>
      <c r="D452" t="str">
        <f>IF(A452="","",'Raw Enrollments'!E452)</f>
        <v/>
      </c>
      <c r="E452" t="str">
        <f>IF('Raw Payments'!A452="","",'Raw Payments'!A452)</f>
        <v/>
      </c>
      <c r="F452" t="str">
        <f>IF(E452="","",'Raw Payments'!B452)</f>
        <v/>
      </c>
      <c r="G452" t="str">
        <f>IF(E452="","",'Raw Payments'!F452)</f>
        <v/>
      </c>
      <c r="H452" t="str">
        <f>IF(E452="","",'Raw Payments'!H452)</f>
        <v/>
      </c>
      <c r="I452" t="str">
        <f>IF(E452="","",'Raw Payments'!I452)</f>
        <v/>
      </c>
      <c r="J452" t="str">
        <f>IF(A452="","",IF(COUNTIF('Raw Payments'!$C:$C,A452)&gt;0,"Payment Linked","No Payment"))</f>
        <v/>
      </c>
      <c r="K452" t="str">
        <f>IF(F452="","Missing Reference",IF(COUNTIF('Raw Payments'!$B:$B,F452)&gt;1,"Possible Duplicate","Reference Present"))</f>
        <v>Missing Reference</v>
      </c>
      <c r="L452" t="str">
        <f t="shared" si="6"/>
        <v/>
      </c>
    </row>
    <row r="453" spans="1:12" x14ac:dyDescent="0.3">
      <c r="A453" t="str">
        <f>IF('Raw Enrollments'!A453="","",'Raw Enrollments'!A453)</f>
        <v/>
      </c>
      <c r="B453" t="str">
        <f>IF(A453="","",'Raw Enrollments'!B453)</f>
        <v/>
      </c>
      <c r="C453" t="str">
        <f>IF(A453="","",'Raw Enrollments'!C453)</f>
        <v/>
      </c>
      <c r="D453" t="str">
        <f>IF(A453="","",'Raw Enrollments'!E453)</f>
        <v/>
      </c>
      <c r="E453" t="str">
        <f>IF('Raw Payments'!A453="","",'Raw Payments'!A453)</f>
        <v/>
      </c>
      <c r="F453" t="str">
        <f>IF(E453="","",'Raw Payments'!B453)</f>
        <v/>
      </c>
      <c r="G453" t="str">
        <f>IF(E453="","",'Raw Payments'!F453)</f>
        <v/>
      </c>
      <c r="H453" t="str">
        <f>IF(E453="","",'Raw Payments'!H453)</f>
        <v/>
      </c>
      <c r="I453" t="str">
        <f>IF(E453="","",'Raw Payments'!I453)</f>
        <v/>
      </c>
      <c r="J453" t="str">
        <f>IF(A453="","",IF(COUNTIF('Raw Payments'!$C:$C,A453)&gt;0,"Payment Linked","No Payment"))</f>
        <v/>
      </c>
      <c r="K453" t="str">
        <f>IF(F453="","Missing Reference",IF(COUNTIF('Raw Payments'!$B:$B,F453)&gt;1,"Possible Duplicate","Reference Present"))</f>
        <v>Missing Reference</v>
      </c>
      <c r="L453" t="str">
        <f t="shared" ref="L453:L516" si="7">IF(A453="","",IF(OR(J453="No Payment",K453="Missing Reference",K453="Possible Duplicate",H453=""),"Review","Check Student/Course/Status"))</f>
        <v/>
      </c>
    </row>
    <row r="454" spans="1:12" x14ac:dyDescent="0.3">
      <c r="A454" t="str">
        <f>IF('Raw Enrollments'!A454="","",'Raw Enrollments'!A454)</f>
        <v/>
      </c>
      <c r="B454" t="str">
        <f>IF(A454="","",'Raw Enrollments'!B454)</f>
        <v/>
      </c>
      <c r="C454" t="str">
        <f>IF(A454="","",'Raw Enrollments'!C454)</f>
        <v/>
      </c>
      <c r="D454" t="str">
        <f>IF(A454="","",'Raw Enrollments'!E454)</f>
        <v/>
      </c>
      <c r="E454" t="str">
        <f>IF('Raw Payments'!A454="","",'Raw Payments'!A454)</f>
        <v/>
      </c>
      <c r="F454" t="str">
        <f>IF(E454="","",'Raw Payments'!B454)</f>
        <v/>
      </c>
      <c r="G454" t="str">
        <f>IF(E454="","",'Raw Payments'!F454)</f>
        <v/>
      </c>
      <c r="H454" t="str">
        <f>IF(E454="","",'Raw Payments'!H454)</f>
        <v/>
      </c>
      <c r="I454" t="str">
        <f>IF(E454="","",'Raw Payments'!I454)</f>
        <v/>
      </c>
      <c r="J454" t="str">
        <f>IF(A454="","",IF(COUNTIF('Raw Payments'!$C:$C,A454)&gt;0,"Payment Linked","No Payment"))</f>
        <v/>
      </c>
      <c r="K454" t="str">
        <f>IF(F454="","Missing Reference",IF(COUNTIF('Raw Payments'!$B:$B,F454)&gt;1,"Possible Duplicate","Reference Present"))</f>
        <v>Missing Reference</v>
      </c>
      <c r="L454" t="str">
        <f t="shared" si="7"/>
        <v/>
      </c>
    </row>
    <row r="455" spans="1:12" x14ac:dyDescent="0.3">
      <c r="A455" t="str">
        <f>IF('Raw Enrollments'!A455="","",'Raw Enrollments'!A455)</f>
        <v/>
      </c>
      <c r="B455" t="str">
        <f>IF(A455="","",'Raw Enrollments'!B455)</f>
        <v/>
      </c>
      <c r="C455" t="str">
        <f>IF(A455="","",'Raw Enrollments'!C455)</f>
        <v/>
      </c>
      <c r="D455" t="str">
        <f>IF(A455="","",'Raw Enrollments'!E455)</f>
        <v/>
      </c>
      <c r="E455" t="str">
        <f>IF('Raw Payments'!A455="","",'Raw Payments'!A455)</f>
        <v/>
      </c>
      <c r="F455" t="str">
        <f>IF(E455="","",'Raw Payments'!B455)</f>
        <v/>
      </c>
      <c r="G455" t="str">
        <f>IF(E455="","",'Raw Payments'!F455)</f>
        <v/>
      </c>
      <c r="H455" t="str">
        <f>IF(E455="","",'Raw Payments'!H455)</f>
        <v/>
      </c>
      <c r="I455" t="str">
        <f>IF(E455="","",'Raw Payments'!I455)</f>
        <v/>
      </c>
      <c r="J455" t="str">
        <f>IF(A455="","",IF(COUNTIF('Raw Payments'!$C:$C,A455)&gt;0,"Payment Linked","No Payment"))</f>
        <v/>
      </c>
      <c r="K455" t="str">
        <f>IF(F455="","Missing Reference",IF(COUNTIF('Raw Payments'!$B:$B,F455)&gt;1,"Possible Duplicate","Reference Present"))</f>
        <v>Missing Reference</v>
      </c>
      <c r="L455" t="str">
        <f t="shared" si="7"/>
        <v/>
      </c>
    </row>
    <row r="456" spans="1:12" x14ac:dyDescent="0.3">
      <c r="A456" t="str">
        <f>IF('Raw Enrollments'!A456="","",'Raw Enrollments'!A456)</f>
        <v/>
      </c>
      <c r="B456" t="str">
        <f>IF(A456="","",'Raw Enrollments'!B456)</f>
        <v/>
      </c>
      <c r="C456" t="str">
        <f>IF(A456="","",'Raw Enrollments'!C456)</f>
        <v/>
      </c>
      <c r="D456" t="str">
        <f>IF(A456="","",'Raw Enrollments'!E456)</f>
        <v/>
      </c>
      <c r="E456" t="str">
        <f>IF('Raw Payments'!A456="","",'Raw Payments'!A456)</f>
        <v/>
      </c>
      <c r="F456" t="str">
        <f>IF(E456="","",'Raw Payments'!B456)</f>
        <v/>
      </c>
      <c r="G456" t="str">
        <f>IF(E456="","",'Raw Payments'!F456)</f>
        <v/>
      </c>
      <c r="H456" t="str">
        <f>IF(E456="","",'Raw Payments'!H456)</f>
        <v/>
      </c>
      <c r="I456" t="str">
        <f>IF(E456="","",'Raw Payments'!I456)</f>
        <v/>
      </c>
      <c r="J456" t="str">
        <f>IF(A456="","",IF(COUNTIF('Raw Payments'!$C:$C,A456)&gt;0,"Payment Linked","No Payment"))</f>
        <v/>
      </c>
      <c r="K456" t="str">
        <f>IF(F456="","Missing Reference",IF(COUNTIF('Raw Payments'!$B:$B,F456)&gt;1,"Possible Duplicate","Reference Present"))</f>
        <v>Missing Reference</v>
      </c>
      <c r="L456" t="str">
        <f t="shared" si="7"/>
        <v/>
      </c>
    </row>
    <row r="457" spans="1:12" x14ac:dyDescent="0.3">
      <c r="A457" t="str">
        <f>IF('Raw Enrollments'!A457="","",'Raw Enrollments'!A457)</f>
        <v/>
      </c>
      <c r="B457" t="str">
        <f>IF(A457="","",'Raw Enrollments'!B457)</f>
        <v/>
      </c>
      <c r="C457" t="str">
        <f>IF(A457="","",'Raw Enrollments'!C457)</f>
        <v/>
      </c>
      <c r="D457" t="str">
        <f>IF(A457="","",'Raw Enrollments'!E457)</f>
        <v/>
      </c>
      <c r="E457" t="str">
        <f>IF('Raw Payments'!A457="","",'Raw Payments'!A457)</f>
        <v/>
      </c>
      <c r="F457" t="str">
        <f>IF(E457="","",'Raw Payments'!B457)</f>
        <v/>
      </c>
      <c r="G457" t="str">
        <f>IF(E457="","",'Raw Payments'!F457)</f>
        <v/>
      </c>
      <c r="H457" t="str">
        <f>IF(E457="","",'Raw Payments'!H457)</f>
        <v/>
      </c>
      <c r="I457" t="str">
        <f>IF(E457="","",'Raw Payments'!I457)</f>
        <v/>
      </c>
      <c r="J457" t="str">
        <f>IF(A457="","",IF(COUNTIF('Raw Payments'!$C:$C,A457)&gt;0,"Payment Linked","No Payment"))</f>
        <v/>
      </c>
      <c r="K457" t="str">
        <f>IF(F457="","Missing Reference",IF(COUNTIF('Raw Payments'!$B:$B,F457)&gt;1,"Possible Duplicate","Reference Present"))</f>
        <v>Missing Reference</v>
      </c>
      <c r="L457" t="str">
        <f t="shared" si="7"/>
        <v/>
      </c>
    </row>
    <row r="458" spans="1:12" x14ac:dyDescent="0.3">
      <c r="A458" t="str">
        <f>IF('Raw Enrollments'!A458="","",'Raw Enrollments'!A458)</f>
        <v/>
      </c>
      <c r="B458" t="str">
        <f>IF(A458="","",'Raw Enrollments'!B458)</f>
        <v/>
      </c>
      <c r="C458" t="str">
        <f>IF(A458="","",'Raw Enrollments'!C458)</f>
        <v/>
      </c>
      <c r="D458" t="str">
        <f>IF(A458="","",'Raw Enrollments'!E458)</f>
        <v/>
      </c>
      <c r="E458" t="str">
        <f>IF('Raw Payments'!A458="","",'Raw Payments'!A458)</f>
        <v/>
      </c>
      <c r="F458" t="str">
        <f>IF(E458="","",'Raw Payments'!B458)</f>
        <v/>
      </c>
      <c r="G458" t="str">
        <f>IF(E458="","",'Raw Payments'!F458)</f>
        <v/>
      </c>
      <c r="H458" t="str">
        <f>IF(E458="","",'Raw Payments'!H458)</f>
        <v/>
      </c>
      <c r="I458" t="str">
        <f>IF(E458="","",'Raw Payments'!I458)</f>
        <v/>
      </c>
      <c r="J458" t="str">
        <f>IF(A458="","",IF(COUNTIF('Raw Payments'!$C:$C,A458)&gt;0,"Payment Linked","No Payment"))</f>
        <v/>
      </c>
      <c r="K458" t="str">
        <f>IF(F458="","Missing Reference",IF(COUNTIF('Raw Payments'!$B:$B,F458)&gt;1,"Possible Duplicate","Reference Present"))</f>
        <v>Missing Reference</v>
      </c>
      <c r="L458" t="str">
        <f t="shared" si="7"/>
        <v/>
      </c>
    </row>
    <row r="459" spans="1:12" x14ac:dyDescent="0.3">
      <c r="A459" t="str">
        <f>IF('Raw Enrollments'!A459="","",'Raw Enrollments'!A459)</f>
        <v/>
      </c>
      <c r="B459" t="str">
        <f>IF(A459="","",'Raw Enrollments'!B459)</f>
        <v/>
      </c>
      <c r="C459" t="str">
        <f>IF(A459="","",'Raw Enrollments'!C459)</f>
        <v/>
      </c>
      <c r="D459" t="str">
        <f>IF(A459="","",'Raw Enrollments'!E459)</f>
        <v/>
      </c>
      <c r="E459" t="str">
        <f>IF('Raw Payments'!A459="","",'Raw Payments'!A459)</f>
        <v/>
      </c>
      <c r="F459" t="str">
        <f>IF(E459="","",'Raw Payments'!B459)</f>
        <v/>
      </c>
      <c r="G459" t="str">
        <f>IF(E459="","",'Raw Payments'!F459)</f>
        <v/>
      </c>
      <c r="H459" t="str">
        <f>IF(E459="","",'Raw Payments'!H459)</f>
        <v/>
      </c>
      <c r="I459" t="str">
        <f>IF(E459="","",'Raw Payments'!I459)</f>
        <v/>
      </c>
      <c r="J459" t="str">
        <f>IF(A459="","",IF(COUNTIF('Raw Payments'!$C:$C,A459)&gt;0,"Payment Linked","No Payment"))</f>
        <v/>
      </c>
      <c r="K459" t="str">
        <f>IF(F459="","Missing Reference",IF(COUNTIF('Raw Payments'!$B:$B,F459)&gt;1,"Possible Duplicate","Reference Present"))</f>
        <v>Missing Reference</v>
      </c>
      <c r="L459" t="str">
        <f t="shared" si="7"/>
        <v/>
      </c>
    </row>
    <row r="460" spans="1:12" x14ac:dyDescent="0.3">
      <c r="A460" t="str">
        <f>IF('Raw Enrollments'!A460="","",'Raw Enrollments'!A460)</f>
        <v/>
      </c>
      <c r="B460" t="str">
        <f>IF(A460="","",'Raw Enrollments'!B460)</f>
        <v/>
      </c>
      <c r="C460" t="str">
        <f>IF(A460="","",'Raw Enrollments'!C460)</f>
        <v/>
      </c>
      <c r="D460" t="str">
        <f>IF(A460="","",'Raw Enrollments'!E460)</f>
        <v/>
      </c>
      <c r="E460" t="str">
        <f>IF('Raw Payments'!A460="","",'Raw Payments'!A460)</f>
        <v/>
      </c>
      <c r="F460" t="str">
        <f>IF(E460="","",'Raw Payments'!B460)</f>
        <v/>
      </c>
      <c r="G460" t="str">
        <f>IF(E460="","",'Raw Payments'!F460)</f>
        <v/>
      </c>
      <c r="H460" t="str">
        <f>IF(E460="","",'Raw Payments'!H460)</f>
        <v/>
      </c>
      <c r="I460" t="str">
        <f>IF(E460="","",'Raw Payments'!I460)</f>
        <v/>
      </c>
      <c r="J460" t="str">
        <f>IF(A460="","",IF(COUNTIF('Raw Payments'!$C:$C,A460)&gt;0,"Payment Linked","No Payment"))</f>
        <v/>
      </c>
      <c r="K460" t="str">
        <f>IF(F460="","Missing Reference",IF(COUNTIF('Raw Payments'!$B:$B,F460)&gt;1,"Possible Duplicate","Reference Present"))</f>
        <v>Missing Reference</v>
      </c>
      <c r="L460" t="str">
        <f t="shared" si="7"/>
        <v/>
      </c>
    </row>
    <row r="461" spans="1:12" x14ac:dyDescent="0.3">
      <c r="A461" t="str">
        <f>IF('Raw Enrollments'!A461="","",'Raw Enrollments'!A461)</f>
        <v/>
      </c>
      <c r="B461" t="str">
        <f>IF(A461="","",'Raw Enrollments'!B461)</f>
        <v/>
      </c>
      <c r="C461" t="str">
        <f>IF(A461="","",'Raw Enrollments'!C461)</f>
        <v/>
      </c>
      <c r="D461" t="str">
        <f>IF(A461="","",'Raw Enrollments'!E461)</f>
        <v/>
      </c>
      <c r="E461" t="str">
        <f>IF('Raw Payments'!A461="","",'Raw Payments'!A461)</f>
        <v/>
      </c>
      <c r="F461" t="str">
        <f>IF(E461="","",'Raw Payments'!B461)</f>
        <v/>
      </c>
      <c r="G461" t="str">
        <f>IF(E461="","",'Raw Payments'!F461)</f>
        <v/>
      </c>
      <c r="H461" t="str">
        <f>IF(E461="","",'Raw Payments'!H461)</f>
        <v/>
      </c>
      <c r="I461" t="str">
        <f>IF(E461="","",'Raw Payments'!I461)</f>
        <v/>
      </c>
      <c r="J461" t="str">
        <f>IF(A461="","",IF(COUNTIF('Raw Payments'!$C:$C,A461)&gt;0,"Payment Linked","No Payment"))</f>
        <v/>
      </c>
      <c r="K461" t="str">
        <f>IF(F461="","Missing Reference",IF(COUNTIF('Raw Payments'!$B:$B,F461)&gt;1,"Possible Duplicate","Reference Present"))</f>
        <v>Missing Reference</v>
      </c>
      <c r="L461" t="str">
        <f t="shared" si="7"/>
        <v/>
      </c>
    </row>
    <row r="462" spans="1:12" x14ac:dyDescent="0.3">
      <c r="A462" t="str">
        <f>IF('Raw Enrollments'!A462="","",'Raw Enrollments'!A462)</f>
        <v/>
      </c>
      <c r="B462" t="str">
        <f>IF(A462="","",'Raw Enrollments'!B462)</f>
        <v/>
      </c>
      <c r="C462" t="str">
        <f>IF(A462="","",'Raw Enrollments'!C462)</f>
        <v/>
      </c>
      <c r="D462" t="str">
        <f>IF(A462="","",'Raw Enrollments'!E462)</f>
        <v/>
      </c>
      <c r="E462" t="str">
        <f>IF('Raw Payments'!A462="","",'Raw Payments'!A462)</f>
        <v/>
      </c>
      <c r="F462" t="str">
        <f>IF(E462="","",'Raw Payments'!B462)</f>
        <v/>
      </c>
      <c r="G462" t="str">
        <f>IF(E462="","",'Raw Payments'!F462)</f>
        <v/>
      </c>
      <c r="H462" t="str">
        <f>IF(E462="","",'Raw Payments'!H462)</f>
        <v/>
      </c>
      <c r="I462" t="str">
        <f>IF(E462="","",'Raw Payments'!I462)</f>
        <v/>
      </c>
      <c r="J462" t="str">
        <f>IF(A462="","",IF(COUNTIF('Raw Payments'!$C:$C,A462)&gt;0,"Payment Linked","No Payment"))</f>
        <v/>
      </c>
      <c r="K462" t="str">
        <f>IF(F462="","Missing Reference",IF(COUNTIF('Raw Payments'!$B:$B,F462)&gt;1,"Possible Duplicate","Reference Present"))</f>
        <v>Missing Reference</v>
      </c>
      <c r="L462" t="str">
        <f t="shared" si="7"/>
        <v/>
      </c>
    </row>
    <row r="463" spans="1:12" x14ac:dyDescent="0.3">
      <c r="A463" t="str">
        <f>IF('Raw Enrollments'!A463="","",'Raw Enrollments'!A463)</f>
        <v/>
      </c>
      <c r="B463" t="str">
        <f>IF(A463="","",'Raw Enrollments'!B463)</f>
        <v/>
      </c>
      <c r="C463" t="str">
        <f>IF(A463="","",'Raw Enrollments'!C463)</f>
        <v/>
      </c>
      <c r="D463" t="str">
        <f>IF(A463="","",'Raw Enrollments'!E463)</f>
        <v/>
      </c>
      <c r="E463" t="str">
        <f>IF('Raw Payments'!A463="","",'Raw Payments'!A463)</f>
        <v/>
      </c>
      <c r="F463" t="str">
        <f>IF(E463="","",'Raw Payments'!B463)</f>
        <v/>
      </c>
      <c r="G463" t="str">
        <f>IF(E463="","",'Raw Payments'!F463)</f>
        <v/>
      </c>
      <c r="H463" t="str">
        <f>IF(E463="","",'Raw Payments'!H463)</f>
        <v/>
      </c>
      <c r="I463" t="str">
        <f>IF(E463="","",'Raw Payments'!I463)</f>
        <v/>
      </c>
      <c r="J463" t="str">
        <f>IF(A463="","",IF(COUNTIF('Raw Payments'!$C:$C,A463)&gt;0,"Payment Linked","No Payment"))</f>
        <v/>
      </c>
      <c r="K463" t="str">
        <f>IF(F463="","Missing Reference",IF(COUNTIF('Raw Payments'!$B:$B,F463)&gt;1,"Possible Duplicate","Reference Present"))</f>
        <v>Missing Reference</v>
      </c>
      <c r="L463" t="str">
        <f t="shared" si="7"/>
        <v/>
      </c>
    </row>
    <row r="464" spans="1:12" x14ac:dyDescent="0.3">
      <c r="A464" t="str">
        <f>IF('Raw Enrollments'!A464="","",'Raw Enrollments'!A464)</f>
        <v/>
      </c>
      <c r="B464" t="str">
        <f>IF(A464="","",'Raw Enrollments'!B464)</f>
        <v/>
      </c>
      <c r="C464" t="str">
        <f>IF(A464="","",'Raw Enrollments'!C464)</f>
        <v/>
      </c>
      <c r="D464" t="str">
        <f>IF(A464="","",'Raw Enrollments'!E464)</f>
        <v/>
      </c>
      <c r="E464" t="str">
        <f>IF('Raw Payments'!A464="","",'Raw Payments'!A464)</f>
        <v/>
      </c>
      <c r="F464" t="str">
        <f>IF(E464="","",'Raw Payments'!B464)</f>
        <v/>
      </c>
      <c r="G464" t="str">
        <f>IF(E464="","",'Raw Payments'!F464)</f>
        <v/>
      </c>
      <c r="H464" t="str">
        <f>IF(E464="","",'Raw Payments'!H464)</f>
        <v/>
      </c>
      <c r="I464" t="str">
        <f>IF(E464="","",'Raw Payments'!I464)</f>
        <v/>
      </c>
      <c r="J464" t="str">
        <f>IF(A464="","",IF(COUNTIF('Raw Payments'!$C:$C,A464)&gt;0,"Payment Linked","No Payment"))</f>
        <v/>
      </c>
      <c r="K464" t="str">
        <f>IF(F464="","Missing Reference",IF(COUNTIF('Raw Payments'!$B:$B,F464)&gt;1,"Possible Duplicate","Reference Present"))</f>
        <v>Missing Reference</v>
      </c>
      <c r="L464" t="str">
        <f t="shared" si="7"/>
        <v/>
      </c>
    </row>
    <row r="465" spans="1:12" x14ac:dyDescent="0.3">
      <c r="A465" t="str">
        <f>IF('Raw Enrollments'!A465="","",'Raw Enrollments'!A465)</f>
        <v/>
      </c>
      <c r="B465" t="str">
        <f>IF(A465="","",'Raw Enrollments'!B465)</f>
        <v/>
      </c>
      <c r="C465" t="str">
        <f>IF(A465="","",'Raw Enrollments'!C465)</f>
        <v/>
      </c>
      <c r="D465" t="str">
        <f>IF(A465="","",'Raw Enrollments'!E465)</f>
        <v/>
      </c>
      <c r="E465" t="str">
        <f>IF('Raw Payments'!A465="","",'Raw Payments'!A465)</f>
        <v/>
      </c>
      <c r="F465" t="str">
        <f>IF(E465="","",'Raw Payments'!B465)</f>
        <v/>
      </c>
      <c r="G465" t="str">
        <f>IF(E465="","",'Raw Payments'!F465)</f>
        <v/>
      </c>
      <c r="H465" t="str">
        <f>IF(E465="","",'Raw Payments'!H465)</f>
        <v/>
      </c>
      <c r="I465" t="str">
        <f>IF(E465="","",'Raw Payments'!I465)</f>
        <v/>
      </c>
      <c r="J465" t="str">
        <f>IF(A465="","",IF(COUNTIF('Raw Payments'!$C:$C,A465)&gt;0,"Payment Linked","No Payment"))</f>
        <v/>
      </c>
      <c r="K465" t="str">
        <f>IF(F465="","Missing Reference",IF(COUNTIF('Raw Payments'!$B:$B,F465)&gt;1,"Possible Duplicate","Reference Present"))</f>
        <v>Missing Reference</v>
      </c>
      <c r="L465" t="str">
        <f t="shared" si="7"/>
        <v/>
      </c>
    </row>
    <row r="466" spans="1:12" x14ac:dyDescent="0.3">
      <c r="A466" t="str">
        <f>IF('Raw Enrollments'!A466="","",'Raw Enrollments'!A466)</f>
        <v/>
      </c>
      <c r="B466" t="str">
        <f>IF(A466="","",'Raw Enrollments'!B466)</f>
        <v/>
      </c>
      <c r="C466" t="str">
        <f>IF(A466="","",'Raw Enrollments'!C466)</f>
        <v/>
      </c>
      <c r="D466" t="str">
        <f>IF(A466="","",'Raw Enrollments'!E466)</f>
        <v/>
      </c>
      <c r="E466" t="str">
        <f>IF('Raw Payments'!A466="","",'Raw Payments'!A466)</f>
        <v/>
      </c>
      <c r="F466" t="str">
        <f>IF(E466="","",'Raw Payments'!B466)</f>
        <v/>
      </c>
      <c r="G466" t="str">
        <f>IF(E466="","",'Raw Payments'!F466)</f>
        <v/>
      </c>
      <c r="H466" t="str">
        <f>IF(E466="","",'Raw Payments'!H466)</f>
        <v/>
      </c>
      <c r="I466" t="str">
        <f>IF(E466="","",'Raw Payments'!I466)</f>
        <v/>
      </c>
      <c r="J466" t="str">
        <f>IF(A466="","",IF(COUNTIF('Raw Payments'!$C:$C,A466)&gt;0,"Payment Linked","No Payment"))</f>
        <v/>
      </c>
      <c r="K466" t="str">
        <f>IF(F466="","Missing Reference",IF(COUNTIF('Raw Payments'!$B:$B,F466)&gt;1,"Possible Duplicate","Reference Present"))</f>
        <v>Missing Reference</v>
      </c>
      <c r="L466" t="str">
        <f t="shared" si="7"/>
        <v/>
      </c>
    </row>
    <row r="467" spans="1:12" x14ac:dyDescent="0.3">
      <c r="A467" t="str">
        <f>IF('Raw Enrollments'!A467="","",'Raw Enrollments'!A467)</f>
        <v/>
      </c>
      <c r="B467" t="str">
        <f>IF(A467="","",'Raw Enrollments'!B467)</f>
        <v/>
      </c>
      <c r="C467" t="str">
        <f>IF(A467="","",'Raw Enrollments'!C467)</f>
        <v/>
      </c>
      <c r="D467" t="str">
        <f>IF(A467="","",'Raw Enrollments'!E467)</f>
        <v/>
      </c>
      <c r="E467" t="str">
        <f>IF('Raw Payments'!A467="","",'Raw Payments'!A467)</f>
        <v/>
      </c>
      <c r="F467" t="str">
        <f>IF(E467="","",'Raw Payments'!B467)</f>
        <v/>
      </c>
      <c r="G467" t="str">
        <f>IF(E467="","",'Raw Payments'!F467)</f>
        <v/>
      </c>
      <c r="H467" t="str">
        <f>IF(E467="","",'Raw Payments'!H467)</f>
        <v/>
      </c>
      <c r="I467" t="str">
        <f>IF(E467="","",'Raw Payments'!I467)</f>
        <v/>
      </c>
      <c r="J467" t="str">
        <f>IF(A467="","",IF(COUNTIF('Raw Payments'!$C:$C,A467)&gt;0,"Payment Linked","No Payment"))</f>
        <v/>
      </c>
      <c r="K467" t="str">
        <f>IF(F467="","Missing Reference",IF(COUNTIF('Raw Payments'!$B:$B,F467)&gt;1,"Possible Duplicate","Reference Present"))</f>
        <v>Missing Reference</v>
      </c>
      <c r="L467" t="str">
        <f t="shared" si="7"/>
        <v/>
      </c>
    </row>
    <row r="468" spans="1:12" x14ac:dyDescent="0.3">
      <c r="A468" t="str">
        <f>IF('Raw Enrollments'!A468="","",'Raw Enrollments'!A468)</f>
        <v/>
      </c>
      <c r="B468" t="str">
        <f>IF(A468="","",'Raw Enrollments'!B468)</f>
        <v/>
      </c>
      <c r="C468" t="str">
        <f>IF(A468="","",'Raw Enrollments'!C468)</f>
        <v/>
      </c>
      <c r="D468" t="str">
        <f>IF(A468="","",'Raw Enrollments'!E468)</f>
        <v/>
      </c>
      <c r="E468" t="str">
        <f>IF('Raw Payments'!A468="","",'Raw Payments'!A468)</f>
        <v/>
      </c>
      <c r="F468" t="str">
        <f>IF(E468="","",'Raw Payments'!B468)</f>
        <v/>
      </c>
      <c r="G468" t="str">
        <f>IF(E468="","",'Raw Payments'!F468)</f>
        <v/>
      </c>
      <c r="H468" t="str">
        <f>IF(E468="","",'Raw Payments'!H468)</f>
        <v/>
      </c>
      <c r="I468" t="str">
        <f>IF(E468="","",'Raw Payments'!I468)</f>
        <v/>
      </c>
      <c r="J468" t="str">
        <f>IF(A468="","",IF(COUNTIF('Raw Payments'!$C:$C,A468)&gt;0,"Payment Linked","No Payment"))</f>
        <v/>
      </c>
      <c r="K468" t="str">
        <f>IF(F468="","Missing Reference",IF(COUNTIF('Raw Payments'!$B:$B,F468)&gt;1,"Possible Duplicate","Reference Present"))</f>
        <v>Missing Reference</v>
      </c>
      <c r="L468" t="str">
        <f t="shared" si="7"/>
        <v/>
      </c>
    </row>
    <row r="469" spans="1:12" x14ac:dyDescent="0.3">
      <c r="A469" t="str">
        <f>IF('Raw Enrollments'!A469="","",'Raw Enrollments'!A469)</f>
        <v/>
      </c>
      <c r="B469" t="str">
        <f>IF(A469="","",'Raw Enrollments'!B469)</f>
        <v/>
      </c>
      <c r="C469" t="str">
        <f>IF(A469="","",'Raw Enrollments'!C469)</f>
        <v/>
      </c>
      <c r="D469" t="str">
        <f>IF(A469="","",'Raw Enrollments'!E469)</f>
        <v/>
      </c>
      <c r="E469" t="str">
        <f>IF('Raw Payments'!A469="","",'Raw Payments'!A469)</f>
        <v/>
      </c>
      <c r="F469" t="str">
        <f>IF(E469="","",'Raw Payments'!B469)</f>
        <v/>
      </c>
      <c r="G469" t="str">
        <f>IF(E469="","",'Raw Payments'!F469)</f>
        <v/>
      </c>
      <c r="H469" t="str">
        <f>IF(E469="","",'Raw Payments'!H469)</f>
        <v/>
      </c>
      <c r="I469" t="str">
        <f>IF(E469="","",'Raw Payments'!I469)</f>
        <v/>
      </c>
      <c r="J469" t="str">
        <f>IF(A469="","",IF(COUNTIF('Raw Payments'!$C:$C,A469)&gt;0,"Payment Linked","No Payment"))</f>
        <v/>
      </c>
      <c r="K469" t="str">
        <f>IF(F469="","Missing Reference",IF(COUNTIF('Raw Payments'!$B:$B,F469)&gt;1,"Possible Duplicate","Reference Present"))</f>
        <v>Missing Reference</v>
      </c>
      <c r="L469" t="str">
        <f t="shared" si="7"/>
        <v/>
      </c>
    </row>
    <row r="470" spans="1:12" x14ac:dyDescent="0.3">
      <c r="A470" t="str">
        <f>IF('Raw Enrollments'!A470="","",'Raw Enrollments'!A470)</f>
        <v/>
      </c>
      <c r="B470" t="str">
        <f>IF(A470="","",'Raw Enrollments'!B470)</f>
        <v/>
      </c>
      <c r="C470" t="str">
        <f>IF(A470="","",'Raw Enrollments'!C470)</f>
        <v/>
      </c>
      <c r="D470" t="str">
        <f>IF(A470="","",'Raw Enrollments'!E470)</f>
        <v/>
      </c>
      <c r="E470" t="str">
        <f>IF('Raw Payments'!A470="","",'Raw Payments'!A470)</f>
        <v/>
      </c>
      <c r="F470" t="str">
        <f>IF(E470="","",'Raw Payments'!B470)</f>
        <v/>
      </c>
      <c r="G470" t="str">
        <f>IF(E470="","",'Raw Payments'!F470)</f>
        <v/>
      </c>
      <c r="H470" t="str">
        <f>IF(E470="","",'Raw Payments'!H470)</f>
        <v/>
      </c>
      <c r="I470" t="str">
        <f>IF(E470="","",'Raw Payments'!I470)</f>
        <v/>
      </c>
      <c r="J470" t="str">
        <f>IF(A470="","",IF(COUNTIF('Raw Payments'!$C:$C,A470)&gt;0,"Payment Linked","No Payment"))</f>
        <v/>
      </c>
      <c r="K470" t="str">
        <f>IF(F470="","Missing Reference",IF(COUNTIF('Raw Payments'!$B:$B,F470)&gt;1,"Possible Duplicate","Reference Present"))</f>
        <v>Missing Reference</v>
      </c>
      <c r="L470" t="str">
        <f t="shared" si="7"/>
        <v/>
      </c>
    </row>
    <row r="471" spans="1:12" x14ac:dyDescent="0.3">
      <c r="A471" t="str">
        <f>IF('Raw Enrollments'!A471="","",'Raw Enrollments'!A471)</f>
        <v/>
      </c>
      <c r="B471" t="str">
        <f>IF(A471="","",'Raw Enrollments'!B471)</f>
        <v/>
      </c>
      <c r="C471" t="str">
        <f>IF(A471="","",'Raw Enrollments'!C471)</f>
        <v/>
      </c>
      <c r="D471" t="str">
        <f>IF(A471="","",'Raw Enrollments'!E471)</f>
        <v/>
      </c>
      <c r="E471" t="str">
        <f>IF('Raw Payments'!A471="","",'Raw Payments'!A471)</f>
        <v/>
      </c>
      <c r="F471" t="str">
        <f>IF(E471="","",'Raw Payments'!B471)</f>
        <v/>
      </c>
      <c r="G471" t="str">
        <f>IF(E471="","",'Raw Payments'!F471)</f>
        <v/>
      </c>
      <c r="H471" t="str">
        <f>IF(E471="","",'Raw Payments'!H471)</f>
        <v/>
      </c>
      <c r="I471" t="str">
        <f>IF(E471="","",'Raw Payments'!I471)</f>
        <v/>
      </c>
      <c r="J471" t="str">
        <f>IF(A471="","",IF(COUNTIF('Raw Payments'!$C:$C,A471)&gt;0,"Payment Linked","No Payment"))</f>
        <v/>
      </c>
      <c r="K471" t="str">
        <f>IF(F471="","Missing Reference",IF(COUNTIF('Raw Payments'!$B:$B,F471)&gt;1,"Possible Duplicate","Reference Present"))</f>
        <v>Missing Reference</v>
      </c>
      <c r="L471" t="str">
        <f t="shared" si="7"/>
        <v/>
      </c>
    </row>
    <row r="472" spans="1:12" x14ac:dyDescent="0.3">
      <c r="A472" t="str">
        <f>IF('Raw Enrollments'!A472="","",'Raw Enrollments'!A472)</f>
        <v/>
      </c>
      <c r="B472" t="str">
        <f>IF(A472="","",'Raw Enrollments'!B472)</f>
        <v/>
      </c>
      <c r="C472" t="str">
        <f>IF(A472="","",'Raw Enrollments'!C472)</f>
        <v/>
      </c>
      <c r="D472" t="str">
        <f>IF(A472="","",'Raw Enrollments'!E472)</f>
        <v/>
      </c>
      <c r="E472" t="str">
        <f>IF('Raw Payments'!A472="","",'Raw Payments'!A472)</f>
        <v/>
      </c>
      <c r="F472" t="str">
        <f>IF(E472="","",'Raw Payments'!B472)</f>
        <v/>
      </c>
      <c r="G472" t="str">
        <f>IF(E472="","",'Raw Payments'!F472)</f>
        <v/>
      </c>
      <c r="H472" t="str">
        <f>IF(E472="","",'Raw Payments'!H472)</f>
        <v/>
      </c>
      <c r="I472" t="str">
        <f>IF(E472="","",'Raw Payments'!I472)</f>
        <v/>
      </c>
      <c r="J472" t="str">
        <f>IF(A472="","",IF(COUNTIF('Raw Payments'!$C:$C,A472)&gt;0,"Payment Linked","No Payment"))</f>
        <v/>
      </c>
      <c r="K472" t="str">
        <f>IF(F472="","Missing Reference",IF(COUNTIF('Raw Payments'!$B:$B,F472)&gt;1,"Possible Duplicate","Reference Present"))</f>
        <v>Missing Reference</v>
      </c>
      <c r="L472" t="str">
        <f t="shared" si="7"/>
        <v/>
      </c>
    </row>
    <row r="473" spans="1:12" x14ac:dyDescent="0.3">
      <c r="A473" t="str">
        <f>IF('Raw Enrollments'!A473="","",'Raw Enrollments'!A473)</f>
        <v/>
      </c>
      <c r="B473" t="str">
        <f>IF(A473="","",'Raw Enrollments'!B473)</f>
        <v/>
      </c>
      <c r="C473" t="str">
        <f>IF(A473="","",'Raw Enrollments'!C473)</f>
        <v/>
      </c>
      <c r="D473" t="str">
        <f>IF(A473="","",'Raw Enrollments'!E473)</f>
        <v/>
      </c>
      <c r="E473" t="str">
        <f>IF('Raw Payments'!A473="","",'Raw Payments'!A473)</f>
        <v/>
      </c>
      <c r="F473" t="str">
        <f>IF(E473="","",'Raw Payments'!B473)</f>
        <v/>
      </c>
      <c r="G473" t="str">
        <f>IF(E473="","",'Raw Payments'!F473)</f>
        <v/>
      </c>
      <c r="H473" t="str">
        <f>IF(E473="","",'Raw Payments'!H473)</f>
        <v/>
      </c>
      <c r="I473" t="str">
        <f>IF(E473="","",'Raw Payments'!I473)</f>
        <v/>
      </c>
      <c r="J473" t="str">
        <f>IF(A473="","",IF(COUNTIF('Raw Payments'!$C:$C,A473)&gt;0,"Payment Linked","No Payment"))</f>
        <v/>
      </c>
      <c r="K473" t="str">
        <f>IF(F473="","Missing Reference",IF(COUNTIF('Raw Payments'!$B:$B,F473)&gt;1,"Possible Duplicate","Reference Present"))</f>
        <v>Missing Reference</v>
      </c>
      <c r="L473" t="str">
        <f t="shared" si="7"/>
        <v/>
      </c>
    </row>
    <row r="474" spans="1:12" x14ac:dyDescent="0.3">
      <c r="A474" t="str">
        <f>IF('Raw Enrollments'!A474="","",'Raw Enrollments'!A474)</f>
        <v/>
      </c>
      <c r="B474" t="str">
        <f>IF(A474="","",'Raw Enrollments'!B474)</f>
        <v/>
      </c>
      <c r="C474" t="str">
        <f>IF(A474="","",'Raw Enrollments'!C474)</f>
        <v/>
      </c>
      <c r="D474" t="str">
        <f>IF(A474="","",'Raw Enrollments'!E474)</f>
        <v/>
      </c>
      <c r="E474" t="str">
        <f>IF('Raw Payments'!A474="","",'Raw Payments'!A474)</f>
        <v/>
      </c>
      <c r="F474" t="str">
        <f>IF(E474="","",'Raw Payments'!B474)</f>
        <v/>
      </c>
      <c r="G474" t="str">
        <f>IF(E474="","",'Raw Payments'!F474)</f>
        <v/>
      </c>
      <c r="H474" t="str">
        <f>IF(E474="","",'Raw Payments'!H474)</f>
        <v/>
      </c>
      <c r="I474" t="str">
        <f>IF(E474="","",'Raw Payments'!I474)</f>
        <v/>
      </c>
      <c r="J474" t="str">
        <f>IF(A474="","",IF(COUNTIF('Raw Payments'!$C:$C,A474)&gt;0,"Payment Linked","No Payment"))</f>
        <v/>
      </c>
      <c r="K474" t="str">
        <f>IF(F474="","Missing Reference",IF(COUNTIF('Raw Payments'!$B:$B,F474)&gt;1,"Possible Duplicate","Reference Present"))</f>
        <v>Missing Reference</v>
      </c>
      <c r="L474" t="str">
        <f t="shared" si="7"/>
        <v/>
      </c>
    </row>
    <row r="475" spans="1:12" x14ac:dyDescent="0.3">
      <c r="A475" t="str">
        <f>IF('Raw Enrollments'!A475="","",'Raw Enrollments'!A475)</f>
        <v/>
      </c>
      <c r="B475" t="str">
        <f>IF(A475="","",'Raw Enrollments'!B475)</f>
        <v/>
      </c>
      <c r="C475" t="str">
        <f>IF(A475="","",'Raw Enrollments'!C475)</f>
        <v/>
      </c>
      <c r="D475" t="str">
        <f>IF(A475="","",'Raw Enrollments'!E475)</f>
        <v/>
      </c>
      <c r="E475" t="str">
        <f>IF('Raw Payments'!A475="","",'Raw Payments'!A475)</f>
        <v/>
      </c>
      <c r="F475" t="str">
        <f>IF(E475="","",'Raw Payments'!B475)</f>
        <v/>
      </c>
      <c r="G475" t="str">
        <f>IF(E475="","",'Raw Payments'!F475)</f>
        <v/>
      </c>
      <c r="H475" t="str">
        <f>IF(E475="","",'Raw Payments'!H475)</f>
        <v/>
      </c>
      <c r="I475" t="str">
        <f>IF(E475="","",'Raw Payments'!I475)</f>
        <v/>
      </c>
      <c r="J475" t="str">
        <f>IF(A475="","",IF(COUNTIF('Raw Payments'!$C:$C,A475)&gt;0,"Payment Linked","No Payment"))</f>
        <v/>
      </c>
      <c r="K475" t="str">
        <f>IF(F475="","Missing Reference",IF(COUNTIF('Raw Payments'!$B:$B,F475)&gt;1,"Possible Duplicate","Reference Present"))</f>
        <v>Missing Reference</v>
      </c>
      <c r="L475" t="str">
        <f t="shared" si="7"/>
        <v/>
      </c>
    </row>
    <row r="476" spans="1:12" x14ac:dyDescent="0.3">
      <c r="A476" t="str">
        <f>IF('Raw Enrollments'!A476="","",'Raw Enrollments'!A476)</f>
        <v/>
      </c>
      <c r="B476" t="str">
        <f>IF(A476="","",'Raw Enrollments'!B476)</f>
        <v/>
      </c>
      <c r="C476" t="str">
        <f>IF(A476="","",'Raw Enrollments'!C476)</f>
        <v/>
      </c>
      <c r="D476" t="str">
        <f>IF(A476="","",'Raw Enrollments'!E476)</f>
        <v/>
      </c>
      <c r="E476" t="str">
        <f>IF('Raw Payments'!A476="","",'Raw Payments'!A476)</f>
        <v/>
      </c>
      <c r="F476" t="str">
        <f>IF(E476="","",'Raw Payments'!B476)</f>
        <v/>
      </c>
      <c r="G476" t="str">
        <f>IF(E476="","",'Raw Payments'!F476)</f>
        <v/>
      </c>
      <c r="H476" t="str">
        <f>IF(E476="","",'Raw Payments'!H476)</f>
        <v/>
      </c>
      <c r="I476" t="str">
        <f>IF(E476="","",'Raw Payments'!I476)</f>
        <v/>
      </c>
      <c r="J476" t="str">
        <f>IF(A476="","",IF(COUNTIF('Raw Payments'!$C:$C,A476)&gt;0,"Payment Linked","No Payment"))</f>
        <v/>
      </c>
      <c r="K476" t="str">
        <f>IF(F476="","Missing Reference",IF(COUNTIF('Raw Payments'!$B:$B,F476)&gt;1,"Possible Duplicate","Reference Present"))</f>
        <v>Missing Reference</v>
      </c>
      <c r="L476" t="str">
        <f t="shared" si="7"/>
        <v/>
      </c>
    </row>
    <row r="477" spans="1:12" x14ac:dyDescent="0.3">
      <c r="A477" t="str">
        <f>IF('Raw Enrollments'!A477="","",'Raw Enrollments'!A477)</f>
        <v/>
      </c>
      <c r="B477" t="str">
        <f>IF(A477="","",'Raw Enrollments'!B477)</f>
        <v/>
      </c>
      <c r="C477" t="str">
        <f>IF(A477="","",'Raw Enrollments'!C477)</f>
        <v/>
      </c>
      <c r="D477" t="str">
        <f>IF(A477="","",'Raw Enrollments'!E477)</f>
        <v/>
      </c>
      <c r="E477" t="str">
        <f>IF('Raw Payments'!A477="","",'Raw Payments'!A477)</f>
        <v/>
      </c>
      <c r="F477" t="str">
        <f>IF(E477="","",'Raw Payments'!B477)</f>
        <v/>
      </c>
      <c r="G477" t="str">
        <f>IF(E477="","",'Raw Payments'!F477)</f>
        <v/>
      </c>
      <c r="H477" t="str">
        <f>IF(E477="","",'Raw Payments'!H477)</f>
        <v/>
      </c>
      <c r="I477" t="str">
        <f>IF(E477="","",'Raw Payments'!I477)</f>
        <v/>
      </c>
      <c r="J477" t="str">
        <f>IF(A477="","",IF(COUNTIF('Raw Payments'!$C:$C,A477)&gt;0,"Payment Linked","No Payment"))</f>
        <v/>
      </c>
      <c r="K477" t="str">
        <f>IF(F477="","Missing Reference",IF(COUNTIF('Raw Payments'!$B:$B,F477)&gt;1,"Possible Duplicate","Reference Present"))</f>
        <v>Missing Reference</v>
      </c>
      <c r="L477" t="str">
        <f t="shared" si="7"/>
        <v/>
      </c>
    </row>
    <row r="478" spans="1:12" x14ac:dyDescent="0.3">
      <c r="A478" t="str">
        <f>IF('Raw Enrollments'!A478="","",'Raw Enrollments'!A478)</f>
        <v/>
      </c>
      <c r="B478" t="str">
        <f>IF(A478="","",'Raw Enrollments'!B478)</f>
        <v/>
      </c>
      <c r="C478" t="str">
        <f>IF(A478="","",'Raw Enrollments'!C478)</f>
        <v/>
      </c>
      <c r="D478" t="str">
        <f>IF(A478="","",'Raw Enrollments'!E478)</f>
        <v/>
      </c>
      <c r="E478" t="str">
        <f>IF('Raw Payments'!A478="","",'Raw Payments'!A478)</f>
        <v/>
      </c>
      <c r="F478" t="str">
        <f>IF(E478="","",'Raw Payments'!B478)</f>
        <v/>
      </c>
      <c r="G478" t="str">
        <f>IF(E478="","",'Raw Payments'!F478)</f>
        <v/>
      </c>
      <c r="H478" t="str">
        <f>IF(E478="","",'Raw Payments'!H478)</f>
        <v/>
      </c>
      <c r="I478" t="str">
        <f>IF(E478="","",'Raw Payments'!I478)</f>
        <v/>
      </c>
      <c r="J478" t="str">
        <f>IF(A478="","",IF(COUNTIF('Raw Payments'!$C:$C,A478)&gt;0,"Payment Linked","No Payment"))</f>
        <v/>
      </c>
      <c r="K478" t="str">
        <f>IF(F478="","Missing Reference",IF(COUNTIF('Raw Payments'!$B:$B,F478)&gt;1,"Possible Duplicate","Reference Present"))</f>
        <v>Missing Reference</v>
      </c>
      <c r="L478" t="str">
        <f t="shared" si="7"/>
        <v/>
      </c>
    </row>
    <row r="479" spans="1:12" x14ac:dyDescent="0.3">
      <c r="A479" t="str">
        <f>IF('Raw Enrollments'!A479="","",'Raw Enrollments'!A479)</f>
        <v/>
      </c>
      <c r="B479" t="str">
        <f>IF(A479="","",'Raw Enrollments'!B479)</f>
        <v/>
      </c>
      <c r="C479" t="str">
        <f>IF(A479="","",'Raw Enrollments'!C479)</f>
        <v/>
      </c>
      <c r="D479" t="str">
        <f>IF(A479="","",'Raw Enrollments'!E479)</f>
        <v/>
      </c>
      <c r="E479" t="str">
        <f>IF('Raw Payments'!A479="","",'Raw Payments'!A479)</f>
        <v/>
      </c>
      <c r="F479" t="str">
        <f>IF(E479="","",'Raw Payments'!B479)</f>
        <v/>
      </c>
      <c r="G479" t="str">
        <f>IF(E479="","",'Raw Payments'!F479)</f>
        <v/>
      </c>
      <c r="H479" t="str">
        <f>IF(E479="","",'Raw Payments'!H479)</f>
        <v/>
      </c>
      <c r="I479" t="str">
        <f>IF(E479="","",'Raw Payments'!I479)</f>
        <v/>
      </c>
      <c r="J479" t="str">
        <f>IF(A479="","",IF(COUNTIF('Raw Payments'!$C:$C,A479)&gt;0,"Payment Linked","No Payment"))</f>
        <v/>
      </c>
      <c r="K479" t="str">
        <f>IF(F479="","Missing Reference",IF(COUNTIF('Raw Payments'!$B:$B,F479)&gt;1,"Possible Duplicate","Reference Present"))</f>
        <v>Missing Reference</v>
      </c>
      <c r="L479" t="str">
        <f t="shared" si="7"/>
        <v/>
      </c>
    </row>
    <row r="480" spans="1:12" x14ac:dyDescent="0.3">
      <c r="A480" t="str">
        <f>IF('Raw Enrollments'!A480="","",'Raw Enrollments'!A480)</f>
        <v/>
      </c>
      <c r="B480" t="str">
        <f>IF(A480="","",'Raw Enrollments'!B480)</f>
        <v/>
      </c>
      <c r="C480" t="str">
        <f>IF(A480="","",'Raw Enrollments'!C480)</f>
        <v/>
      </c>
      <c r="D480" t="str">
        <f>IF(A480="","",'Raw Enrollments'!E480)</f>
        <v/>
      </c>
      <c r="E480" t="str">
        <f>IF('Raw Payments'!A480="","",'Raw Payments'!A480)</f>
        <v/>
      </c>
      <c r="F480" t="str">
        <f>IF(E480="","",'Raw Payments'!B480)</f>
        <v/>
      </c>
      <c r="G480" t="str">
        <f>IF(E480="","",'Raw Payments'!F480)</f>
        <v/>
      </c>
      <c r="H480" t="str">
        <f>IF(E480="","",'Raw Payments'!H480)</f>
        <v/>
      </c>
      <c r="I480" t="str">
        <f>IF(E480="","",'Raw Payments'!I480)</f>
        <v/>
      </c>
      <c r="J480" t="str">
        <f>IF(A480="","",IF(COUNTIF('Raw Payments'!$C:$C,A480)&gt;0,"Payment Linked","No Payment"))</f>
        <v/>
      </c>
      <c r="K480" t="str">
        <f>IF(F480="","Missing Reference",IF(COUNTIF('Raw Payments'!$B:$B,F480)&gt;1,"Possible Duplicate","Reference Present"))</f>
        <v>Missing Reference</v>
      </c>
      <c r="L480" t="str">
        <f t="shared" si="7"/>
        <v/>
      </c>
    </row>
    <row r="481" spans="1:12" x14ac:dyDescent="0.3">
      <c r="A481" t="str">
        <f>IF('Raw Enrollments'!A481="","",'Raw Enrollments'!A481)</f>
        <v/>
      </c>
      <c r="B481" t="str">
        <f>IF(A481="","",'Raw Enrollments'!B481)</f>
        <v/>
      </c>
      <c r="C481" t="str">
        <f>IF(A481="","",'Raw Enrollments'!C481)</f>
        <v/>
      </c>
      <c r="D481" t="str">
        <f>IF(A481="","",'Raw Enrollments'!E481)</f>
        <v/>
      </c>
      <c r="E481" t="str">
        <f>IF('Raw Payments'!A481="","",'Raw Payments'!A481)</f>
        <v/>
      </c>
      <c r="F481" t="str">
        <f>IF(E481="","",'Raw Payments'!B481)</f>
        <v/>
      </c>
      <c r="G481" t="str">
        <f>IF(E481="","",'Raw Payments'!F481)</f>
        <v/>
      </c>
      <c r="H481" t="str">
        <f>IF(E481="","",'Raw Payments'!H481)</f>
        <v/>
      </c>
      <c r="I481" t="str">
        <f>IF(E481="","",'Raw Payments'!I481)</f>
        <v/>
      </c>
      <c r="J481" t="str">
        <f>IF(A481="","",IF(COUNTIF('Raw Payments'!$C:$C,A481)&gt;0,"Payment Linked","No Payment"))</f>
        <v/>
      </c>
      <c r="K481" t="str">
        <f>IF(F481="","Missing Reference",IF(COUNTIF('Raw Payments'!$B:$B,F481)&gt;1,"Possible Duplicate","Reference Present"))</f>
        <v>Missing Reference</v>
      </c>
      <c r="L481" t="str">
        <f t="shared" si="7"/>
        <v/>
      </c>
    </row>
    <row r="482" spans="1:12" x14ac:dyDescent="0.3">
      <c r="A482" t="str">
        <f>IF('Raw Enrollments'!A482="","",'Raw Enrollments'!A482)</f>
        <v/>
      </c>
      <c r="B482" t="str">
        <f>IF(A482="","",'Raw Enrollments'!B482)</f>
        <v/>
      </c>
      <c r="C482" t="str">
        <f>IF(A482="","",'Raw Enrollments'!C482)</f>
        <v/>
      </c>
      <c r="D482" t="str">
        <f>IF(A482="","",'Raw Enrollments'!E482)</f>
        <v/>
      </c>
      <c r="E482" t="str">
        <f>IF('Raw Payments'!A482="","",'Raw Payments'!A482)</f>
        <v/>
      </c>
      <c r="F482" t="str">
        <f>IF(E482="","",'Raw Payments'!B482)</f>
        <v/>
      </c>
      <c r="G482" t="str">
        <f>IF(E482="","",'Raw Payments'!F482)</f>
        <v/>
      </c>
      <c r="H482" t="str">
        <f>IF(E482="","",'Raw Payments'!H482)</f>
        <v/>
      </c>
      <c r="I482" t="str">
        <f>IF(E482="","",'Raw Payments'!I482)</f>
        <v/>
      </c>
      <c r="J482" t="str">
        <f>IF(A482="","",IF(COUNTIF('Raw Payments'!$C:$C,A482)&gt;0,"Payment Linked","No Payment"))</f>
        <v/>
      </c>
      <c r="K482" t="str">
        <f>IF(F482="","Missing Reference",IF(COUNTIF('Raw Payments'!$B:$B,F482)&gt;1,"Possible Duplicate","Reference Present"))</f>
        <v>Missing Reference</v>
      </c>
      <c r="L482" t="str">
        <f t="shared" si="7"/>
        <v/>
      </c>
    </row>
    <row r="483" spans="1:12" x14ac:dyDescent="0.3">
      <c r="A483" t="str">
        <f>IF('Raw Enrollments'!A483="","",'Raw Enrollments'!A483)</f>
        <v/>
      </c>
      <c r="B483" t="str">
        <f>IF(A483="","",'Raw Enrollments'!B483)</f>
        <v/>
      </c>
      <c r="C483" t="str">
        <f>IF(A483="","",'Raw Enrollments'!C483)</f>
        <v/>
      </c>
      <c r="D483" t="str">
        <f>IF(A483="","",'Raw Enrollments'!E483)</f>
        <v/>
      </c>
      <c r="E483" t="str">
        <f>IF('Raw Payments'!A483="","",'Raw Payments'!A483)</f>
        <v/>
      </c>
      <c r="F483" t="str">
        <f>IF(E483="","",'Raw Payments'!B483)</f>
        <v/>
      </c>
      <c r="G483" t="str">
        <f>IF(E483="","",'Raw Payments'!F483)</f>
        <v/>
      </c>
      <c r="H483" t="str">
        <f>IF(E483="","",'Raw Payments'!H483)</f>
        <v/>
      </c>
      <c r="I483" t="str">
        <f>IF(E483="","",'Raw Payments'!I483)</f>
        <v/>
      </c>
      <c r="J483" t="str">
        <f>IF(A483="","",IF(COUNTIF('Raw Payments'!$C:$C,A483)&gt;0,"Payment Linked","No Payment"))</f>
        <v/>
      </c>
      <c r="K483" t="str">
        <f>IF(F483="","Missing Reference",IF(COUNTIF('Raw Payments'!$B:$B,F483)&gt;1,"Possible Duplicate","Reference Present"))</f>
        <v>Missing Reference</v>
      </c>
      <c r="L483" t="str">
        <f t="shared" si="7"/>
        <v/>
      </c>
    </row>
    <row r="484" spans="1:12" x14ac:dyDescent="0.3">
      <c r="A484" t="str">
        <f>IF('Raw Enrollments'!A484="","",'Raw Enrollments'!A484)</f>
        <v/>
      </c>
      <c r="B484" t="str">
        <f>IF(A484="","",'Raw Enrollments'!B484)</f>
        <v/>
      </c>
      <c r="C484" t="str">
        <f>IF(A484="","",'Raw Enrollments'!C484)</f>
        <v/>
      </c>
      <c r="D484" t="str">
        <f>IF(A484="","",'Raw Enrollments'!E484)</f>
        <v/>
      </c>
      <c r="E484" t="str">
        <f>IF('Raw Payments'!A484="","",'Raw Payments'!A484)</f>
        <v/>
      </c>
      <c r="F484" t="str">
        <f>IF(E484="","",'Raw Payments'!B484)</f>
        <v/>
      </c>
      <c r="G484" t="str">
        <f>IF(E484="","",'Raw Payments'!F484)</f>
        <v/>
      </c>
      <c r="H484" t="str">
        <f>IF(E484="","",'Raw Payments'!H484)</f>
        <v/>
      </c>
      <c r="I484" t="str">
        <f>IF(E484="","",'Raw Payments'!I484)</f>
        <v/>
      </c>
      <c r="J484" t="str">
        <f>IF(A484="","",IF(COUNTIF('Raw Payments'!$C:$C,A484)&gt;0,"Payment Linked","No Payment"))</f>
        <v/>
      </c>
      <c r="K484" t="str">
        <f>IF(F484="","Missing Reference",IF(COUNTIF('Raw Payments'!$B:$B,F484)&gt;1,"Possible Duplicate","Reference Present"))</f>
        <v>Missing Reference</v>
      </c>
      <c r="L484" t="str">
        <f t="shared" si="7"/>
        <v/>
      </c>
    </row>
    <row r="485" spans="1:12" x14ac:dyDescent="0.3">
      <c r="A485" t="str">
        <f>IF('Raw Enrollments'!A485="","",'Raw Enrollments'!A485)</f>
        <v/>
      </c>
      <c r="B485" t="str">
        <f>IF(A485="","",'Raw Enrollments'!B485)</f>
        <v/>
      </c>
      <c r="C485" t="str">
        <f>IF(A485="","",'Raw Enrollments'!C485)</f>
        <v/>
      </c>
      <c r="D485" t="str">
        <f>IF(A485="","",'Raw Enrollments'!E485)</f>
        <v/>
      </c>
      <c r="E485" t="str">
        <f>IF('Raw Payments'!A485="","",'Raw Payments'!A485)</f>
        <v/>
      </c>
      <c r="F485" t="str">
        <f>IF(E485="","",'Raw Payments'!B485)</f>
        <v/>
      </c>
      <c r="G485" t="str">
        <f>IF(E485="","",'Raw Payments'!F485)</f>
        <v/>
      </c>
      <c r="H485" t="str">
        <f>IF(E485="","",'Raw Payments'!H485)</f>
        <v/>
      </c>
      <c r="I485" t="str">
        <f>IF(E485="","",'Raw Payments'!I485)</f>
        <v/>
      </c>
      <c r="J485" t="str">
        <f>IF(A485="","",IF(COUNTIF('Raw Payments'!$C:$C,A485)&gt;0,"Payment Linked","No Payment"))</f>
        <v/>
      </c>
      <c r="K485" t="str">
        <f>IF(F485="","Missing Reference",IF(COUNTIF('Raw Payments'!$B:$B,F485)&gt;1,"Possible Duplicate","Reference Present"))</f>
        <v>Missing Reference</v>
      </c>
      <c r="L485" t="str">
        <f t="shared" si="7"/>
        <v/>
      </c>
    </row>
    <row r="486" spans="1:12" x14ac:dyDescent="0.3">
      <c r="A486" t="str">
        <f>IF('Raw Enrollments'!A486="","",'Raw Enrollments'!A486)</f>
        <v/>
      </c>
      <c r="B486" t="str">
        <f>IF(A486="","",'Raw Enrollments'!B486)</f>
        <v/>
      </c>
      <c r="C486" t="str">
        <f>IF(A486="","",'Raw Enrollments'!C486)</f>
        <v/>
      </c>
      <c r="D486" t="str">
        <f>IF(A486="","",'Raw Enrollments'!E486)</f>
        <v/>
      </c>
      <c r="E486" t="str">
        <f>IF('Raw Payments'!A486="","",'Raw Payments'!A486)</f>
        <v/>
      </c>
      <c r="F486" t="str">
        <f>IF(E486="","",'Raw Payments'!B486)</f>
        <v/>
      </c>
      <c r="G486" t="str">
        <f>IF(E486="","",'Raw Payments'!F486)</f>
        <v/>
      </c>
      <c r="H486" t="str">
        <f>IF(E486="","",'Raw Payments'!H486)</f>
        <v/>
      </c>
      <c r="I486" t="str">
        <f>IF(E486="","",'Raw Payments'!I486)</f>
        <v/>
      </c>
      <c r="J486" t="str">
        <f>IF(A486="","",IF(COUNTIF('Raw Payments'!$C:$C,A486)&gt;0,"Payment Linked","No Payment"))</f>
        <v/>
      </c>
      <c r="K486" t="str">
        <f>IF(F486="","Missing Reference",IF(COUNTIF('Raw Payments'!$B:$B,F486)&gt;1,"Possible Duplicate","Reference Present"))</f>
        <v>Missing Reference</v>
      </c>
      <c r="L486" t="str">
        <f t="shared" si="7"/>
        <v/>
      </c>
    </row>
    <row r="487" spans="1:12" x14ac:dyDescent="0.3">
      <c r="A487" t="str">
        <f>IF('Raw Enrollments'!A487="","",'Raw Enrollments'!A487)</f>
        <v/>
      </c>
      <c r="B487" t="str">
        <f>IF(A487="","",'Raw Enrollments'!B487)</f>
        <v/>
      </c>
      <c r="C487" t="str">
        <f>IF(A487="","",'Raw Enrollments'!C487)</f>
        <v/>
      </c>
      <c r="D487" t="str">
        <f>IF(A487="","",'Raw Enrollments'!E487)</f>
        <v/>
      </c>
      <c r="E487" t="str">
        <f>IF('Raw Payments'!A487="","",'Raw Payments'!A487)</f>
        <v/>
      </c>
      <c r="F487" t="str">
        <f>IF(E487="","",'Raw Payments'!B487)</f>
        <v/>
      </c>
      <c r="G487" t="str">
        <f>IF(E487="","",'Raw Payments'!F487)</f>
        <v/>
      </c>
      <c r="H487" t="str">
        <f>IF(E487="","",'Raw Payments'!H487)</f>
        <v/>
      </c>
      <c r="I487" t="str">
        <f>IF(E487="","",'Raw Payments'!I487)</f>
        <v/>
      </c>
      <c r="J487" t="str">
        <f>IF(A487="","",IF(COUNTIF('Raw Payments'!$C:$C,A487)&gt;0,"Payment Linked","No Payment"))</f>
        <v/>
      </c>
      <c r="K487" t="str">
        <f>IF(F487="","Missing Reference",IF(COUNTIF('Raw Payments'!$B:$B,F487)&gt;1,"Possible Duplicate","Reference Present"))</f>
        <v>Missing Reference</v>
      </c>
      <c r="L487" t="str">
        <f t="shared" si="7"/>
        <v/>
      </c>
    </row>
    <row r="488" spans="1:12" x14ac:dyDescent="0.3">
      <c r="A488" t="str">
        <f>IF('Raw Enrollments'!A488="","",'Raw Enrollments'!A488)</f>
        <v/>
      </c>
      <c r="B488" t="str">
        <f>IF(A488="","",'Raw Enrollments'!B488)</f>
        <v/>
      </c>
      <c r="C488" t="str">
        <f>IF(A488="","",'Raw Enrollments'!C488)</f>
        <v/>
      </c>
      <c r="D488" t="str">
        <f>IF(A488="","",'Raw Enrollments'!E488)</f>
        <v/>
      </c>
      <c r="E488" t="str">
        <f>IF('Raw Payments'!A488="","",'Raw Payments'!A488)</f>
        <v/>
      </c>
      <c r="F488" t="str">
        <f>IF(E488="","",'Raw Payments'!B488)</f>
        <v/>
      </c>
      <c r="G488" t="str">
        <f>IF(E488="","",'Raw Payments'!F488)</f>
        <v/>
      </c>
      <c r="H488" t="str">
        <f>IF(E488="","",'Raw Payments'!H488)</f>
        <v/>
      </c>
      <c r="I488" t="str">
        <f>IF(E488="","",'Raw Payments'!I488)</f>
        <v/>
      </c>
      <c r="J488" t="str">
        <f>IF(A488="","",IF(COUNTIF('Raw Payments'!$C:$C,A488)&gt;0,"Payment Linked","No Payment"))</f>
        <v/>
      </c>
      <c r="K488" t="str">
        <f>IF(F488="","Missing Reference",IF(COUNTIF('Raw Payments'!$B:$B,F488)&gt;1,"Possible Duplicate","Reference Present"))</f>
        <v>Missing Reference</v>
      </c>
      <c r="L488" t="str">
        <f t="shared" si="7"/>
        <v/>
      </c>
    </row>
    <row r="489" spans="1:12" x14ac:dyDescent="0.3">
      <c r="A489" t="str">
        <f>IF('Raw Enrollments'!A489="","",'Raw Enrollments'!A489)</f>
        <v/>
      </c>
      <c r="B489" t="str">
        <f>IF(A489="","",'Raw Enrollments'!B489)</f>
        <v/>
      </c>
      <c r="C489" t="str">
        <f>IF(A489="","",'Raw Enrollments'!C489)</f>
        <v/>
      </c>
      <c r="D489" t="str">
        <f>IF(A489="","",'Raw Enrollments'!E489)</f>
        <v/>
      </c>
      <c r="E489" t="str">
        <f>IF('Raw Payments'!A489="","",'Raw Payments'!A489)</f>
        <v/>
      </c>
      <c r="F489" t="str">
        <f>IF(E489="","",'Raw Payments'!B489)</f>
        <v/>
      </c>
      <c r="G489" t="str">
        <f>IF(E489="","",'Raw Payments'!F489)</f>
        <v/>
      </c>
      <c r="H489" t="str">
        <f>IF(E489="","",'Raw Payments'!H489)</f>
        <v/>
      </c>
      <c r="I489" t="str">
        <f>IF(E489="","",'Raw Payments'!I489)</f>
        <v/>
      </c>
      <c r="J489" t="str">
        <f>IF(A489="","",IF(COUNTIF('Raw Payments'!$C:$C,A489)&gt;0,"Payment Linked","No Payment"))</f>
        <v/>
      </c>
      <c r="K489" t="str">
        <f>IF(F489="","Missing Reference",IF(COUNTIF('Raw Payments'!$B:$B,F489)&gt;1,"Possible Duplicate","Reference Present"))</f>
        <v>Missing Reference</v>
      </c>
      <c r="L489" t="str">
        <f t="shared" si="7"/>
        <v/>
      </c>
    </row>
    <row r="490" spans="1:12" x14ac:dyDescent="0.3">
      <c r="A490" t="str">
        <f>IF('Raw Enrollments'!A490="","",'Raw Enrollments'!A490)</f>
        <v/>
      </c>
      <c r="B490" t="str">
        <f>IF(A490="","",'Raw Enrollments'!B490)</f>
        <v/>
      </c>
      <c r="C490" t="str">
        <f>IF(A490="","",'Raw Enrollments'!C490)</f>
        <v/>
      </c>
      <c r="D490" t="str">
        <f>IF(A490="","",'Raw Enrollments'!E490)</f>
        <v/>
      </c>
      <c r="E490" t="str">
        <f>IF('Raw Payments'!A490="","",'Raw Payments'!A490)</f>
        <v/>
      </c>
      <c r="F490" t="str">
        <f>IF(E490="","",'Raw Payments'!B490)</f>
        <v/>
      </c>
      <c r="G490" t="str">
        <f>IF(E490="","",'Raw Payments'!F490)</f>
        <v/>
      </c>
      <c r="H490" t="str">
        <f>IF(E490="","",'Raw Payments'!H490)</f>
        <v/>
      </c>
      <c r="I490" t="str">
        <f>IF(E490="","",'Raw Payments'!I490)</f>
        <v/>
      </c>
      <c r="J490" t="str">
        <f>IF(A490="","",IF(COUNTIF('Raw Payments'!$C:$C,A490)&gt;0,"Payment Linked","No Payment"))</f>
        <v/>
      </c>
      <c r="K490" t="str">
        <f>IF(F490="","Missing Reference",IF(COUNTIF('Raw Payments'!$B:$B,F490)&gt;1,"Possible Duplicate","Reference Present"))</f>
        <v>Missing Reference</v>
      </c>
      <c r="L490" t="str">
        <f t="shared" si="7"/>
        <v/>
      </c>
    </row>
    <row r="491" spans="1:12" x14ac:dyDescent="0.3">
      <c r="A491" t="str">
        <f>IF('Raw Enrollments'!A491="","",'Raw Enrollments'!A491)</f>
        <v/>
      </c>
      <c r="B491" t="str">
        <f>IF(A491="","",'Raw Enrollments'!B491)</f>
        <v/>
      </c>
      <c r="C491" t="str">
        <f>IF(A491="","",'Raw Enrollments'!C491)</f>
        <v/>
      </c>
      <c r="D491" t="str">
        <f>IF(A491="","",'Raw Enrollments'!E491)</f>
        <v/>
      </c>
      <c r="E491" t="str">
        <f>IF('Raw Payments'!A491="","",'Raw Payments'!A491)</f>
        <v/>
      </c>
      <c r="F491" t="str">
        <f>IF(E491="","",'Raw Payments'!B491)</f>
        <v/>
      </c>
      <c r="G491" t="str">
        <f>IF(E491="","",'Raw Payments'!F491)</f>
        <v/>
      </c>
      <c r="H491" t="str">
        <f>IF(E491="","",'Raw Payments'!H491)</f>
        <v/>
      </c>
      <c r="I491" t="str">
        <f>IF(E491="","",'Raw Payments'!I491)</f>
        <v/>
      </c>
      <c r="J491" t="str">
        <f>IF(A491="","",IF(COUNTIF('Raw Payments'!$C:$C,A491)&gt;0,"Payment Linked","No Payment"))</f>
        <v/>
      </c>
      <c r="K491" t="str">
        <f>IF(F491="","Missing Reference",IF(COUNTIF('Raw Payments'!$B:$B,F491)&gt;1,"Possible Duplicate","Reference Present"))</f>
        <v>Missing Reference</v>
      </c>
      <c r="L491" t="str">
        <f t="shared" si="7"/>
        <v/>
      </c>
    </row>
    <row r="492" spans="1:12" x14ac:dyDescent="0.3">
      <c r="A492" t="str">
        <f>IF('Raw Enrollments'!A492="","",'Raw Enrollments'!A492)</f>
        <v/>
      </c>
      <c r="B492" t="str">
        <f>IF(A492="","",'Raw Enrollments'!B492)</f>
        <v/>
      </c>
      <c r="C492" t="str">
        <f>IF(A492="","",'Raw Enrollments'!C492)</f>
        <v/>
      </c>
      <c r="D492" t="str">
        <f>IF(A492="","",'Raw Enrollments'!E492)</f>
        <v/>
      </c>
      <c r="E492" t="str">
        <f>IF('Raw Payments'!A492="","",'Raw Payments'!A492)</f>
        <v/>
      </c>
      <c r="F492" t="str">
        <f>IF(E492="","",'Raw Payments'!B492)</f>
        <v/>
      </c>
      <c r="G492" t="str">
        <f>IF(E492="","",'Raw Payments'!F492)</f>
        <v/>
      </c>
      <c r="H492" t="str">
        <f>IF(E492="","",'Raw Payments'!H492)</f>
        <v/>
      </c>
      <c r="I492" t="str">
        <f>IF(E492="","",'Raw Payments'!I492)</f>
        <v/>
      </c>
      <c r="J492" t="str">
        <f>IF(A492="","",IF(COUNTIF('Raw Payments'!$C:$C,A492)&gt;0,"Payment Linked","No Payment"))</f>
        <v/>
      </c>
      <c r="K492" t="str">
        <f>IF(F492="","Missing Reference",IF(COUNTIF('Raw Payments'!$B:$B,F492)&gt;1,"Possible Duplicate","Reference Present"))</f>
        <v>Missing Reference</v>
      </c>
      <c r="L492" t="str">
        <f t="shared" si="7"/>
        <v/>
      </c>
    </row>
    <row r="493" spans="1:12" x14ac:dyDescent="0.3">
      <c r="A493" t="str">
        <f>IF('Raw Enrollments'!A493="","",'Raw Enrollments'!A493)</f>
        <v/>
      </c>
      <c r="B493" t="str">
        <f>IF(A493="","",'Raw Enrollments'!B493)</f>
        <v/>
      </c>
      <c r="C493" t="str">
        <f>IF(A493="","",'Raw Enrollments'!C493)</f>
        <v/>
      </c>
      <c r="D493" t="str">
        <f>IF(A493="","",'Raw Enrollments'!E493)</f>
        <v/>
      </c>
      <c r="E493" t="str">
        <f>IF('Raw Payments'!A493="","",'Raw Payments'!A493)</f>
        <v/>
      </c>
      <c r="F493" t="str">
        <f>IF(E493="","",'Raw Payments'!B493)</f>
        <v/>
      </c>
      <c r="G493" t="str">
        <f>IF(E493="","",'Raw Payments'!F493)</f>
        <v/>
      </c>
      <c r="H493" t="str">
        <f>IF(E493="","",'Raw Payments'!H493)</f>
        <v/>
      </c>
      <c r="I493" t="str">
        <f>IF(E493="","",'Raw Payments'!I493)</f>
        <v/>
      </c>
      <c r="J493" t="str">
        <f>IF(A493="","",IF(COUNTIF('Raw Payments'!$C:$C,A493)&gt;0,"Payment Linked","No Payment"))</f>
        <v/>
      </c>
      <c r="K493" t="str">
        <f>IF(F493="","Missing Reference",IF(COUNTIF('Raw Payments'!$B:$B,F493)&gt;1,"Possible Duplicate","Reference Present"))</f>
        <v>Missing Reference</v>
      </c>
      <c r="L493" t="str">
        <f t="shared" si="7"/>
        <v/>
      </c>
    </row>
    <row r="494" spans="1:12" x14ac:dyDescent="0.3">
      <c r="A494" t="str">
        <f>IF('Raw Enrollments'!A494="","",'Raw Enrollments'!A494)</f>
        <v/>
      </c>
      <c r="B494" t="str">
        <f>IF(A494="","",'Raw Enrollments'!B494)</f>
        <v/>
      </c>
      <c r="C494" t="str">
        <f>IF(A494="","",'Raw Enrollments'!C494)</f>
        <v/>
      </c>
      <c r="D494" t="str">
        <f>IF(A494="","",'Raw Enrollments'!E494)</f>
        <v/>
      </c>
      <c r="E494" t="str">
        <f>IF('Raw Payments'!A494="","",'Raw Payments'!A494)</f>
        <v/>
      </c>
      <c r="F494" t="str">
        <f>IF(E494="","",'Raw Payments'!B494)</f>
        <v/>
      </c>
      <c r="G494" t="str">
        <f>IF(E494="","",'Raw Payments'!F494)</f>
        <v/>
      </c>
      <c r="H494" t="str">
        <f>IF(E494="","",'Raw Payments'!H494)</f>
        <v/>
      </c>
      <c r="I494" t="str">
        <f>IF(E494="","",'Raw Payments'!I494)</f>
        <v/>
      </c>
      <c r="J494" t="str">
        <f>IF(A494="","",IF(COUNTIF('Raw Payments'!$C:$C,A494)&gt;0,"Payment Linked","No Payment"))</f>
        <v/>
      </c>
      <c r="K494" t="str">
        <f>IF(F494="","Missing Reference",IF(COUNTIF('Raw Payments'!$B:$B,F494)&gt;1,"Possible Duplicate","Reference Present"))</f>
        <v>Missing Reference</v>
      </c>
      <c r="L494" t="str">
        <f t="shared" si="7"/>
        <v/>
      </c>
    </row>
    <row r="495" spans="1:12" x14ac:dyDescent="0.3">
      <c r="A495" t="str">
        <f>IF('Raw Enrollments'!A495="","",'Raw Enrollments'!A495)</f>
        <v/>
      </c>
      <c r="B495" t="str">
        <f>IF(A495="","",'Raw Enrollments'!B495)</f>
        <v/>
      </c>
      <c r="C495" t="str">
        <f>IF(A495="","",'Raw Enrollments'!C495)</f>
        <v/>
      </c>
      <c r="D495" t="str">
        <f>IF(A495="","",'Raw Enrollments'!E495)</f>
        <v/>
      </c>
      <c r="E495" t="str">
        <f>IF('Raw Payments'!A495="","",'Raw Payments'!A495)</f>
        <v/>
      </c>
      <c r="F495" t="str">
        <f>IF(E495="","",'Raw Payments'!B495)</f>
        <v/>
      </c>
      <c r="G495" t="str">
        <f>IF(E495="","",'Raw Payments'!F495)</f>
        <v/>
      </c>
      <c r="H495" t="str">
        <f>IF(E495="","",'Raw Payments'!H495)</f>
        <v/>
      </c>
      <c r="I495" t="str">
        <f>IF(E495="","",'Raw Payments'!I495)</f>
        <v/>
      </c>
      <c r="J495" t="str">
        <f>IF(A495="","",IF(COUNTIF('Raw Payments'!$C:$C,A495)&gt;0,"Payment Linked","No Payment"))</f>
        <v/>
      </c>
      <c r="K495" t="str">
        <f>IF(F495="","Missing Reference",IF(COUNTIF('Raw Payments'!$B:$B,F495)&gt;1,"Possible Duplicate","Reference Present"))</f>
        <v>Missing Reference</v>
      </c>
      <c r="L495" t="str">
        <f t="shared" si="7"/>
        <v/>
      </c>
    </row>
    <row r="496" spans="1:12" x14ac:dyDescent="0.3">
      <c r="A496" t="str">
        <f>IF('Raw Enrollments'!A496="","",'Raw Enrollments'!A496)</f>
        <v/>
      </c>
      <c r="B496" t="str">
        <f>IF(A496="","",'Raw Enrollments'!B496)</f>
        <v/>
      </c>
      <c r="C496" t="str">
        <f>IF(A496="","",'Raw Enrollments'!C496)</f>
        <v/>
      </c>
      <c r="D496" t="str">
        <f>IF(A496="","",'Raw Enrollments'!E496)</f>
        <v/>
      </c>
      <c r="E496" t="str">
        <f>IF('Raw Payments'!A496="","",'Raw Payments'!A496)</f>
        <v/>
      </c>
      <c r="F496" t="str">
        <f>IF(E496="","",'Raw Payments'!B496)</f>
        <v/>
      </c>
      <c r="G496" t="str">
        <f>IF(E496="","",'Raw Payments'!F496)</f>
        <v/>
      </c>
      <c r="H496" t="str">
        <f>IF(E496="","",'Raw Payments'!H496)</f>
        <v/>
      </c>
      <c r="I496" t="str">
        <f>IF(E496="","",'Raw Payments'!I496)</f>
        <v/>
      </c>
      <c r="J496" t="str">
        <f>IF(A496="","",IF(COUNTIF('Raw Payments'!$C:$C,A496)&gt;0,"Payment Linked","No Payment"))</f>
        <v/>
      </c>
      <c r="K496" t="str">
        <f>IF(F496="","Missing Reference",IF(COUNTIF('Raw Payments'!$B:$B,F496)&gt;1,"Possible Duplicate","Reference Present"))</f>
        <v>Missing Reference</v>
      </c>
      <c r="L496" t="str">
        <f t="shared" si="7"/>
        <v/>
      </c>
    </row>
    <row r="497" spans="1:12" x14ac:dyDescent="0.3">
      <c r="A497" t="str">
        <f>IF('Raw Enrollments'!A497="","",'Raw Enrollments'!A497)</f>
        <v/>
      </c>
      <c r="B497" t="str">
        <f>IF(A497="","",'Raw Enrollments'!B497)</f>
        <v/>
      </c>
      <c r="C497" t="str">
        <f>IF(A497="","",'Raw Enrollments'!C497)</f>
        <v/>
      </c>
      <c r="D497" t="str">
        <f>IF(A497="","",'Raw Enrollments'!E497)</f>
        <v/>
      </c>
      <c r="E497" t="str">
        <f>IF('Raw Payments'!A497="","",'Raw Payments'!A497)</f>
        <v/>
      </c>
      <c r="F497" t="str">
        <f>IF(E497="","",'Raw Payments'!B497)</f>
        <v/>
      </c>
      <c r="G497" t="str">
        <f>IF(E497="","",'Raw Payments'!F497)</f>
        <v/>
      </c>
      <c r="H497" t="str">
        <f>IF(E497="","",'Raw Payments'!H497)</f>
        <v/>
      </c>
      <c r="I497" t="str">
        <f>IF(E497="","",'Raw Payments'!I497)</f>
        <v/>
      </c>
      <c r="J497" t="str">
        <f>IF(A497="","",IF(COUNTIF('Raw Payments'!$C:$C,A497)&gt;0,"Payment Linked","No Payment"))</f>
        <v/>
      </c>
      <c r="K497" t="str">
        <f>IF(F497="","Missing Reference",IF(COUNTIF('Raw Payments'!$B:$B,F497)&gt;1,"Possible Duplicate","Reference Present"))</f>
        <v>Missing Reference</v>
      </c>
      <c r="L497" t="str">
        <f t="shared" si="7"/>
        <v/>
      </c>
    </row>
    <row r="498" spans="1:12" x14ac:dyDescent="0.3">
      <c r="A498" t="str">
        <f>IF('Raw Enrollments'!A498="","",'Raw Enrollments'!A498)</f>
        <v/>
      </c>
      <c r="B498" t="str">
        <f>IF(A498="","",'Raw Enrollments'!B498)</f>
        <v/>
      </c>
      <c r="C498" t="str">
        <f>IF(A498="","",'Raw Enrollments'!C498)</f>
        <v/>
      </c>
      <c r="D498" t="str">
        <f>IF(A498="","",'Raw Enrollments'!E498)</f>
        <v/>
      </c>
      <c r="E498" t="str">
        <f>IF('Raw Payments'!A498="","",'Raw Payments'!A498)</f>
        <v/>
      </c>
      <c r="F498" t="str">
        <f>IF(E498="","",'Raw Payments'!B498)</f>
        <v/>
      </c>
      <c r="G498" t="str">
        <f>IF(E498="","",'Raw Payments'!F498)</f>
        <v/>
      </c>
      <c r="H498" t="str">
        <f>IF(E498="","",'Raw Payments'!H498)</f>
        <v/>
      </c>
      <c r="I498" t="str">
        <f>IF(E498="","",'Raw Payments'!I498)</f>
        <v/>
      </c>
      <c r="J498" t="str">
        <f>IF(A498="","",IF(COUNTIF('Raw Payments'!$C:$C,A498)&gt;0,"Payment Linked","No Payment"))</f>
        <v/>
      </c>
      <c r="K498" t="str">
        <f>IF(F498="","Missing Reference",IF(COUNTIF('Raw Payments'!$B:$B,F498)&gt;1,"Possible Duplicate","Reference Present"))</f>
        <v>Missing Reference</v>
      </c>
      <c r="L498" t="str">
        <f t="shared" si="7"/>
        <v/>
      </c>
    </row>
    <row r="499" spans="1:12" x14ac:dyDescent="0.3">
      <c r="A499" t="str">
        <f>IF('Raw Enrollments'!A499="","",'Raw Enrollments'!A499)</f>
        <v/>
      </c>
      <c r="B499" t="str">
        <f>IF(A499="","",'Raw Enrollments'!B499)</f>
        <v/>
      </c>
      <c r="C499" t="str">
        <f>IF(A499="","",'Raw Enrollments'!C499)</f>
        <v/>
      </c>
      <c r="D499" t="str">
        <f>IF(A499="","",'Raw Enrollments'!E499)</f>
        <v/>
      </c>
      <c r="E499" t="str">
        <f>IF('Raw Payments'!A499="","",'Raw Payments'!A499)</f>
        <v/>
      </c>
      <c r="F499" t="str">
        <f>IF(E499="","",'Raw Payments'!B499)</f>
        <v/>
      </c>
      <c r="G499" t="str">
        <f>IF(E499="","",'Raw Payments'!F499)</f>
        <v/>
      </c>
      <c r="H499" t="str">
        <f>IF(E499="","",'Raw Payments'!H499)</f>
        <v/>
      </c>
      <c r="I499" t="str">
        <f>IF(E499="","",'Raw Payments'!I499)</f>
        <v/>
      </c>
      <c r="J499" t="str">
        <f>IF(A499="","",IF(COUNTIF('Raw Payments'!$C:$C,A499)&gt;0,"Payment Linked","No Payment"))</f>
        <v/>
      </c>
      <c r="K499" t="str">
        <f>IF(F499="","Missing Reference",IF(COUNTIF('Raw Payments'!$B:$B,F499)&gt;1,"Possible Duplicate","Reference Present"))</f>
        <v>Missing Reference</v>
      </c>
      <c r="L499" t="str">
        <f t="shared" si="7"/>
        <v/>
      </c>
    </row>
    <row r="500" spans="1:12" x14ac:dyDescent="0.3">
      <c r="A500" t="str">
        <f>IF('Raw Enrollments'!A500="","",'Raw Enrollments'!A500)</f>
        <v/>
      </c>
      <c r="B500" t="str">
        <f>IF(A500="","",'Raw Enrollments'!B500)</f>
        <v/>
      </c>
      <c r="C500" t="str">
        <f>IF(A500="","",'Raw Enrollments'!C500)</f>
        <v/>
      </c>
      <c r="D500" t="str">
        <f>IF(A500="","",'Raw Enrollments'!E500)</f>
        <v/>
      </c>
      <c r="E500" t="str">
        <f>IF('Raw Payments'!A500="","",'Raw Payments'!A500)</f>
        <v/>
      </c>
      <c r="F500" t="str">
        <f>IF(E500="","",'Raw Payments'!B500)</f>
        <v/>
      </c>
      <c r="G500" t="str">
        <f>IF(E500="","",'Raw Payments'!F500)</f>
        <v/>
      </c>
      <c r="H500" t="str">
        <f>IF(E500="","",'Raw Payments'!H500)</f>
        <v/>
      </c>
      <c r="I500" t="str">
        <f>IF(E500="","",'Raw Payments'!I500)</f>
        <v/>
      </c>
      <c r="J500" t="str">
        <f>IF(A500="","",IF(COUNTIF('Raw Payments'!$C:$C,A500)&gt;0,"Payment Linked","No Payment"))</f>
        <v/>
      </c>
      <c r="K500" t="str">
        <f>IF(F500="","Missing Reference",IF(COUNTIF('Raw Payments'!$B:$B,F500)&gt;1,"Possible Duplicate","Reference Present"))</f>
        <v>Missing Reference</v>
      </c>
      <c r="L500" t="str">
        <f t="shared" si="7"/>
        <v/>
      </c>
    </row>
    <row r="501" spans="1:12" x14ac:dyDescent="0.3">
      <c r="A501" t="str">
        <f>IF('Raw Enrollments'!A501="","",'Raw Enrollments'!A501)</f>
        <v/>
      </c>
      <c r="B501" t="str">
        <f>IF(A501="","",'Raw Enrollments'!B501)</f>
        <v/>
      </c>
      <c r="C501" t="str">
        <f>IF(A501="","",'Raw Enrollments'!C501)</f>
        <v/>
      </c>
      <c r="D501" t="str">
        <f>IF(A501="","",'Raw Enrollments'!E501)</f>
        <v/>
      </c>
      <c r="E501" t="str">
        <f>IF('Raw Payments'!A501="","",'Raw Payments'!A501)</f>
        <v/>
      </c>
      <c r="F501" t="str">
        <f>IF(E501="","",'Raw Payments'!B501)</f>
        <v/>
      </c>
      <c r="G501" t="str">
        <f>IF(E501="","",'Raw Payments'!F501)</f>
        <v/>
      </c>
      <c r="H501" t="str">
        <f>IF(E501="","",'Raw Payments'!H501)</f>
        <v/>
      </c>
      <c r="I501" t="str">
        <f>IF(E501="","",'Raw Payments'!I501)</f>
        <v/>
      </c>
      <c r="J501" t="str">
        <f>IF(A501="","",IF(COUNTIF('Raw Payments'!$C:$C,A501)&gt;0,"Payment Linked","No Payment"))</f>
        <v/>
      </c>
      <c r="K501" t="str">
        <f>IF(F501="","Missing Reference",IF(COUNTIF('Raw Payments'!$B:$B,F501)&gt;1,"Possible Duplicate","Reference Present"))</f>
        <v>Missing Reference</v>
      </c>
      <c r="L501" t="str">
        <f t="shared" si="7"/>
        <v/>
      </c>
    </row>
    <row r="502" spans="1:12" x14ac:dyDescent="0.3">
      <c r="A502" t="str">
        <f>IF('Raw Enrollments'!A502="","",'Raw Enrollments'!A502)</f>
        <v/>
      </c>
      <c r="B502" t="str">
        <f>IF(A502="","",'Raw Enrollments'!B502)</f>
        <v/>
      </c>
      <c r="C502" t="str">
        <f>IF(A502="","",'Raw Enrollments'!C502)</f>
        <v/>
      </c>
      <c r="D502" t="str">
        <f>IF(A502="","",'Raw Enrollments'!E502)</f>
        <v/>
      </c>
      <c r="E502" t="str">
        <f>IF('Raw Payments'!A502="","",'Raw Payments'!A502)</f>
        <v/>
      </c>
      <c r="F502" t="str">
        <f>IF(E502="","",'Raw Payments'!B502)</f>
        <v/>
      </c>
      <c r="G502" t="str">
        <f>IF(E502="","",'Raw Payments'!F502)</f>
        <v/>
      </c>
      <c r="H502" t="str">
        <f>IF(E502="","",'Raw Payments'!H502)</f>
        <v/>
      </c>
      <c r="I502" t="str">
        <f>IF(E502="","",'Raw Payments'!I502)</f>
        <v/>
      </c>
      <c r="J502" t="str">
        <f>IF(A502="","",IF(COUNTIF('Raw Payments'!$C:$C,A502)&gt;0,"Payment Linked","No Payment"))</f>
        <v/>
      </c>
      <c r="K502" t="str">
        <f>IF(F502="","Missing Reference",IF(COUNTIF('Raw Payments'!$B:$B,F502)&gt;1,"Possible Duplicate","Reference Present"))</f>
        <v>Missing Reference</v>
      </c>
      <c r="L502" t="str">
        <f t="shared" si="7"/>
        <v/>
      </c>
    </row>
    <row r="503" spans="1:12" x14ac:dyDescent="0.3">
      <c r="A503" t="str">
        <f>IF('Raw Enrollments'!A503="","",'Raw Enrollments'!A503)</f>
        <v/>
      </c>
      <c r="B503" t="str">
        <f>IF(A503="","",'Raw Enrollments'!B503)</f>
        <v/>
      </c>
      <c r="C503" t="str">
        <f>IF(A503="","",'Raw Enrollments'!C503)</f>
        <v/>
      </c>
      <c r="D503" t="str">
        <f>IF(A503="","",'Raw Enrollments'!E503)</f>
        <v/>
      </c>
      <c r="E503" t="str">
        <f>IF('Raw Payments'!A503="","",'Raw Payments'!A503)</f>
        <v/>
      </c>
      <c r="F503" t="str">
        <f>IF(E503="","",'Raw Payments'!B503)</f>
        <v/>
      </c>
      <c r="G503" t="str">
        <f>IF(E503="","",'Raw Payments'!F503)</f>
        <v/>
      </c>
      <c r="H503" t="str">
        <f>IF(E503="","",'Raw Payments'!H503)</f>
        <v/>
      </c>
      <c r="I503" t="str">
        <f>IF(E503="","",'Raw Payments'!I503)</f>
        <v/>
      </c>
      <c r="J503" t="str">
        <f>IF(A503="","",IF(COUNTIF('Raw Payments'!$C:$C,A503)&gt;0,"Payment Linked","No Payment"))</f>
        <v/>
      </c>
      <c r="K503" t="str">
        <f>IF(F503="","Missing Reference",IF(COUNTIF('Raw Payments'!$B:$B,F503)&gt;1,"Possible Duplicate","Reference Present"))</f>
        <v>Missing Reference</v>
      </c>
      <c r="L503" t="str">
        <f t="shared" si="7"/>
        <v/>
      </c>
    </row>
    <row r="504" spans="1:12" x14ac:dyDescent="0.3">
      <c r="A504" t="str">
        <f>IF('Raw Enrollments'!A504="","",'Raw Enrollments'!A504)</f>
        <v/>
      </c>
      <c r="B504" t="str">
        <f>IF(A504="","",'Raw Enrollments'!B504)</f>
        <v/>
      </c>
      <c r="C504" t="str">
        <f>IF(A504="","",'Raw Enrollments'!C504)</f>
        <v/>
      </c>
      <c r="D504" t="str">
        <f>IF(A504="","",'Raw Enrollments'!E504)</f>
        <v/>
      </c>
      <c r="E504" t="str">
        <f>IF('Raw Payments'!A504="","",'Raw Payments'!A504)</f>
        <v/>
      </c>
      <c r="F504" t="str">
        <f>IF(E504="","",'Raw Payments'!B504)</f>
        <v/>
      </c>
      <c r="G504" t="str">
        <f>IF(E504="","",'Raw Payments'!F504)</f>
        <v/>
      </c>
      <c r="H504" t="str">
        <f>IF(E504="","",'Raw Payments'!H504)</f>
        <v/>
      </c>
      <c r="I504" t="str">
        <f>IF(E504="","",'Raw Payments'!I504)</f>
        <v/>
      </c>
      <c r="J504" t="str">
        <f>IF(A504="","",IF(COUNTIF('Raw Payments'!$C:$C,A504)&gt;0,"Payment Linked","No Payment"))</f>
        <v/>
      </c>
      <c r="K504" t="str">
        <f>IF(F504="","Missing Reference",IF(COUNTIF('Raw Payments'!$B:$B,F504)&gt;1,"Possible Duplicate","Reference Present"))</f>
        <v>Missing Reference</v>
      </c>
      <c r="L504" t="str">
        <f t="shared" si="7"/>
        <v/>
      </c>
    </row>
  </sheetData>
  <mergeCells count="2">
    <mergeCell ref="A2:N2"/>
    <mergeCell ref="A1:N1"/>
  </mergeCells>
  <pageMargins left="0.75" right="0.75" top="1" bottom="1" header="0.5" footer="0.5"/>
  <pageSetup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K204"/>
  <sheetViews>
    <sheetView showGridLines="0" zoomScale="85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0" customWidth="1"/>
    <col min="2" max="2" width="15" customWidth="1"/>
    <col min="3" max="3" width="18" customWidth="1"/>
    <col min="4" max="4" width="24" customWidth="1"/>
    <col min="5" max="5" width="18" customWidth="1"/>
    <col min="6" max="6" width="25" customWidth="1"/>
    <col min="7" max="7" width="23" customWidth="1"/>
    <col min="8" max="8" width="22" customWidth="1"/>
    <col min="9" max="9" width="18" customWidth="1"/>
    <col min="10" max="10" width="24" customWidth="1"/>
    <col min="11" max="11" width="45" customWidth="1"/>
  </cols>
  <sheetData>
    <row r="1" spans="1:11" ht="28.05" customHeight="1" x14ac:dyDescent="0.3">
      <c r="A1" s="6" t="s">
        <v>274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0" customHeight="1" x14ac:dyDescent="0.3">
      <c r="A2" s="4" t="s">
        <v>275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spans="1:11" x14ac:dyDescent="0.3">
      <c r="A4" s="1" t="s">
        <v>276</v>
      </c>
      <c r="B4" s="1" t="s">
        <v>258</v>
      </c>
      <c r="C4" s="1" t="s">
        <v>277</v>
      </c>
      <c r="D4" s="1" t="s">
        <v>278</v>
      </c>
      <c r="E4" s="1" t="s">
        <v>279</v>
      </c>
      <c r="F4" s="1" t="s">
        <v>280</v>
      </c>
      <c r="G4" s="1" t="s">
        <v>281</v>
      </c>
      <c r="H4" s="1" t="s">
        <v>282</v>
      </c>
      <c r="I4" s="1" t="s">
        <v>283</v>
      </c>
      <c r="J4" s="1" t="s">
        <v>28</v>
      </c>
      <c r="K4" s="1" t="s">
        <v>29</v>
      </c>
    </row>
    <row r="5" spans="1:11" x14ac:dyDescent="0.3">
      <c r="G5" t="str">
        <f t="shared" ref="G5:G36" si="0">IF(OR(D5="",F5=""),"",D5-F5)</f>
        <v/>
      </c>
      <c r="I5" t="str">
        <f t="shared" ref="I5:I36" si="1">IF(OR(G5="",H5=""),"",G5-H5)</f>
        <v/>
      </c>
      <c r="J5" t="str">
        <f t="shared" ref="J5:J36" si="2">IF(H5="","Reported Amount Missing",IF(ABS(I5)&lt;0.01,"Matched","Difference Found"))</f>
        <v>Reported Amount Missing</v>
      </c>
    </row>
    <row r="6" spans="1:11" x14ac:dyDescent="0.3">
      <c r="G6" t="str">
        <f t="shared" si="0"/>
        <v/>
      </c>
      <c r="I6" t="str">
        <f t="shared" si="1"/>
        <v/>
      </c>
      <c r="J6" t="str">
        <f t="shared" si="2"/>
        <v>Reported Amount Missing</v>
      </c>
    </row>
    <row r="7" spans="1:11" x14ac:dyDescent="0.3">
      <c r="G7" t="str">
        <f t="shared" si="0"/>
        <v/>
      </c>
      <c r="I7" t="str">
        <f t="shared" si="1"/>
        <v/>
      </c>
      <c r="J7" t="str">
        <f t="shared" si="2"/>
        <v>Reported Amount Missing</v>
      </c>
    </row>
    <row r="8" spans="1:11" x14ac:dyDescent="0.3">
      <c r="G8" t="str">
        <f t="shared" si="0"/>
        <v/>
      </c>
      <c r="I8" t="str">
        <f t="shared" si="1"/>
        <v/>
      </c>
      <c r="J8" t="str">
        <f t="shared" si="2"/>
        <v>Reported Amount Missing</v>
      </c>
    </row>
    <row r="9" spans="1:11" x14ac:dyDescent="0.3">
      <c r="G9" t="str">
        <f t="shared" si="0"/>
        <v/>
      </c>
      <c r="I9" t="str">
        <f t="shared" si="1"/>
        <v/>
      </c>
      <c r="J9" t="str">
        <f t="shared" si="2"/>
        <v>Reported Amount Missing</v>
      </c>
    </row>
    <row r="10" spans="1:11" x14ac:dyDescent="0.3">
      <c r="G10" t="str">
        <f t="shared" si="0"/>
        <v/>
      </c>
      <c r="I10" t="str">
        <f t="shared" si="1"/>
        <v/>
      </c>
      <c r="J10" t="str">
        <f t="shared" si="2"/>
        <v>Reported Amount Missing</v>
      </c>
    </row>
    <row r="11" spans="1:11" x14ac:dyDescent="0.3">
      <c r="G11" t="str">
        <f t="shared" si="0"/>
        <v/>
      </c>
      <c r="I11" t="str">
        <f t="shared" si="1"/>
        <v/>
      </c>
      <c r="J11" t="str">
        <f t="shared" si="2"/>
        <v>Reported Amount Missing</v>
      </c>
    </row>
    <row r="12" spans="1:11" x14ac:dyDescent="0.3">
      <c r="G12" t="str">
        <f t="shared" si="0"/>
        <v/>
      </c>
      <c r="I12" t="str">
        <f t="shared" si="1"/>
        <v/>
      </c>
      <c r="J12" t="str">
        <f t="shared" si="2"/>
        <v>Reported Amount Missing</v>
      </c>
    </row>
    <row r="13" spans="1:11" x14ac:dyDescent="0.3">
      <c r="G13" t="str">
        <f t="shared" si="0"/>
        <v/>
      </c>
      <c r="I13" t="str">
        <f t="shared" si="1"/>
        <v/>
      </c>
      <c r="J13" t="str">
        <f t="shared" si="2"/>
        <v>Reported Amount Missing</v>
      </c>
    </row>
    <row r="14" spans="1:11" x14ac:dyDescent="0.3">
      <c r="G14" t="str">
        <f t="shared" si="0"/>
        <v/>
      </c>
      <c r="I14" t="str">
        <f t="shared" si="1"/>
        <v/>
      </c>
      <c r="J14" t="str">
        <f t="shared" si="2"/>
        <v>Reported Amount Missing</v>
      </c>
    </row>
    <row r="15" spans="1:11" x14ac:dyDescent="0.3">
      <c r="G15" t="str">
        <f t="shared" si="0"/>
        <v/>
      </c>
      <c r="I15" t="str">
        <f t="shared" si="1"/>
        <v/>
      </c>
      <c r="J15" t="str">
        <f t="shared" si="2"/>
        <v>Reported Amount Missing</v>
      </c>
    </row>
    <row r="16" spans="1:11" x14ac:dyDescent="0.3">
      <c r="G16" t="str">
        <f t="shared" si="0"/>
        <v/>
      </c>
      <c r="I16" t="str">
        <f t="shared" si="1"/>
        <v/>
      </c>
      <c r="J16" t="str">
        <f t="shared" si="2"/>
        <v>Reported Amount Missing</v>
      </c>
    </row>
    <row r="17" spans="7:10" x14ac:dyDescent="0.3">
      <c r="G17" t="str">
        <f t="shared" si="0"/>
        <v/>
      </c>
      <c r="I17" t="str">
        <f t="shared" si="1"/>
        <v/>
      </c>
      <c r="J17" t="str">
        <f t="shared" si="2"/>
        <v>Reported Amount Missing</v>
      </c>
    </row>
    <row r="18" spans="7:10" x14ac:dyDescent="0.3">
      <c r="G18" t="str">
        <f t="shared" si="0"/>
        <v/>
      </c>
      <c r="I18" t="str">
        <f t="shared" si="1"/>
        <v/>
      </c>
      <c r="J18" t="str">
        <f t="shared" si="2"/>
        <v>Reported Amount Missing</v>
      </c>
    </row>
    <row r="19" spans="7:10" x14ac:dyDescent="0.3">
      <c r="G19" t="str">
        <f t="shared" si="0"/>
        <v/>
      </c>
      <c r="I19" t="str">
        <f t="shared" si="1"/>
        <v/>
      </c>
      <c r="J19" t="str">
        <f t="shared" si="2"/>
        <v>Reported Amount Missing</v>
      </c>
    </row>
    <row r="20" spans="7:10" x14ac:dyDescent="0.3">
      <c r="G20" t="str">
        <f t="shared" si="0"/>
        <v/>
      </c>
      <c r="I20" t="str">
        <f t="shared" si="1"/>
        <v/>
      </c>
      <c r="J20" t="str">
        <f t="shared" si="2"/>
        <v>Reported Amount Missing</v>
      </c>
    </row>
    <row r="21" spans="7:10" x14ac:dyDescent="0.3">
      <c r="G21" t="str">
        <f t="shared" si="0"/>
        <v/>
      </c>
      <c r="I21" t="str">
        <f t="shared" si="1"/>
        <v/>
      </c>
      <c r="J21" t="str">
        <f t="shared" si="2"/>
        <v>Reported Amount Missing</v>
      </c>
    </row>
    <row r="22" spans="7:10" x14ac:dyDescent="0.3">
      <c r="G22" t="str">
        <f t="shared" si="0"/>
        <v/>
      </c>
      <c r="I22" t="str">
        <f t="shared" si="1"/>
        <v/>
      </c>
      <c r="J22" t="str">
        <f t="shared" si="2"/>
        <v>Reported Amount Missing</v>
      </c>
    </row>
    <row r="23" spans="7:10" x14ac:dyDescent="0.3">
      <c r="G23" t="str">
        <f t="shared" si="0"/>
        <v/>
      </c>
      <c r="I23" t="str">
        <f t="shared" si="1"/>
        <v/>
      </c>
      <c r="J23" t="str">
        <f t="shared" si="2"/>
        <v>Reported Amount Missing</v>
      </c>
    </row>
    <row r="24" spans="7:10" x14ac:dyDescent="0.3">
      <c r="G24" t="str">
        <f t="shared" si="0"/>
        <v/>
      </c>
      <c r="I24" t="str">
        <f t="shared" si="1"/>
        <v/>
      </c>
      <c r="J24" t="str">
        <f t="shared" si="2"/>
        <v>Reported Amount Missing</v>
      </c>
    </row>
    <row r="25" spans="7:10" x14ac:dyDescent="0.3">
      <c r="G25" t="str">
        <f t="shared" si="0"/>
        <v/>
      </c>
      <c r="I25" t="str">
        <f t="shared" si="1"/>
        <v/>
      </c>
      <c r="J25" t="str">
        <f t="shared" si="2"/>
        <v>Reported Amount Missing</v>
      </c>
    </row>
    <row r="26" spans="7:10" x14ac:dyDescent="0.3">
      <c r="G26" t="str">
        <f t="shared" si="0"/>
        <v/>
      </c>
      <c r="I26" t="str">
        <f t="shared" si="1"/>
        <v/>
      </c>
      <c r="J26" t="str">
        <f t="shared" si="2"/>
        <v>Reported Amount Missing</v>
      </c>
    </row>
    <row r="27" spans="7:10" x14ac:dyDescent="0.3">
      <c r="G27" t="str">
        <f t="shared" si="0"/>
        <v/>
      </c>
      <c r="I27" t="str">
        <f t="shared" si="1"/>
        <v/>
      </c>
      <c r="J27" t="str">
        <f t="shared" si="2"/>
        <v>Reported Amount Missing</v>
      </c>
    </row>
    <row r="28" spans="7:10" x14ac:dyDescent="0.3">
      <c r="G28" t="str">
        <f t="shared" si="0"/>
        <v/>
      </c>
      <c r="I28" t="str">
        <f t="shared" si="1"/>
        <v/>
      </c>
      <c r="J28" t="str">
        <f t="shared" si="2"/>
        <v>Reported Amount Missing</v>
      </c>
    </row>
    <row r="29" spans="7:10" x14ac:dyDescent="0.3">
      <c r="G29" t="str">
        <f t="shared" si="0"/>
        <v/>
      </c>
      <c r="I29" t="str">
        <f t="shared" si="1"/>
        <v/>
      </c>
      <c r="J29" t="str">
        <f t="shared" si="2"/>
        <v>Reported Amount Missing</v>
      </c>
    </row>
    <row r="30" spans="7:10" x14ac:dyDescent="0.3">
      <c r="G30" t="str">
        <f t="shared" si="0"/>
        <v/>
      </c>
      <c r="I30" t="str">
        <f t="shared" si="1"/>
        <v/>
      </c>
      <c r="J30" t="str">
        <f t="shared" si="2"/>
        <v>Reported Amount Missing</v>
      </c>
    </row>
    <row r="31" spans="7:10" x14ac:dyDescent="0.3">
      <c r="G31" t="str">
        <f t="shared" si="0"/>
        <v/>
      </c>
      <c r="I31" t="str">
        <f t="shared" si="1"/>
        <v/>
      </c>
      <c r="J31" t="str">
        <f t="shared" si="2"/>
        <v>Reported Amount Missing</v>
      </c>
    </row>
    <row r="32" spans="7:10" x14ac:dyDescent="0.3">
      <c r="G32" t="str">
        <f t="shared" si="0"/>
        <v/>
      </c>
      <c r="I32" t="str">
        <f t="shared" si="1"/>
        <v/>
      </c>
      <c r="J32" t="str">
        <f t="shared" si="2"/>
        <v>Reported Amount Missing</v>
      </c>
    </row>
    <row r="33" spans="7:10" x14ac:dyDescent="0.3">
      <c r="G33" t="str">
        <f t="shared" si="0"/>
        <v/>
      </c>
      <c r="I33" t="str">
        <f t="shared" si="1"/>
        <v/>
      </c>
      <c r="J33" t="str">
        <f t="shared" si="2"/>
        <v>Reported Amount Missing</v>
      </c>
    </row>
    <row r="34" spans="7:10" x14ac:dyDescent="0.3">
      <c r="G34" t="str">
        <f t="shared" si="0"/>
        <v/>
      </c>
      <c r="I34" t="str">
        <f t="shared" si="1"/>
        <v/>
      </c>
      <c r="J34" t="str">
        <f t="shared" si="2"/>
        <v>Reported Amount Missing</v>
      </c>
    </row>
    <row r="35" spans="7:10" x14ac:dyDescent="0.3">
      <c r="G35" t="str">
        <f t="shared" si="0"/>
        <v/>
      </c>
      <c r="I35" t="str">
        <f t="shared" si="1"/>
        <v/>
      </c>
      <c r="J35" t="str">
        <f t="shared" si="2"/>
        <v>Reported Amount Missing</v>
      </c>
    </row>
    <row r="36" spans="7:10" x14ac:dyDescent="0.3">
      <c r="G36" t="str">
        <f t="shared" si="0"/>
        <v/>
      </c>
      <c r="I36" t="str">
        <f t="shared" si="1"/>
        <v/>
      </c>
      <c r="J36" t="str">
        <f t="shared" si="2"/>
        <v>Reported Amount Missing</v>
      </c>
    </row>
    <row r="37" spans="7:10" x14ac:dyDescent="0.3">
      <c r="G37" t="str">
        <f t="shared" ref="G37:G68" si="3">IF(OR(D37="",F37=""),"",D37-F37)</f>
        <v/>
      </c>
      <c r="I37" t="str">
        <f t="shared" ref="I37:I68" si="4">IF(OR(G37="",H37=""),"",G37-H37)</f>
        <v/>
      </c>
      <c r="J37" t="str">
        <f t="shared" ref="J37:J68" si="5">IF(H37="","Reported Amount Missing",IF(ABS(I37)&lt;0.01,"Matched","Difference Found"))</f>
        <v>Reported Amount Missing</v>
      </c>
    </row>
    <row r="38" spans="7:10" x14ac:dyDescent="0.3">
      <c r="G38" t="str">
        <f t="shared" si="3"/>
        <v/>
      </c>
      <c r="I38" t="str">
        <f t="shared" si="4"/>
        <v/>
      </c>
      <c r="J38" t="str">
        <f t="shared" si="5"/>
        <v>Reported Amount Missing</v>
      </c>
    </row>
    <row r="39" spans="7:10" x14ac:dyDescent="0.3">
      <c r="G39" t="str">
        <f t="shared" si="3"/>
        <v/>
      </c>
      <c r="I39" t="str">
        <f t="shared" si="4"/>
        <v/>
      </c>
      <c r="J39" t="str">
        <f t="shared" si="5"/>
        <v>Reported Amount Missing</v>
      </c>
    </row>
    <row r="40" spans="7:10" x14ac:dyDescent="0.3">
      <c r="G40" t="str">
        <f t="shared" si="3"/>
        <v/>
      </c>
      <c r="I40" t="str">
        <f t="shared" si="4"/>
        <v/>
      </c>
      <c r="J40" t="str">
        <f t="shared" si="5"/>
        <v>Reported Amount Missing</v>
      </c>
    </row>
    <row r="41" spans="7:10" x14ac:dyDescent="0.3">
      <c r="G41" t="str">
        <f t="shared" si="3"/>
        <v/>
      </c>
      <c r="I41" t="str">
        <f t="shared" si="4"/>
        <v/>
      </c>
      <c r="J41" t="str">
        <f t="shared" si="5"/>
        <v>Reported Amount Missing</v>
      </c>
    </row>
    <row r="42" spans="7:10" x14ac:dyDescent="0.3">
      <c r="G42" t="str">
        <f t="shared" si="3"/>
        <v/>
      </c>
      <c r="I42" t="str">
        <f t="shared" si="4"/>
        <v/>
      </c>
      <c r="J42" t="str">
        <f t="shared" si="5"/>
        <v>Reported Amount Missing</v>
      </c>
    </row>
    <row r="43" spans="7:10" x14ac:dyDescent="0.3">
      <c r="G43" t="str">
        <f t="shared" si="3"/>
        <v/>
      </c>
      <c r="I43" t="str">
        <f t="shared" si="4"/>
        <v/>
      </c>
      <c r="J43" t="str">
        <f t="shared" si="5"/>
        <v>Reported Amount Missing</v>
      </c>
    </row>
    <row r="44" spans="7:10" x14ac:dyDescent="0.3">
      <c r="G44" t="str">
        <f t="shared" si="3"/>
        <v/>
      </c>
      <c r="I44" t="str">
        <f t="shared" si="4"/>
        <v/>
      </c>
      <c r="J44" t="str">
        <f t="shared" si="5"/>
        <v>Reported Amount Missing</v>
      </c>
    </row>
    <row r="45" spans="7:10" x14ac:dyDescent="0.3">
      <c r="G45" t="str">
        <f t="shared" si="3"/>
        <v/>
      </c>
      <c r="I45" t="str">
        <f t="shared" si="4"/>
        <v/>
      </c>
      <c r="J45" t="str">
        <f t="shared" si="5"/>
        <v>Reported Amount Missing</v>
      </c>
    </row>
    <row r="46" spans="7:10" x14ac:dyDescent="0.3">
      <c r="G46" t="str">
        <f t="shared" si="3"/>
        <v/>
      </c>
      <c r="I46" t="str">
        <f t="shared" si="4"/>
        <v/>
      </c>
      <c r="J46" t="str">
        <f t="shared" si="5"/>
        <v>Reported Amount Missing</v>
      </c>
    </row>
    <row r="47" spans="7:10" x14ac:dyDescent="0.3">
      <c r="G47" t="str">
        <f t="shared" si="3"/>
        <v/>
      </c>
      <c r="I47" t="str">
        <f t="shared" si="4"/>
        <v/>
      </c>
      <c r="J47" t="str">
        <f t="shared" si="5"/>
        <v>Reported Amount Missing</v>
      </c>
    </row>
    <row r="48" spans="7:10" x14ac:dyDescent="0.3">
      <c r="G48" t="str">
        <f t="shared" si="3"/>
        <v/>
      </c>
      <c r="I48" t="str">
        <f t="shared" si="4"/>
        <v/>
      </c>
      <c r="J48" t="str">
        <f t="shared" si="5"/>
        <v>Reported Amount Missing</v>
      </c>
    </row>
    <row r="49" spans="7:10" x14ac:dyDescent="0.3">
      <c r="G49" t="str">
        <f t="shared" si="3"/>
        <v/>
      </c>
      <c r="I49" t="str">
        <f t="shared" si="4"/>
        <v/>
      </c>
      <c r="J49" t="str">
        <f t="shared" si="5"/>
        <v>Reported Amount Missing</v>
      </c>
    </row>
    <row r="50" spans="7:10" x14ac:dyDescent="0.3">
      <c r="G50" t="str">
        <f t="shared" si="3"/>
        <v/>
      </c>
      <c r="I50" t="str">
        <f t="shared" si="4"/>
        <v/>
      </c>
      <c r="J50" t="str">
        <f t="shared" si="5"/>
        <v>Reported Amount Missing</v>
      </c>
    </row>
    <row r="51" spans="7:10" x14ac:dyDescent="0.3">
      <c r="G51" t="str">
        <f t="shared" si="3"/>
        <v/>
      </c>
      <c r="I51" t="str">
        <f t="shared" si="4"/>
        <v/>
      </c>
      <c r="J51" t="str">
        <f t="shared" si="5"/>
        <v>Reported Amount Missing</v>
      </c>
    </row>
    <row r="52" spans="7:10" x14ac:dyDescent="0.3">
      <c r="G52" t="str">
        <f t="shared" si="3"/>
        <v/>
      </c>
      <c r="I52" t="str">
        <f t="shared" si="4"/>
        <v/>
      </c>
      <c r="J52" t="str">
        <f t="shared" si="5"/>
        <v>Reported Amount Missing</v>
      </c>
    </row>
    <row r="53" spans="7:10" x14ac:dyDescent="0.3">
      <c r="G53" t="str">
        <f t="shared" si="3"/>
        <v/>
      </c>
      <c r="I53" t="str">
        <f t="shared" si="4"/>
        <v/>
      </c>
      <c r="J53" t="str">
        <f t="shared" si="5"/>
        <v>Reported Amount Missing</v>
      </c>
    </row>
    <row r="54" spans="7:10" x14ac:dyDescent="0.3">
      <c r="G54" t="str">
        <f t="shared" si="3"/>
        <v/>
      </c>
      <c r="I54" t="str">
        <f t="shared" si="4"/>
        <v/>
      </c>
      <c r="J54" t="str">
        <f t="shared" si="5"/>
        <v>Reported Amount Missing</v>
      </c>
    </row>
    <row r="55" spans="7:10" x14ac:dyDescent="0.3">
      <c r="G55" t="str">
        <f t="shared" si="3"/>
        <v/>
      </c>
      <c r="I55" t="str">
        <f t="shared" si="4"/>
        <v/>
      </c>
      <c r="J55" t="str">
        <f t="shared" si="5"/>
        <v>Reported Amount Missing</v>
      </c>
    </row>
    <row r="56" spans="7:10" x14ac:dyDescent="0.3">
      <c r="G56" t="str">
        <f t="shared" si="3"/>
        <v/>
      </c>
      <c r="I56" t="str">
        <f t="shared" si="4"/>
        <v/>
      </c>
      <c r="J56" t="str">
        <f t="shared" si="5"/>
        <v>Reported Amount Missing</v>
      </c>
    </row>
    <row r="57" spans="7:10" x14ac:dyDescent="0.3">
      <c r="G57" t="str">
        <f t="shared" si="3"/>
        <v/>
      </c>
      <c r="I57" t="str">
        <f t="shared" si="4"/>
        <v/>
      </c>
      <c r="J57" t="str">
        <f t="shared" si="5"/>
        <v>Reported Amount Missing</v>
      </c>
    </row>
    <row r="58" spans="7:10" x14ac:dyDescent="0.3">
      <c r="G58" t="str">
        <f t="shared" si="3"/>
        <v/>
      </c>
      <c r="I58" t="str">
        <f t="shared" si="4"/>
        <v/>
      </c>
      <c r="J58" t="str">
        <f t="shared" si="5"/>
        <v>Reported Amount Missing</v>
      </c>
    </row>
    <row r="59" spans="7:10" x14ac:dyDescent="0.3">
      <c r="G59" t="str">
        <f t="shared" si="3"/>
        <v/>
      </c>
      <c r="I59" t="str">
        <f t="shared" si="4"/>
        <v/>
      </c>
      <c r="J59" t="str">
        <f t="shared" si="5"/>
        <v>Reported Amount Missing</v>
      </c>
    </row>
    <row r="60" spans="7:10" x14ac:dyDescent="0.3">
      <c r="G60" t="str">
        <f t="shared" si="3"/>
        <v/>
      </c>
      <c r="I60" t="str">
        <f t="shared" si="4"/>
        <v/>
      </c>
      <c r="J60" t="str">
        <f t="shared" si="5"/>
        <v>Reported Amount Missing</v>
      </c>
    </row>
    <row r="61" spans="7:10" x14ac:dyDescent="0.3">
      <c r="G61" t="str">
        <f t="shared" si="3"/>
        <v/>
      </c>
      <c r="I61" t="str">
        <f t="shared" si="4"/>
        <v/>
      </c>
      <c r="J61" t="str">
        <f t="shared" si="5"/>
        <v>Reported Amount Missing</v>
      </c>
    </row>
    <row r="62" spans="7:10" x14ac:dyDescent="0.3">
      <c r="G62" t="str">
        <f t="shared" si="3"/>
        <v/>
      </c>
      <c r="I62" t="str">
        <f t="shared" si="4"/>
        <v/>
      </c>
      <c r="J62" t="str">
        <f t="shared" si="5"/>
        <v>Reported Amount Missing</v>
      </c>
    </row>
    <row r="63" spans="7:10" x14ac:dyDescent="0.3">
      <c r="G63" t="str">
        <f t="shared" si="3"/>
        <v/>
      </c>
      <c r="I63" t="str">
        <f t="shared" si="4"/>
        <v/>
      </c>
      <c r="J63" t="str">
        <f t="shared" si="5"/>
        <v>Reported Amount Missing</v>
      </c>
    </row>
    <row r="64" spans="7:10" x14ac:dyDescent="0.3">
      <c r="G64" t="str">
        <f t="shared" si="3"/>
        <v/>
      </c>
      <c r="I64" t="str">
        <f t="shared" si="4"/>
        <v/>
      </c>
      <c r="J64" t="str">
        <f t="shared" si="5"/>
        <v>Reported Amount Missing</v>
      </c>
    </row>
    <row r="65" spans="7:10" x14ac:dyDescent="0.3">
      <c r="G65" t="str">
        <f t="shared" si="3"/>
        <v/>
      </c>
      <c r="I65" t="str">
        <f t="shared" si="4"/>
        <v/>
      </c>
      <c r="J65" t="str">
        <f t="shared" si="5"/>
        <v>Reported Amount Missing</v>
      </c>
    </row>
    <row r="66" spans="7:10" x14ac:dyDescent="0.3">
      <c r="G66" t="str">
        <f t="shared" si="3"/>
        <v/>
      </c>
      <c r="I66" t="str">
        <f t="shared" si="4"/>
        <v/>
      </c>
      <c r="J66" t="str">
        <f t="shared" si="5"/>
        <v>Reported Amount Missing</v>
      </c>
    </row>
    <row r="67" spans="7:10" x14ac:dyDescent="0.3">
      <c r="G67" t="str">
        <f t="shared" si="3"/>
        <v/>
      </c>
      <c r="I67" t="str">
        <f t="shared" si="4"/>
        <v/>
      </c>
      <c r="J67" t="str">
        <f t="shared" si="5"/>
        <v>Reported Amount Missing</v>
      </c>
    </row>
    <row r="68" spans="7:10" x14ac:dyDescent="0.3">
      <c r="G68" t="str">
        <f t="shared" si="3"/>
        <v/>
      </c>
      <c r="I68" t="str">
        <f t="shared" si="4"/>
        <v/>
      </c>
      <c r="J68" t="str">
        <f t="shared" si="5"/>
        <v>Reported Amount Missing</v>
      </c>
    </row>
    <row r="69" spans="7:10" x14ac:dyDescent="0.3">
      <c r="G69" t="str">
        <f t="shared" ref="G69:G100" si="6">IF(OR(D69="",F69=""),"",D69-F69)</f>
        <v/>
      </c>
      <c r="I69" t="str">
        <f t="shared" ref="I69:I100" si="7">IF(OR(G69="",H69=""),"",G69-H69)</f>
        <v/>
      </c>
      <c r="J69" t="str">
        <f t="shared" ref="J69:J100" si="8">IF(H69="","Reported Amount Missing",IF(ABS(I69)&lt;0.01,"Matched","Difference Found"))</f>
        <v>Reported Amount Missing</v>
      </c>
    </row>
    <row r="70" spans="7:10" x14ac:dyDescent="0.3">
      <c r="G70" t="str">
        <f t="shared" si="6"/>
        <v/>
      </c>
      <c r="I70" t="str">
        <f t="shared" si="7"/>
        <v/>
      </c>
      <c r="J70" t="str">
        <f t="shared" si="8"/>
        <v>Reported Amount Missing</v>
      </c>
    </row>
    <row r="71" spans="7:10" x14ac:dyDescent="0.3">
      <c r="G71" t="str">
        <f t="shared" si="6"/>
        <v/>
      </c>
      <c r="I71" t="str">
        <f t="shared" si="7"/>
        <v/>
      </c>
      <c r="J71" t="str">
        <f t="shared" si="8"/>
        <v>Reported Amount Missing</v>
      </c>
    </row>
    <row r="72" spans="7:10" x14ac:dyDescent="0.3">
      <c r="G72" t="str">
        <f t="shared" si="6"/>
        <v/>
      </c>
      <c r="I72" t="str">
        <f t="shared" si="7"/>
        <v/>
      </c>
      <c r="J72" t="str">
        <f t="shared" si="8"/>
        <v>Reported Amount Missing</v>
      </c>
    </row>
    <row r="73" spans="7:10" x14ac:dyDescent="0.3">
      <c r="G73" t="str">
        <f t="shared" si="6"/>
        <v/>
      </c>
      <c r="I73" t="str">
        <f t="shared" si="7"/>
        <v/>
      </c>
      <c r="J73" t="str">
        <f t="shared" si="8"/>
        <v>Reported Amount Missing</v>
      </c>
    </row>
    <row r="74" spans="7:10" x14ac:dyDescent="0.3">
      <c r="G74" t="str">
        <f t="shared" si="6"/>
        <v/>
      </c>
      <c r="I74" t="str">
        <f t="shared" si="7"/>
        <v/>
      </c>
      <c r="J74" t="str">
        <f t="shared" si="8"/>
        <v>Reported Amount Missing</v>
      </c>
    </row>
    <row r="75" spans="7:10" x14ac:dyDescent="0.3">
      <c r="G75" t="str">
        <f t="shared" si="6"/>
        <v/>
      </c>
      <c r="I75" t="str">
        <f t="shared" si="7"/>
        <v/>
      </c>
      <c r="J75" t="str">
        <f t="shared" si="8"/>
        <v>Reported Amount Missing</v>
      </c>
    </row>
    <row r="76" spans="7:10" x14ac:dyDescent="0.3">
      <c r="G76" t="str">
        <f t="shared" si="6"/>
        <v/>
      </c>
      <c r="I76" t="str">
        <f t="shared" si="7"/>
        <v/>
      </c>
      <c r="J76" t="str">
        <f t="shared" si="8"/>
        <v>Reported Amount Missing</v>
      </c>
    </row>
    <row r="77" spans="7:10" x14ac:dyDescent="0.3">
      <c r="G77" t="str">
        <f t="shared" si="6"/>
        <v/>
      </c>
      <c r="I77" t="str">
        <f t="shared" si="7"/>
        <v/>
      </c>
      <c r="J77" t="str">
        <f t="shared" si="8"/>
        <v>Reported Amount Missing</v>
      </c>
    </row>
    <row r="78" spans="7:10" x14ac:dyDescent="0.3">
      <c r="G78" t="str">
        <f t="shared" si="6"/>
        <v/>
      </c>
      <c r="I78" t="str">
        <f t="shared" si="7"/>
        <v/>
      </c>
      <c r="J78" t="str">
        <f t="shared" si="8"/>
        <v>Reported Amount Missing</v>
      </c>
    </row>
    <row r="79" spans="7:10" x14ac:dyDescent="0.3">
      <c r="G79" t="str">
        <f t="shared" si="6"/>
        <v/>
      </c>
      <c r="I79" t="str">
        <f t="shared" si="7"/>
        <v/>
      </c>
      <c r="J79" t="str">
        <f t="shared" si="8"/>
        <v>Reported Amount Missing</v>
      </c>
    </row>
    <row r="80" spans="7:10" x14ac:dyDescent="0.3">
      <c r="G80" t="str">
        <f t="shared" si="6"/>
        <v/>
      </c>
      <c r="I80" t="str">
        <f t="shared" si="7"/>
        <v/>
      </c>
      <c r="J80" t="str">
        <f t="shared" si="8"/>
        <v>Reported Amount Missing</v>
      </c>
    </row>
    <row r="81" spans="7:10" x14ac:dyDescent="0.3">
      <c r="G81" t="str">
        <f t="shared" si="6"/>
        <v/>
      </c>
      <c r="I81" t="str">
        <f t="shared" si="7"/>
        <v/>
      </c>
      <c r="J81" t="str">
        <f t="shared" si="8"/>
        <v>Reported Amount Missing</v>
      </c>
    </row>
    <row r="82" spans="7:10" x14ac:dyDescent="0.3">
      <c r="G82" t="str">
        <f t="shared" si="6"/>
        <v/>
      </c>
      <c r="I82" t="str">
        <f t="shared" si="7"/>
        <v/>
      </c>
      <c r="J82" t="str">
        <f t="shared" si="8"/>
        <v>Reported Amount Missing</v>
      </c>
    </row>
    <row r="83" spans="7:10" x14ac:dyDescent="0.3">
      <c r="G83" t="str">
        <f t="shared" si="6"/>
        <v/>
      </c>
      <c r="I83" t="str">
        <f t="shared" si="7"/>
        <v/>
      </c>
      <c r="J83" t="str">
        <f t="shared" si="8"/>
        <v>Reported Amount Missing</v>
      </c>
    </row>
    <row r="84" spans="7:10" x14ac:dyDescent="0.3">
      <c r="G84" t="str">
        <f t="shared" si="6"/>
        <v/>
      </c>
      <c r="I84" t="str">
        <f t="shared" si="7"/>
        <v/>
      </c>
      <c r="J84" t="str">
        <f t="shared" si="8"/>
        <v>Reported Amount Missing</v>
      </c>
    </row>
    <row r="85" spans="7:10" x14ac:dyDescent="0.3">
      <c r="G85" t="str">
        <f t="shared" si="6"/>
        <v/>
      </c>
      <c r="I85" t="str">
        <f t="shared" si="7"/>
        <v/>
      </c>
      <c r="J85" t="str">
        <f t="shared" si="8"/>
        <v>Reported Amount Missing</v>
      </c>
    </row>
    <row r="86" spans="7:10" x14ac:dyDescent="0.3">
      <c r="G86" t="str">
        <f t="shared" si="6"/>
        <v/>
      </c>
      <c r="I86" t="str">
        <f t="shared" si="7"/>
        <v/>
      </c>
      <c r="J86" t="str">
        <f t="shared" si="8"/>
        <v>Reported Amount Missing</v>
      </c>
    </row>
    <row r="87" spans="7:10" x14ac:dyDescent="0.3">
      <c r="G87" t="str">
        <f t="shared" si="6"/>
        <v/>
      </c>
      <c r="I87" t="str">
        <f t="shared" si="7"/>
        <v/>
      </c>
      <c r="J87" t="str">
        <f t="shared" si="8"/>
        <v>Reported Amount Missing</v>
      </c>
    </row>
    <row r="88" spans="7:10" x14ac:dyDescent="0.3">
      <c r="G88" t="str">
        <f t="shared" si="6"/>
        <v/>
      </c>
      <c r="I88" t="str">
        <f t="shared" si="7"/>
        <v/>
      </c>
      <c r="J88" t="str">
        <f t="shared" si="8"/>
        <v>Reported Amount Missing</v>
      </c>
    </row>
    <row r="89" spans="7:10" x14ac:dyDescent="0.3">
      <c r="G89" t="str">
        <f t="shared" si="6"/>
        <v/>
      </c>
      <c r="I89" t="str">
        <f t="shared" si="7"/>
        <v/>
      </c>
      <c r="J89" t="str">
        <f t="shared" si="8"/>
        <v>Reported Amount Missing</v>
      </c>
    </row>
    <row r="90" spans="7:10" x14ac:dyDescent="0.3">
      <c r="G90" t="str">
        <f t="shared" si="6"/>
        <v/>
      </c>
      <c r="I90" t="str">
        <f t="shared" si="7"/>
        <v/>
      </c>
      <c r="J90" t="str">
        <f t="shared" si="8"/>
        <v>Reported Amount Missing</v>
      </c>
    </row>
    <row r="91" spans="7:10" x14ac:dyDescent="0.3">
      <c r="G91" t="str">
        <f t="shared" si="6"/>
        <v/>
      </c>
      <c r="I91" t="str">
        <f t="shared" si="7"/>
        <v/>
      </c>
      <c r="J91" t="str">
        <f t="shared" si="8"/>
        <v>Reported Amount Missing</v>
      </c>
    </row>
    <row r="92" spans="7:10" x14ac:dyDescent="0.3">
      <c r="G92" t="str">
        <f t="shared" si="6"/>
        <v/>
      </c>
      <c r="I92" t="str">
        <f t="shared" si="7"/>
        <v/>
      </c>
      <c r="J92" t="str">
        <f t="shared" si="8"/>
        <v>Reported Amount Missing</v>
      </c>
    </row>
    <row r="93" spans="7:10" x14ac:dyDescent="0.3">
      <c r="G93" t="str">
        <f t="shared" si="6"/>
        <v/>
      </c>
      <c r="I93" t="str">
        <f t="shared" si="7"/>
        <v/>
      </c>
      <c r="J93" t="str">
        <f t="shared" si="8"/>
        <v>Reported Amount Missing</v>
      </c>
    </row>
    <row r="94" spans="7:10" x14ac:dyDescent="0.3">
      <c r="G94" t="str">
        <f t="shared" si="6"/>
        <v/>
      </c>
      <c r="I94" t="str">
        <f t="shared" si="7"/>
        <v/>
      </c>
      <c r="J94" t="str">
        <f t="shared" si="8"/>
        <v>Reported Amount Missing</v>
      </c>
    </row>
    <row r="95" spans="7:10" x14ac:dyDescent="0.3">
      <c r="G95" t="str">
        <f t="shared" si="6"/>
        <v/>
      </c>
      <c r="I95" t="str">
        <f t="shared" si="7"/>
        <v/>
      </c>
      <c r="J95" t="str">
        <f t="shared" si="8"/>
        <v>Reported Amount Missing</v>
      </c>
    </row>
    <row r="96" spans="7:10" x14ac:dyDescent="0.3">
      <c r="G96" t="str">
        <f t="shared" si="6"/>
        <v/>
      </c>
      <c r="I96" t="str">
        <f t="shared" si="7"/>
        <v/>
      </c>
      <c r="J96" t="str">
        <f t="shared" si="8"/>
        <v>Reported Amount Missing</v>
      </c>
    </row>
    <row r="97" spans="7:10" x14ac:dyDescent="0.3">
      <c r="G97" t="str">
        <f t="shared" si="6"/>
        <v/>
      </c>
      <c r="I97" t="str">
        <f t="shared" si="7"/>
        <v/>
      </c>
      <c r="J97" t="str">
        <f t="shared" si="8"/>
        <v>Reported Amount Missing</v>
      </c>
    </row>
    <row r="98" spans="7:10" x14ac:dyDescent="0.3">
      <c r="G98" t="str">
        <f t="shared" si="6"/>
        <v/>
      </c>
      <c r="I98" t="str">
        <f t="shared" si="7"/>
        <v/>
      </c>
      <c r="J98" t="str">
        <f t="shared" si="8"/>
        <v>Reported Amount Missing</v>
      </c>
    </row>
    <row r="99" spans="7:10" x14ac:dyDescent="0.3">
      <c r="G99" t="str">
        <f t="shared" si="6"/>
        <v/>
      </c>
      <c r="I99" t="str">
        <f t="shared" si="7"/>
        <v/>
      </c>
      <c r="J99" t="str">
        <f t="shared" si="8"/>
        <v>Reported Amount Missing</v>
      </c>
    </row>
    <row r="100" spans="7:10" x14ac:dyDescent="0.3">
      <c r="G100" t="str">
        <f t="shared" si="6"/>
        <v/>
      </c>
      <c r="I100" t="str">
        <f t="shared" si="7"/>
        <v/>
      </c>
      <c r="J100" t="str">
        <f t="shared" si="8"/>
        <v>Reported Amount Missing</v>
      </c>
    </row>
    <row r="101" spans="7:10" x14ac:dyDescent="0.3">
      <c r="G101" t="str">
        <f t="shared" ref="G101:G132" si="9">IF(OR(D101="",F101=""),"",D101-F101)</f>
        <v/>
      </c>
      <c r="I101" t="str">
        <f t="shared" ref="I101:I132" si="10">IF(OR(G101="",H101=""),"",G101-H101)</f>
        <v/>
      </c>
      <c r="J101" t="str">
        <f t="shared" ref="J101:J132" si="11">IF(H101="","Reported Amount Missing",IF(ABS(I101)&lt;0.01,"Matched","Difference Found"))</f>
        <v>Reported Amount Missing</v>
      </c>
    </row>
    <row r="102" spans="7:10" x14ac:dyDescent="0.3">
      <c r="G102" t="str">
        <f t="shared" si="9"/>
        <v/>
      </c>
      <c r="I102" t="str">
        <f t="shared" si="10"/>
        <v/>
      </c>
      <c r="J102" t="str">
        <f t="shared" si="11"/>
        <v>Reported Amount Missing</v>
      </c>
    </row>
    <row r="103" spans="7:10" x14ac:dyDescent="0.3">
      <c r="G103" t="str">
        <f t="shared" si="9"/>
        <v/>
      </c>
      <c r="I103" t="str">
        <f t="shared" si="10"/>
        <v/>
      </c>
      <c r="J103" t="str">
        <f t="shared" si="11"/>
        <v>Reported Amount Missing</v>
      </c>
    </row>
    <row r="104" spans="7:10" x14ac:dyDescent="0.3">
      <c r="G104" t="str">
        <f t="shared" si="9"/>
        <v/>
      </c>
      <c r="I104" t="str">
        <f t="shared" si="10"/>
        <v/>
      </c>
      <c r="J104" t="str">
        <f t="shared" si="11"/>
        <v>Reported Amount Missing</v>
      </c>
    </row>
    <row r="105" spans="7:10" x14ac:dyDescent="0.3">
      <c r="G105" t="str">
        <f t="shared" si="9"/>
        <v/>
      </c>
      <c r="I105" t="str">
        <f t="shared" si="10"/>
        <v/>
      </c>
      <c r="J105" t="str">
        <f t="shared" si="11"/>
        <v>Reported Amount Missing</v>
      </c>
    </row>
    <row r="106" spans="7:10" x14ac:dyDescent="0.3">
      <c r="G106" t="str">
        <f t="shared" si="9"/>
        <v/>
      </c>
      <c r="I106" t="str">
        <f t="shared" si="10"/>
        <v/>
      </c>
      <c r="J106" t="str">
        <f t="shared" si="11"/>
        <v>Reported Amount Missing</v>
      </c>
    </row>
    <row r="107" spans="7:10" x14ac:dyDescent="0.3">
      <c r="G107" t="str">
        <f t="shared" si="9"/>
        <v/>
      </c>
      <c r="I107" t="str">
        <f t="shared" si="10"/>
        <v/>
      </c>
      <c r="J107" t="str">
        <f t="shared" si="11"/>
        <v>Reported Amount Missing</v>
      </c>
    </row>
    <row r="108" spans="7:10" x14ac:dyDescent="0.3">
      <c r="G108" t="str">
        <f t="shared" si="9"/>
        <v/>
      </c>
      <c r="I108" t="str">
        <f t="shared" si="10"/>
        <v/>
      </c>
      <c r="J108" t="str">
        <f t="shared" si="11"/>
        <v>Reported Amount Missing</v>
      </c>
    </row>
    <row r="109" spans="7:10" x14ac:dyDescent="0.3">
      <c r="G109" t="str">
        <f t="shared" si="9"/>
        <v/>
      </c>
      <c r="I109" t="str">
        <f t="shared" si="10"/>
        <v/>
      </c>
      <c r="J109" t="str">
        <f t="shared" si="11"/>
        <v>Reported Amount Missing</v>
      </c>
    </row>
    <row r="110" spans="7:10" x14ac:dyDescent="0.3">
      <c r="G110" t="str">
        <f t="shared" si="9"/>
        <v/>
      </c>
      <c r="I110" t="str">
        <f t="shared" si="10"/>
        <v/>
      </c>
      <c r="J110" t="str">
        <f t="shared" si="11"/>
        <v>Reported Amount Missing</v>
      </c>
    </row>
    <row r="111" spans="7:10" x14ac:dyDescent="0.3">
      <c r="G111" t="str">
        <f t="shared" si="9"/>
        <v/>
      </c>
      <c r="I111" t="str">
        <f t="shared" si="10"/>
        <v/>
      </c>
      <c r="J111" t="str">
        <f t="shared" si="11"/>
        <v>Reported Amount Missing</v>
      </c>
    </row>
    <row r="112" spans="7:10" x14ac:dyDescent="0.3">
      <c r="G112" t="str">
        <f t="shared" si="9"/>
        <v/>
      </c>
      <c r="I112" t="str">
        <f t="shared" si="10"/>
        <v/>
      </c>
      <c r="J112" t="str">
        <f t="shared" si="11"/>
        <v>Reported Amount Missing</v>
      </c>
    </row>
    <row r="113" spans="7:10" x14ac:dyDescent="0.3">
      <c r="G113" t="str">
        <f t="shared" si="9"/>
        <v/>
      </c>
      <c r="I113" t="str">
        <f t="shared" si="10"/>
        <v/>
      </c>
      <c r="J113" t="str">
        <f t="shared" si="11"/>
        <v>Reported Amount Missing</v>
      </c>
    </row>
    <row r="114" spans="7:10" x14ac:dyDescent="0.3">
      <c r="G114" t="str">
        <f t="shared" si="9"/>
        <v/>
      </c>
      <c r="I114" t="str">
        <f t="shared" si="10"/>
        <v/>
      </c>
      <c r="J114" t="str">
        <f t="shared" si="11"/>
        <v>Reported Amount Missing</v>
      </c>
    </row>
    <row r="115" spans="7:10" x14ac:dyDescent="0.3">
      <c r="G115" t="str">
        <f t="shared" si="9"/>
        <v/>
      </c>
      <c r="I115" t="str">
        <f t="shared" si="10"/>
        <v/>
      </c>
      <c r="J115" t="str">
        <f t="shared" si="11"/>
        <v>Reported Amount Missing</v>
      </c>
    </row>
    <row r="116" spans="7:10" x14ac:dyDescent="0.3">
      <c r="G116" t="str">
        <f t="shared" si="9"/>
        <v/>
      </c>
      <c r="I116" t="str">
        <f t="shared" si="10"/>
        <v/>
      </c>
      <c r="J116" t="str">
        <f t="shared" si="11"/>
        <v>Reported Amount Missing</v>
      </c>
    </row>
    <row r="117" spans="7:10" x14ac:dyDescent="0.3">
      <c r="G117" t="str">
        <f t="shared" si="9"/>
        <v/>
      </c>
      <c r="I117" t="str">
        <f t="shared" si="10"/>
        <v/>
      </c>
      <c r="J117" t="str">
        <f t="shared" si="11"/>
        <v>Reported Amount Missing</v>
      </c>
    </row>
    <row r="118" spans="7:10" x14ac:dyDescent="0.3">
      <c r="G118" t="str">
        <f t="shared" si="9"/>
        <v/>
      </c>
      <c r="I118" t="str">
        <f t="shared" si="10"/>
        <v/>
      </c>
      <c r="J118" t="str">
        <f t="shared" si="11"/>
        <v>Reported Amount Missing</v>
      </c>
    </row>
    <row r="119" spans="7:10" x14ac:dyDescent="0.3">
      <c r="G119" t="str">
        <f t="shared" si="9"/>
        <v/>
      </c>
      <c r="I119" t="str">
        <f t="shared" si="10"/>
        <v/>
      </c>
      <c r="J119" t="str">
        <f t="shared" si="11"/>
        <v>Reported Amount Missing</v>
      </c>
    </row>
    <row r="120" spans="7:10" x14ac:dyDescent="0.3">
      <c r="G120" t="str">
        <f t="shared" si="9"/>
        <v/>
      </c>
      <c r="I120" t="str">
        <f t="shared" si="10"/>
        <v/>
      </c>
      <c r="J120" t="str">
        <f t="shared" si="11"/>
        <v>Reported Amount Missing</v>
      </c>
    </row>
    <row r="121" spans="7:10" x14ac:dyDescent="0.3">
      <c r="G121" t="str">
        <f t="shared" si="9"/>
        <v/>
      </c>
      <c r="I121" t="str">
        <f t="shared" si="10"/>
        <v/>
      </c>
      <c r="J121" t="str">
        <f t="shared" si="11"/>
        <v>Reported Amount Missing</v>
      </c>
    </row>
    <row r="122" spans="7:10" x14ac:dyDescent="0.3">
      <c r="G122" t="str">
        <f t="shared" si="9"/>
        <v/>
      </c>
      <c r="I122" t="str">
        <f t="shared" si="10"/>
        <v/>
      </c>
      <c r="J122" t="str">
        <f t="shared" si="11"/>
        <v>Reported Amount Missing</v>
      </c>
    </row>
    <row r="123" spans="7:10" x14ac:dyDescent="0.3">
      <c r="G123" t="str">
        <f t="shared" si="9"/>
        <v/>
      </c>
      <c r="I123" t="str">
        <f t="shared" si="10"/>
        <v/>
      </c>
      <c r="J123" t="str">
        <f t="shared" si="11"/>
        <v>Reported Amount Missing</v>
      </c>
    </row>
    <row r="124" spans="7:10" x14ac:dyDescent="0.3">
      <c r="G124" t="str">
        <f t="shared" si="9"/>
        <v/>
      </c>
      <c r="I124" t="str">
        <f t="shared" si="10"/>
        <v/>
      </c>
      <c r="J124" t="str">
        <f t="shared" si="11"/>
        <v>Reported Amount Missing</v>
      </c>
    </row>
    <row r="125" spans="7:10" x14ac:dyDescent="0.3">
      <c r="G125" t="str">
        <f t="shared" si="9"/>
        <v/>
      </c>
      <c r="I125" t="str">
        <f t="shared" si="10"/>
        <v/>
      </c>
      <c r="J125" t="str">
        <f t="shared" si="11"/>
        <v>Reported Amount Missing</v>
      </c>
    </row>
    <row r="126" spans="7:10" x14ac:dyDescent="0.3">
      <c r="G126" t="str">
        <f t="shared" si="9"/>
        <v/>
      </c>
      <c r="I126" t="str">
        <f t="shared" si="10"/>
        <v/>
      </c>
      <c r="J126" t="str">
        <f t="shared" si="11"/>
        <v>Reported Amount Missing</v>
      </c>
    </row>
    <row r="127" spans="7:10" x14ac:dyDescent="0.3">
      <c r="G127" t="str">
        <f t="shared" si="9"/>
        <v/>
      </c>
      <c r="I127" t="str">
        <f t="shared" si="10"/>
        <v/>
      </c>
      <c r="J127" t="str">
        <f t="shared" si="11"/>
        <v>Reported Amount Missing</v>
      </c>
    </row>
    <row r="128" spans="7:10" x14ac:dyDescent="0.3">
      <c r="G128" t="str">
        <f t="shared" si="9"/>
        <v/>
      </c>
      <c r="I128" t="str">
        <f t="shared" si="10"/>
        <v/>
      </c>
      <c r="J128" t="str">
        <f t="shared" si="11"/>
        <v>Reported Amount Missing</v>
      </c>
    </row>
    <row r="129" spans="7:10" x14ac:dyDescent="0.3">
      <c r="G129" t="str">
        <f t="shared" si="9"/>
        <v/>
      </c>
      <c r="I129" t="str">
        <f t="shared" si="10"/>
        <v/>
      </c>
      <c r="J129" t="str">
        <f t="shared" si="11"/>
        <v>Reported Amount Missing</v>
      </c>
    </row>
    <row r="130" spans="7:10" x14ac:dyDescent="0.3">
      <c r="G130" t="str">
        <f t="shared" si="9"/>
        <v/>
      </c>
      <c r="I130" t="str">
        <f t="shared" si="10"/>
        <v/>
      </c>
      <c r="J130" t="str">
        <f t="shared" si="11"/>
        <v>Reported Amount Missing</v>
      </c>
    </row>
    <row r="131" spans="7:10" x14ac:dyDescent="0.3">
      <c r="G131" t="str">
        <f t="shared" si="9"/>
        <v/>
      </c>
      <c r="I131" t="str">
        <f t="shared" si="10"/>
        <v/>
      </c>
      <c r="J131" t="str">
        <f t="shared" si="11"/>
        <v>Reported Amount Missing</v>
      </c>
    </row>
    <row r="132" spans="7:10" x14ac:dyDescent="0.3">
      <c r="G132" t="str">
        <f t="shared" si="9"/>
        <v/>
      </c>
      <c r="I132" t="str">
        <f t="shared" si="10"/>
        <v/>
      </c>
      <c r="J132" t="str">
        <f t="shared" si="11"/>
        <v>Reported Amount Missing</v>
      </c>
    </row>
    <row r="133" spans="7:10" x14ac:dyDescent="0.3">
      <c r="G133" t="str">
        <f t="shared" ref="G133:G164" si="12">IF(OR(D133="",F133=""),"",D133-F133)</f>
        <v/>
      </c>
      <c r="I133" t="str">
        <f t="shared" ref="I133:I164" si="13">IF(OR(G133="",H133=""),"",G133-H133)</f>
        <v/>
      </c>
      <c r="J133" t="str">
        <f t="shared" ref="J133:J164" si="14">IF(H133="","Reported Amount Missing",IF(ABS(I133)&lt;0.01,"Matched","Difference Found"))</f>
        <v>Reported Amount Missing</v>
      </c>
    </row>
    <row r="134" spans="7:10" x14ac:dyDescent="0.3">
      <c r="G134" t="str">
        <f t="shared" si="12"/>
        <v/>
      </c>
      <c r="I134" t="str">
        <f t="shared" si="13"/>
        <v/>
      </c>
      <c r="J134" t="str">
        <f t="shared" si="14"/>
        <v>Reported Amount Missing</v>
      </c>
    </row>
    <row r="135" spans="7:10" x14ac:dyDescent="0.3">
      <c r="G135" t="str">
        <f t="shared" si="12"/>
        <v/>
      </c>
      <c r="I135" t="str">
        <f t="shared" si="13"/>
        <v/>
      </c>
      <c r="J135" t="str">
        <f t="shared" si="14"/>
        <v>Reported Amount Missing</v>
      </c>
    </row>
    <row r="136" spans="7:10" x14ac:dyDescent="0.3">
      <c r="G136" t="str">
        <f t="shared" si="12"/>
        <v/>
      </c>
      <c r="I136" t="str">
        <f t="shared" si="13"/>
        <v/>
      </c>
      <c r="J136" t="str">
        <f t="shared" si="14"/>
        <v>Reported Amount Missing</v>
      </c>
    </row>
    <row r="137" spans="7:10" x14ac:dyDescent="0.3">
      <c r="G137" t="str">
        <f t="shared" si="12"/>
        <v/>
      </c>
      <c r="I137" t="str">
        <f t="shared" si="13"/>
        <v/>
      </c>
      <c r="J137" t="str">
        <f t="shared" si="14"/>
        <v>Reported Amount Missing</v>
      </c>
    </row>
    <row r="138" spans="7:10" x14ac:dyDescent="0.3">
      <c r="G138" t="str">
        <f t="shared" si="12"/>
        <v/>
      </c>
      <c r="I138" t="str">
        <f t="shared" si="13"/>
        <v/>
      </c>
      <c r="J138" t="str">
        <f t="shared" si="14"/>
        <v>Reported Amount Missing</v>
      </c>
    </row>
    <row r="139" spans="7:10" x14ac:dyDescent="0.3">
      <c r="G139" t="str">
        <f t="shared" si="12"/>
        <v/>
      </c>
      <c r="I139" t="str">
        <f t="shared" si="13"/>
        <v/>
      </c>
      <c r="J139" t="str">
        <f t="shared" si="14"/>
        <v>Reported Amount Missing</v>
      </c>
    </row>
    <row r="140" spans="7:10" x14ac:dyDescent="0.3">
      <c r="G140" t="str">
        <f t="shared" si="12"/>
        <v/>
      </c>
      <c r="I140" t="str">
        <f t="shared" si="13"/>
        <v/>
      </c>
      <c r="J140" t="str">
        <f t="shared" si="14"/>
        <v>Reported Amount Missing</v>
      </c>
    </row>
    <row r="141" spans="7:10" x14ac:dyDescent="0.3">
      <c r="G141" t="str">
        <f t="shared" si="12"/>
        <v/>
      </c>
      <c r="I141" t="str">
        <f t="shared" si="13"/>
        <v/>
      </c>
      <c r="J141" t="str">
        <f t="shared" si="14"/>
        <v>Reported Amount Missing</v>
      </c>
    </row>
    <row r="142" spans="7:10" x14ac:dyDescent="0.3">
      <c r="G142" t="str">
        <f t="shared" si="12"/>
        <v/>
      </c>
      <c r="I142" t="str">
        <f t="shared" si="13"/>
        <v/>
      </c>
      <c r="J142" t="str">
        <f t="shared" si="14"/>
        <v>Reported Amount Missing</v>
      </c>
    </row>
    <row r="143" spans="7:10" x14ac:dyDescent="0.3">
      <c r="G143" t="str">
        <f t="shared" si="12"/>
        <v/>
      </c>
      <c r="I143" t="str">
        <f t="shared" si="13"/>
        <v/>
      </c>
      <c r="J143" t="str">
        <f t="shared" si="14"/>
        <v>Reported Amount Missing</v>
      </c>
    </row>
    <row r="144" spans="7:10" x14ac:dyDescent="0.3">
      <c r="G144" t="str">
        <f t="shared" si="12"/>
        <v/>
      </c>
      <c r="I144" t="str">
        <f t="shared" si="13"/>
        <v/>
      </c>
      <c r="J144" t="str">
        <f t="shared" si="14"/>
        <v>Reported Amount Missing</v>
      </c>
    </row>
    <row r="145" spans="7:10" x14ac:dyDescent="0.3">
      <c r="G145" t="str">
        <f t="shared" si="12"/>
        <v/>
      </c>
      <c r="I145" t="str">
        <f t="shared" si="13"/>
        <v/>
      </c>
      <c r="J145" t="str">
        <f t="shared" si="14"/>
        <v>Reported Amount Missing</v>
      </c>
    </row>
    <row r="146" spans="7:10" x14ac:dyDescent="0.3">
      <c r="G146" t="str">
        <f t="shared" si="12"/>
        <v/>
      </c>
      <c r="I146" t="str">
        <f t="shared" si="13"/>
        <v/>
      </c>
      <c r="J146" t="str">
        <f t="shared" si="14"/>
        <v>Reported Amount Missing</v>
      </c>
    </row>
    <row r="147" spans="7:10" x14ac:dyDescent="0.3">
      <c r="G147" t="str">
        <f t="shared" si="12"/>
        <v/>
      </c>
      <c r="I147" t="str">
        <f t="shared" si="13"/>
        <v/>
      </c>
      <c r="J147" t="str">
        <f t="shared" si="14"/>
        <v>Reported Amount Missing</v>
      </c>
    </row>
    <row r="148" spans="7:10" x14ac:dyDescent="0.3">
      <c r="G148" t="str">
        <f t="shared" si="12"/>
        <v/>
      </c>
      <c r="I148" t="str">
        <f t="shared" si="13"/>
        <v/>
      </c>
      <c r="J148" t="str">
        <f t="shared" si="14"/>
        <v>Reported Amount Missing</v>
      </c>
    </row>
    <row r="149" spans="7:10" x14ac:dyDescent="0.3">
      <c r="G149" t="str">
        <f t="shared" si="12"/>
        <v/>
      </c>
      <c r="I149" t="str">
        <f t="shared" si="13"/>
        <v/>
      </c>
      <c r="J149" t="str">
        <f t="shared" si="14"/>
        <v>Reported Amount Missing</v>
      </c>
    </row>
    <row r="150" spans="7:10" x14ac:dyDescent="0.3">
      <c r="G150" t="str">
        <f t="shared" si="12"/>
        <v/>
      </c>
      <c r="I150" t="str">
        <f t="shared" si="13"/>
        <v/>
      </c>
      <c r="J150" t="str">
        <f t="shared" si="14"/>
        <v>Reported Amount Missing</v>
      </c>
    </row>
    <row r="151" spans="7:10" x14ac:dyDescent="0.3">
      <c r="G151" t="str">
        <f t="shared" si="12"/>
        <v/>
      </c>
      <c r="I151" t="str">
        <f t="shared" si="13"/>
        <v/>
      </c>
      <c r="J151" t="str">
        <f t="shared" si="14"/>
        <v>Reported Amount Missing</v>
      </c>
    </row>
    <row r="152" spans="7:10" x14ac:dyDescent="0.3">
      <c r="G152" t="str">
        <f t="shared" si="12"/>
        <v/>
      </c>
      <c r="I152" t="str">
        <f t="shared" si="13"/>
        <v/>
      </c>
      <c r="J152" t="str">
        <f t="shared" si="14"/>
        <v>Reported Amount Missing</v>
      </c>
    </row>
    <row r="153" spans="7:10" x14ac:dyDescent="0.3">
      <c r="G153" t="str">
        <f t="shared" si="12"/>
        <v/>
      </c>
      <c r="I153" t="str">
        <f t="shared" si="13"/>
        <v/>
      </c>
      <c r="J153" t="str">
        <f t="shared" si="14"/>
        <v>Reported Amount Missing</v>
      </c>
    </row>
    <row r="154" spans="7:10" x14ac:dyDescent="0.3">
      <c r="G154" t="str">
        <f t="shared" si="12"/>
        <v/>
      </c>
      <c r="I154" t="str">
        <f t="shared" si="13"/>
        <v/>
      </c>
      <c r="J154" t="str">
        <f t="shared" si="14"/>
        <v>Reported Amount Missing</v>
      </c>
    </row>
    <row r="155" spans="7:10" x14ac:dyDescent="0.3">
      <c r="G155" t="str">
        <f t="shared" si="12"/>
        <v/>
      </c>
      <c r="I155" t="str">
        <f t="shared" si="13"/>
        <v/>
      </c>
      <c r="J155" t="str">
        <f t="shared" si="14"/>
        <v>Reported Amount Missing</v>
      </c>
    </row>
    <row r="156" spans="7:10" x14ac:dyDescent="0.3">
      <c r="G156" t="str">
        <f t="shared" si="12"/>
        <v/>
      </c>
      <c r="I156" t="str">
        <f t="shared" si="13"/>
        <v/>
      </c>
      <c r="J156" t="str">
        <f t="shared" si="14"/>
        <v>Reported Amount Missing</v>
      </c>
    </row>
    <row r="157" spans="7:10" x14ac:dyDescent="0.3">
      <c r="G157" t="str">
        <f t="shared" si="12"/>
        <v/>
      </c>
      <c r="I157" t="str">
        <f t="shared" si="13"/>
        <v/>
      </c>
      <c r="J157" t="str">
        <f t="shared" si="14"/>
        <v>Reported Amount Missing</v>
      </c>
    </row>
    <row r="158" spans="7:10" x14ac:dyDescent="0.3">
      <c r="G158" t="str">
        <f t="shared" si="12"/>
        <v/>
      </c>
      <c r="I158" t="str">
        <f t="shared" si="13"/>
        <v/>
      </c>
      <c r="J158" t="str">
        <f t="shared" si="14"/>
        <v>Reported Amount Missing</v>
      </c>
    </row>
    <row r="159" spans="7:10" x14ac:dyDescent="0.3">
      <c r="G159" t="str">
        <f t="shared" si="12"/>
        <v/>
      </c>
      <c r="I159" t="str">
        <f t="shared" si="13"/>
        <v/>
      </c>
      <c r="J159" t="str">
        <f t="shared" si="14"/>
        <v>Reported Amount Missing</v>
      </c>
    </row>
    <row r="160" spans="7:10" x14ac:dyDescent="0.3">
      <c r="G160" t="str">
        <f t="shared" si="12"/>
        <v/>
      </c>
      <c r="I160" t="str">
        <f t="shared" si="13"/>
        <v/>
      </c>
      <c r="J160" t="str">
        <f t="shared" si="14"/>
        <v>Reported Amount Missing</v>
      </c>
    </row>
    <row r="161" spans="7:10" x14ac:dyDescent="0.3">
      <c r="G161" t="str">
        <f t="shared" si="12"/>
        <v/>
      </c>
      <c r="I161" t="str">
        <f t="shared" si="13"/>
        <v/>
      </c>
      <c r="J161" t="str">
        <f t="shared" si="14"/>
        <v>Reported Amount Missing</v>
      </c>
    </row>
    <row r="162" spans="7:10" x14ac:dyDescent="0.3">
      <c r="G162" t="str">
        <f t="shared" si="12"/>
        <v/>
      </c>
      <c r="I162" t="str">
        <f t="shared" si="13"/>
        <v/>
      </c>
      <c r="J162" t="str">
        <f t="shared" si="14"/>
        <v>Reported Amount Missing</v>
      </c>
    </row>
    <row r="163" spans="7:10" x14ac:dyDescent="0.3">
      <c r="G163" t="str">
        <f t="shared" si="12"/>
        <v/>
      </c>
      <c r="I163" t="str">
        <f t="shared" si="13"/>
        <v/>
      </c>
      <c r="J163" t="str">
        <f t="shared" si="14"/>
        <v>Reported Amount Missing</v>
      </c>
    </row>
    <row r="164" spans="7:10" x14ac:dyDescent="0.3">
      <c r="G164" t="str">
        <f t="shared" si="12"/>
        <v/>
      </c>
      <c r="I164" t="str">
        <f t="shared" si="13"/>
        <v/>
      </c>
      <c r="J164" t="str">
        <f t="shared" si="14"/>
        <v>Reported Amount Missing</v>
      </c>
    </row>
    <row r="165" spans="7:10" x14ac:dyDescent="0.3">
      <c r="G165" t="str">
        <f t="shared" ref="G165:G196" si="15">IF(OR(D165="",F165=""),"",D165-F165)</f>
        <v/>
      </c>
      <c r="I165" t="str">
        <f t="shared" ref="I165:I196" si="16">IF(OR(G165="",H165=""),"",G165-H165)</f>
        <v/>
      </c>
      <c r="J165" t="str">
        <f t="shared" ref="J165:J196" si="17">IF(H165="","Reported Amount Missing",IF(ABS(I165)&lt;0.01,"Matched","Difference Found"))</f>
        <v>Reported Amount Missing</v>
      </c>
    </row>
    <row r="166" spans="7:10" x14ac:dyDescent="0.3">
      <c r="G166" t="str">
        <f t="shared" si="15"/>
        <v/>
      </c>
      <c r="I166" t="str">
        <f t="shared" si="16"/>
        <v/>
      </c>
      <c r="J166" t="str">
        <f t="shared" si="17"/>
        <v>Reported Amount Missing</v>
      </c>
    </row>
    <row r="167" spans="7:10" x14ac:dyDescent="0.3">
      <c r="G167" t="str">
        <f t="shared" si="15"/>
        <v/>
      </c>
      <c r="I167" t="str">
        <f t="shared" si="16"/>
        <v/>
      </c>
      <c r="J167" t="str">
        <f t="shared" si="17"/>
        <v>Reported Amount Missing</v>
      </c>
    </row>
    <row r="168" spans="7:10" x14ac:dyDescent="0.3">
      <c r="G168" t="str">
        <f t="shared" si="15"/>
        <v/>
      </c>
      <c r="I168" t="str">
        <f t="shared" si="16"/>
        <v/>
      </c>
      <c r="J168" t="str">
        <f t="shared" si="17"/>
        <v>Reported Amount Missing</v>
      </c>
    </row>
    <row r="169" spans="7:10" x14ac:dyDescent="0.3">
      <c r="G169" t="str">
        <f t="shared" si="15"/>
        <v/>
      </c>
      <c r="I169" t="str">
        <f t="shared" si="16"/>
        <v/>
      </c>
      <c r="J169" t="str">
        <f t="shared" si="17"/>
        <v>Reported Amount Missing</v>
      </c>
    </row>
    <row r="170" spans="7:10" x14ac:dyDescent="0.3">
      <c r="G170" t="str">
        <f t="shared" si="15"/>
        <v/>
      </c>
      <c r="I170" t="str">
        <f t="shared" si="16"/>
        <v/>
      </c>
      <c r="J170" t="str">
        <f t="shared" si="17"/>
        <v>Reported Amount Missing</v>
      </c>
    </row>
    <row r="171" spans="7:10" x14ac:dyDescent="0.3">
      <c r="G171" t="str">
        <f t="shared" si="15"/>
        <v/>
      </c>
      <c r="I171" t="str">
        <f t="shared" si="16"/>
        <v/>
      </c>
      <c r="J171" t="str">
        <f t="shared" si="17"/>
        <v>Reported Amount Missing</v>
      </c>
    </row>
    <row r="172" spans="7:10" x14ac:dyDescent="0.3">
      <c r="G172" t="str">
        <f t="shared" si="15"/>
        <v/>
      </c>
      <c r="I172" t="str">
        <f t="shared" si="16"/>
        <v/>
      </c>
      <c r="J172" t="str">
        <f t="shared" si="17"/>
        <v>Reported Amount Missing</v>
      </c>
    </row>
    <row r="173" spans="7:10" x14ac:dyDescent="0.3">
      <c r="G173" t="str">
        <f t="shared" si="15"/>
        <v/>
      </c>
      <c r="I173" t="str">
        <f t="shared" si="16"/>
        <v/>
      </c>
      <c r="J173" t="str">
        <f t="shared" si="17"/>
        <v>Reported Amount Missing</v>
      </c>
    </row>
    <row r="174" spans="7:10" x14ac:dyDescent="0.3">
      <c r="G174" t="str">
        <f t="shared" si="15"/>
        <v/>
      </c>
      <c r="I174" t="str">
        <f t="shared" si="16"/>
        <v/>
      </c>
      <c r="J174" t="str">
        <f t="shared" si="17"/>
        <v>Reported Amount Missing</v>
      </c>
    </row>
    <row r="175" spans="7:10" x14ac:dyDescent="0.3">
      <c r="G175" t="str">
        <f t="shared" si="15"/>
        <v/>
      </c>
      <c r="I175" t="str">
        <f t="shared" si="16"/>
        <v/>
      </c>
      <c r="J175" t="str">
        <f t="shared" si="17"/>
        <v>Reported Amount Missing</v>
      </c>
    </row>
    <row r="176" spans="7:10" x14ac:dyDescent="0.3">
      <c r="G176" t="str">
        <f t="shared" si="15"/>
        <v/>
      </c>
      <c r="I176" t="str">
        <f t="shared" si="16"/>
        <v/>
      </c>
      <c r="J176" t="str">
        <f t="shared" si="17"/>
        <v>Reported Amount Missing</v>
      </c>
    </row>
    <row r="177" spans="7:10" x14ac:dyDescent="0.3">
      <c r="G177" t="str">
        <f t="shared" si="15"/>
        <v/>
      </c>
      <c r="I177" t="str">
        <f t="shared" si="16"/>
        <v/>
      </c>
      <c r="J177" t="str">
        <f t="shared" si="17"/>
        <v>Reported Amount Missing</v>
      </c>
    </row>
    <row r="178" spans="7:10" x14ac:dyDescent="0.3">
      <c r="G178" t="str">
        <f t="shared" si="15"/>
        <v/>
      </c>
      <c r="I178" t="str">
        <f t="shared" si="16"/>
        <v/>
      </c>
      <c r="J178" t="str">
        <f t="shared" si="17"/>
        <v>Reported Amount Missing</v>
      </c>
    </row>
    <row r="179" spans="7:10" x14ac:dyDescent="0.3">
      <c r="G179" t="str">
        <f t="shared" si="15"/>
        <v/>
      </c>
      <c r="I179" t="str">
        <f t="shared" si="16"/>
        <v/>
      </c>
      <c r="J179" t="str">
        <f t="shared" si="17"/>
        <v>Reported Amount Missing</v>
      </c>
    </row>
    <row r="180" spans="7:10" x14ac:dyDescent="0.3">
      <c r="G180" t="str">
        <f t="shared" si="15"/>
        <v/>
      </c>
      <c r="I180" t="str">
        <f t="shared" si="16"/>
        <v/>
      </c>
      <c r="J180" t="str">
        <f t="shared" si="17"/>
        <v>Reported Amount Missing</v>
      </c>
    </row>
    <row r="181" spans="7:10" x14ac:dyDescent="0.3">
      <c r="G181" t="str">
        <f t="shared" si="15"/>
        <v/>
      </c>
      <c r="I181" t="str">
        <f t="shared" si="16"/>
        <v/>
      </c>
      <c r="J181" t="str">
        <f t="shared" si="17"/>
        <v>Reported Amount Missing</v>
      </c>
    </row>
    <row r="182" spans="7:10" x14ac:dyDescent="0.3">
      <c r="G182" t="str">
        <f t="shared" si="15"/>
        <v/>
      </c>
      <c r="I182" t="str">
        <f t="shared" si="16"/>
        <v/>
      </c>
      <c r="J182" t="str">
        <f t="shared" si="17"/>
        <v>Reported Amount Missing</v>
      </c>
    </row>
    <row r="183" spans="7:10" x14ac:dyDescent="0.3">
      <c r="G183" t="str">
        <f t="shared" si="15"/>
        <v/>
      </c>
      <c r="I183" t="str">
        <f t="shared" si="16"/>
        <v/>
      </c>
      <c r="J183" t="str">
        <f t="shared" si="17"/>
        <v>Reported Amount Missing</v>
      </c>
    </row>
    <row r="184" spans="7:10" x14ac:dyDescent="0.3">
      <c r="G184" t="str">
        <f t="shared" si="15"/>
        <v/>
      </c>
      <c r="I184" t="str">
        <f t="shared" si="16"/>
        <v/>
      </c>
      <c r="J184" t="str">
        <f t="shared" si="17"/>
        <v>Reported Amount Missing</v>
      </c>
    </row>
    <row r="185" spans="7:10" x14ac:dyDescent="0.3">
      <c r="G185" t="str">
        <f t="shared" si="15"/>
        <v/>
      </c>
      <c r="I185" t="str">
        <f t="shared" si="16"/>
        <v/>
      </c>
      <c r="J185" t="str">
        <f t="shared" si="17"/>
        <v>Reported Amount Missing</v>
      </c>
    </row>
    <row r="186" spans="7:10" x14ac:dyDescent="0.3">
      <c r="G186" t="str">
        <f t="shared" si="15"/>
        <v/>
      </c>
      <c r="I186" t="str">
        <f t="shared" si="16"/>
        <v/>
      </c>
      <c r="J186" t="str">
        <f t="shared" si="17"/>
        <v>Reported Amount Missing</v>
      </c>
    </row>
    <row r="187" spans="7:10" x14ac:dyDescent="0.3">
      <c r="G187" t="str">
        <f t="shared" si="15"/>
        <v/>
      </c>
      <c r="I187" t="str">
        <f t="shared" si="16"/>
        <v/>
      </c>
      <c r="J187" t="str">
        <f t="shared" si="17"/>
        <v>Reported Amount Missing</v>
      </c>
    </row>
    <row r="188" spans="7:10" x14ac:dyDescent="0.3">
      <c r="G188" t="str">
        <f t="shared" si="15"/>
        <v/>
      </c>
      <c r="I188" t="str">
        <f t="shared" si="16"/>
        <v/>
      </c>
      <c r="J188" t="str">
        <f t="shared" si="17"/>
        <v>Reported Amount Missing</v>
      </c>
    </row>
    <row r="189" spans="7:10" x14ac:dyDescent="0.3">
      <c r="G189" t="str">
        <f t="shared" si="15"/>
        <v/>
      </c>
      <c r="I189" t="str">
        <f t="shared" si="16"/>
        <v/>
      </c>
      <c r="J189" t="str">
        <f t="shared" si="17"/>
        <v>Reported Amount Missing</v>
      </c>
    </row>
    <row r="190" spans="7:10" x14ac:dyDescent="0.3">
      <c r="G190" t="str">
        <f t="shared" si="15"/>
        <v/>
      </c>
      <c r="I190" t="str">
        <f t="shared" si="16"/>
        <v/>
      </c>
      <c r="J190" t="str">
        <f t="shared" si="17"/>
        <v>Reported Amount Missing</v>
      </c>
    </row>
    <row r="191" spans="7:10" x14ac:dyDescent="0.3">
      <c r="G191" t="str">
        <f t="shared" si="15"/>
        <v/>
      </c>
      <c r="I191" t="str">
        <f t="shared" si="16"/>
        <v/>
      </c>
      <c r="J191" t="str">
        <f t="shared" si="17"/>
        <v>Reported Amount Missing</v>
      </c>
    </row>
    <row r="192" spans="7:10" x14ac:dyDescent="0.3">
      <c r="G192" t="str">
        <f t="shared" si="15"/>
        <v/>
      </c>
      <c r="I192" t="str">
        <f t="shared" si="16"/>
        <v/>
      </c>
      <c r="J192" t="str">
        <f t="shared" si="17"/>
        <v>Reported Amount Missing</v>
      </c>
    </row>
    <row r="193" spans="7:10" x14ac:dyDescent="0.3">
      <c r="G193" t="str">
        <f t="shared" si="15"/>
        <v/>
      </c>
      <c r="I193" t="str">
        <f t="shared" si="16"/>
        <v/>
      </c>
      <c r="J193" t="str">
        <f t="shared" si="17"/>
        <v>Reported Amount Missing</v>
      </c>
    </row>
    <row r="194" spans="7:10" x14ac:dyDescent="0.3">
      <c r="G194" t="str">
        <f t="shared" si="15"/>
        <v/>
      </c>
      <c r="I194" t="str">
        <f t="shared" si="16"/>
        <v/>
      </c>
      <c r="J194" t="str">
        <f t="shared" si="17"/>
        <v>Reported Amount Missing</v>
      </c>
    </row>
    <row r="195" spans="7:10" x14ac:dyDescent="0.3">
      <c r="G195" t="str">
        <f t="shared" si="15"/>
        <v/>
      </c>
      <c r="I195" t="str">
        <f t="shared" si="16"/>
        <v/>
      </c>
      <c r="J195" t="str">
        <f t="shared" si="17"/>
        <v>Reported Amount Missing</v>
      </c>
    </row>
    <row r="196" spans="7:10" x14ac:dyDescent="0.3">
      <c r="G196" t="str">
        <f t="shared" si="15"/>
        <v/>
      </c>
      <c r="I196" t="str">
        <f t="shared" si="16"/>
        <v/>
      </c>
      <c r="J196" t="str">
        <f t="shared" si="17"/>
        <v>Reported Amount Missing</v>
      </c>
    </row>
    <row r="197" spans="7:10" x14ac:dyDescent="0.3">
      <c r="G197" t="str">
        <f t="shared" ref="G197:G228" si="18">IF(OR(D197="",F197=""),"",D197-F197)</f>
        <v/>
      </c>
      <c r="I197" t="str">
        <f t="shared" ref="I197:I228" si="19">IF(OR(G197="",H197=""),"",G197-H197)</f>
        <v/>
      </c>
      <c r="J197" t="str">
        <f t="shared" ref="J197:J228" si="20">IF(H197="","Reported Amount Missing",IF(ABS(I197)&lt;0.01,"Matched","Difference Found"))</f>
        <v>Reported Amount Missing</v>
      </c>
    </row>
    <row r="198" spans="7:10" x14ac:dyDescent="0.3">
      <c r="G198" t="str">
        <f t="shared" si="18"/>
        <v/>
      </c>
      <c r="I198" t="str">
        <f t="shared" si="19"/>
        <v/>
      </c>
      <c r="J198" t="str">
        <f t="shared" si="20"/>
        <v>Reported Amount Missing</v>
      </c>
    </row>
    <row r="199" spans="7:10" x14ac:dyDescent="0.3">
      <c r="G199" t="str">
        <f t="shared" si="18"/>
        <v/>
      </c>
      <c r="I199" t="str">
        <f t="shared" si="19"/>
        <v/>
      </c>
      <c r="J199" t="str">
        <f t="shared" si="20"/>
        <v>Reported Amount Missing</v>
      </c>
    </row>
    <row r="200" spans="7:10" x14ac:dyDescent="0.3">
      <c r="G200" t="str">
        <f t="shared" si="18"/>
        <v/>
      </c>
      <c r="I200" t="str">
        <f t="shared" si="19"/>
        <v/>
      </c>
      <c r="J200" t="str">
        <f t="shared" si="20"/>
        <v>Reported Amount Missing</v>
      </c>
    </row>
    <row r="201" spans="7:10" x14ac:dyDescent="0.3">
      <c r="G201" t="str">
        <f t="shared" si="18"/>
        <v/>
      </c>
      <c r="I201" t="str">
        <f t="shared" si="19"/>
        <v/>
      </c>
      <c r="J201" t="str">
        <f t="shared" si="20"/>
        <v>Reported Amount Missing</v>
      </c>
    </row>
    <row r="202" spans="7:10" x14ac:dyDescent="0.3">
      <c r="G202" t="str">
        <f t="shared" si="18"/>
        <v/>
      </c>
      <c r="I202" t="str">
        <f t="shared" si="19"/>
        <v/>
      </c>
      <c r="J202" t="str">
        <f t="shared" si="20"/>
        <v>Reported Amount Missing</v>
      </c>
    </row>
    <row r="203" spans="7:10" x14ac:dyDescent="0.3">
      <c r="G203" t="str">
        <f t="shared" si="18"/>
        <v/>
      </c>
      <c r="I203" t="str">
        <f t="shared" si="19"/>
        <v/>
      </c>
      <c r="J203" t="str">
        <f t="shared" si="20"/>
        <v>Reported Amount Missing</v>
      </c>
    </row>
    <row r="204" spans="7:10" x14ac:dyDescent="0.3">
      <c r="G204" t="str">
        <f t="shared" si="18"/>
        <v/>
      </c>
      <c r="I204" t="str">
        <f t="shared" si="19"/>
        <v/>
      </c>
      <c r="J204" t="str">
        <f t="shared" si="20"/>
        <v>Reported Amount Missing</v>
      </c>
    </row>
  </sheetData>
  <mergeCells count="2">
    <mergeCell ref="A2:K2"/>
    <mergeCell ref="A1:K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Q9"/>
  <sheetViews>
    <sheetView showGridLines="0" zoomScale="85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5" customWidth="1"/>
    <col min="2" max="4" width="18" customWidth="1"/>
    <col min="5" max="6" width="14" customWidth="1"/>
    <col min="7" max="7" width="24" customWidth="1"/>
    <col min="8" max="8" width="52" customWidth="1"/>
    <col min="9" max="9" width="30" customWidth="1"/>
    <col min="10" max="10" width="15" customWidth="1"/>
    <col min="11" max="11" width="20" customWidth="1"/>
    <col min="12" max="12" width="40" customWidth="1"/>
    <col min="13" max="13" width="20" customWidth="1"/>
    <col min="14" max="14" width="55" customWidth="1"/>
    <col min="15" max="15" width="24" customWidth="1"/>
    <col min="16" max="16" width="18" customWidth="1"/>
  </cols>
  <sheetData>
    <row r="1" spans="1:17" ht="28.05" customHeight="1" x14ac:dyDescent="0.3">
      <c r="A1" s="6" t="s">
        <v>284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7" ht="30" customHeight="1" x14ac:dyDescent="0.3">
      <c r="A2" s="4" t="s">
        <v>285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4" spans="1:17" x14ac:dyDescent="0.3">
      <c r="A4" s="1" t="s">
        <v>254</v>
      </c>
      <c r="B4" s="1" t="s">
        <v>286</v>
      </c>
      <c r="C4" s="1" t="s">
        <v>108</v>
      </c>
      <c r="D4" s="1" t="s">
        <v>287</v>
      </c>
      <c r="E4" s="1" t="s">
        <v>247</v>
      </c>
      <c r="F4" s="1" t="s">
        <v>258</v>
      </c>
      <c r="G4" s="1" t="s">
        <v>267</v>
      </c>
      <c r="H4" s="1" t="s">
        <v>288</v>
      </c>
      <c r="I4" s="1" t="s">
        <v>289</v>
      </c>
      <c r="J4" s="1" t="s">
        <v>112</v>
      </c>
      <c r="K4" s="1" t="s">
        <v>290</v>
      </c>
      <c r="L4" s="1" t="s">
        <v>291</v>
      </c>
      <c r="M4" s="1" t="s">
        <v>28</v>
      </c>
      <c r="N4" s="1" t="s">
        <v>292</v>
      </c>
      <c r="O4" s="1" t="s">
        <v>293</v>
      </c>
      <c r="P4" s="1" t="s">
        <v>294</v>
      </c>
    </row>
    <row r="5" spans="1:17" x14ac:dyDescent="0.3">
      <c r="A5" s="2" t="s">
        <v>295</v>
      </c>
      <c r="B5" s="2"/>
      <c r="C5" s="2" t="s">
        <v>190</v>
      </c>
      <c r="D5" s="2"/>
      <c r="E5" s="2"/>
      <c r="F5" s="2"/>
      <c r="G5" s="2"/>
      <c r="H5" s="2" t="s">
        <v>296</v>
      </c>
      <c r="I5" s="2" t="s">
        <v>297</v>
      </c>
      <c r="J5" s="2" t="s">
        <v>118</v>
      </c>
      <c r="K5" s="2" t="s">
        <v>298</v>
      </c>
      <c r="L5" s="2" t="s">
        <v>299</v>
      </c>
      <c r="M5" s="2" t="s">
        <v>63</v>
      </c>
      <c r="N5" s="2" t="s">
        <v>300</v>
      </c>
      <c r="O5" s="2" t="s">
        <v>301</v>
      </c>
      <c r="P5" s="2"/>
    </row>
    <row r="6" spans="1:17" x14ac:dyDescent="0.3">
      <c r="A6" s="3" t="s">
        <v>302</v>
      </c>
      <c r="B6" s="3"/>
      <c r="C6" s="3" t="s">
        <v>138</v>
      </c>
      <c r="D6" s="3"/>
      <c r="E6" s="3"/>
      <c r="F6" s="3"/>
      <c r="G6" s="3"/>
      <c r="H6" s="3" t="s">
        <v>303</v>
      </c>
      <c r="I6" s="3" t="s">
        <v>297</v>
      </c>
      <c r="J6" s="3" t="s">
        <v>118</v>
      </c>
      <c r="K6" s="3" t="s">
        <v>298</v>
      </c>
      <c r="L6" s="3" t="s">
        <v>304</v>
      </c>
      <c r="M6" s="3" t="s">
        <v>63</v>
      </c>
      <c r="N6" s="3" t="s">
        <v>305</v>
      </c>
      <c r="O6" s="3" t="s">
        <v>306</v>
      </c>
      <c r="P6" s="3"/>
    </row>
    <row r="7" spans="1:17" ht="28.8" x14ac:dyDescent="0.3">
      <c r="A7" s="2" t="s">
        <v>307</v>
      </c>
      <c r="B7" s="2"/>
      <c r="C7" s="2" t="s">
        <v>308</v>
      </c>
      <c r="D7" s="2" t="s">
        <v>309</v>
      </c>
      <c r="E7" s="2" t="s">
        <v>31</v>
      </c>
      <c r="F7" s="2"/>
      <c r="G7" s="2"/>
      <c r="H7" s="2" t="s">
        <v>310</v>
      </c>
      <c r="I7" s="2" t="s">
        <v>311</v>
      </c>
      <c r="J7" s="2" t="s">
        <v>118</v>
      </c>
      <c r="K7" s="2" t="s">
        <v>298</v>
      </c>
      <c r="L7" s="2" t="s">
        <v>312</v>
      </c>
      <c r="M7" s="2" t="s">
        <v>63</v>
      </c>
      <c r="N7" s="2" t="s">
        <v>313</v>
      </c>
      <c r="O7" s="2" t="s">
        <v>314</v>
      </c>
      <c r="P7" s="2"/>
    </row>
    <row r="8" spans="1:17" ht="28.8" x14ac:dyDescent="0.3">
      <c r="A8" s="3" t="s">
        <v>315</v>
      </c>
      <c r="B8" s="3"/>
      <c r="C8" s="3" t="s">
        <v>316</v>
      </c>
      <c r="D8" s="3"/>
      <c r="E8" s="3"/>
      <c r="F8" s="3"/>
      <c r="G8" s="3"/>
      <c r="H8" s="3" t="s">
        <v>317</v>
      </c>
      <c r="I8" s="3" t="s">
        <v>318</v>
      </c>
      <c r="J8" s="3" t="s">
        <v>127</v>
      </c>
      <c r="K8" s="3" t="s">
        <v>298</v>
      </c>
      <c r="L8" s="3" t="s">
        <v>319</v>
      </c>
      <c r="M8" s="3" t="s">
        <v>63</v>
      </c>
      <c r="N8" s="3" t="s">
        <v>320</v>
      </c>
      <c r="O8" s="3" t="s">
        <v>321</v>
      </c>
      <c r="P8" s="3"/>
    </row>
    <row r="9" spans="1:17" ht="43.2" x14ac:dyDescent="0.3">
      <c r="A9" s="2" t="s">
        <v>322</v>
      </c>
      <c r="B9" s="2"/>
      <c r="C9" s="2" t="s">
        <v>323</v>
      </c>
      <c r="D9" s="2"/>
      <c r="E9" s="2"/>
      <c r="F9" s="2"/>
      <c r="G9" s="2"/>
      <c r="H9" s="2"/>
      <c r="I9" s="2" t="s">
        <v>324</v>
      </c>
      <c r="J9" s="2" t="s">
        <v>297</v>
      </c>
      <c r="K9" s="2" t="s">
        <v>118</v>
      </c>
      <c r="L9" s="2" t="s">
        <v>298</v>
      </c>
      <c r="M9" s="2" t="s">
        <v>325</v>
      </c>
      <c r="N9" s="2" t="s">
        <v>63</v>
      </c>
      <c r="O9" s="2" t="s">
        <v>326</v>
      </c>
      <c r="P9" s="2" t="s">
        <v>327</v>
      </c>
      <c r="Q9" s="2"/>
    </row>
  </sheetData>
  <autoFilter ref="A4:P9" xr:uid="{00000000-0009-0000-0000-00000E000000}"/>
  <mergeCells count="2">
    <mergeCell ref="A1:P1"/>
    <mergeCell ref="A2:P2"/>
  </mergeCells>
  <dataValidations count="1">
    <dataValidation type="list" allowBlank="1" sqref="M5:M500" xr:uid="{00000000-0002-0000-0E00-000000000000}">
      <formula1>"Open,Under Investigation,Resolved,Closed,Deferred"</formula1>
    </dataValidation>
  </dataValidations>
  <pageMargins left="0.75" right="0.75" top="1" bottom="1" header="0.5" footer="0.5"/>
  <pageSetup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H11"/>
  <sheetViews>
    <sheetView showGridLines="0" zoomScale="85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4" customWidth="1"/>
    <col min="2" max="2" width="30" customWidth="1"/>
    <col min="3" max="4" width="55" customWidth="1"/>
    <col min="5" max="5" width="25" customWidth="1"/>
    <col min="6" max="6" width="15" customWidth="1"/>
    <col min="7" max="7" width="38" customWidth="1"/>
    <col min="8" max="8" width="16" customWidth="1"/>
  </cols>
  <sheetData>
    <row r="1" spans="1:8" ht="28.05" customHeight="1" x14ac:dyDescent="0.3">
      <c r="A1" s="6" t="s">
        <v>328</v>
      </c>
      <c r="B1" s="5"/>
      <c r="C1" s="5"/>
      <c r="D1" s="5"/>
      <c r="E1" s="5"/>
      <c r="F1" s="5"/>
      <c r="G1" s="5"/>
      <c r="H1" s="5"/>
    </row>
    <row r="2" spans="1:8" ht="30" customHeight="1" x14ac:dyDescent="0.3">
      <c r="A2" s="4" t="s">
        <v>329</v>
      </c>
      <c r="B2" s="5"/>
      <c r="C2" s="5"/>
      <c r="D2" s="5"/>
      <c r="E2" s="5"/>
      <c r="F2" s="5"/>
      <c r="G2" s="5"/>
      <c r="H2" s="5"/>
    </row>
    <row r="4" spans="1:8" x14ac:dyDescent="0.3">
      <c r="A4" s="1" t="s">
        <v>330</v>
      </c>
      <c r="B4" s="1" t="s">
        <v>331</v>
      </c>
      <c r="C4" s="1" t="s">
        <v>332</v>
      </c>
      <c r="D4" s="1" t="s">
        <v>333</v>
      </c>
      <c r="E4" s="1" t="s">
        <v>334</v>
      </c>
      <c r="F4" s="1" t="s">
        <v>335</v>
      </c>
      <c r="G4" s="1" t="s">
        <v>336</v>
      </c>
      <c r="H4" s="1" t="s">
        <v>28</v>
      </c>
    </row>
    <row r="5" spans="1:8" ht="28.8" x14ac:dyDescent="0.3">
      <c r="A5" s="2" t="s">
        <v>337</v>
      </c>
      <c r="B5" s="2" t="s">
        <v>338</v>
      </c>
      <c r="C5" s="2" t="s">
        <v>339</v>
      </c>
      <c r="D5" s="2" t="s">
        <v>340</v>
      </c>
      <c r="E5" s="2" t="s">
        <v>306</v>
      </c>
      <c r="F5" s="2" t="s">
        <v>118</v>
      </c>
      <c r="G5" s="2" t="s">
        <v>341</v>
      </c>
      <c r="H5" s="2" t="s">
        <v>63</v>
      </c>
    </row>
    <row r="6" spans="1:8" x14ac:dyDescent="0.3">
      <c r="A6" s="3" t="s">
        <v>342</v>
      </c>
      <c r="B6" s="3" t="s">
        <v>343</v>
      </c>
      <c r="C6" s="3" t="s">
        <v>344</v>
      </c>
      <c r="D6" s="3" t="s">
        <v>345</v>
      </c>
      <c r="E6" s="3" t="s">
        <v>301</v>
      </c>
      <c r="F6" s="3" t="s">
        <v>163</v>
      </c>
      <c r="G6" s="3" t="s">
        <v>346</v>
      </c>
      <c r="H6" s="3" t="s">
        <v>63</v>
      </c>
    </row>
    <row r="7" spans="1:8" x14ac:dyDescent="0.3">
      <c r="A7" s="2" t="s">
        <v>347</v>
      </c>
      <c r="B7" s="2" t="s">
        <v>348</v>
      </c>
      <c r="C7" s="2" t="s">
        <v>349</v>
      </c>
      <c r="D7" s="2" t="s">
        <v>350</v>
      </c>
      <c r="E7" s="2" t="s">
        <v>327</v>
      </c>
      <c r="F7" s="2" t="s">
        <v>163</v>
      </c>
      <c r="G7" s="2" t="s">
        <v>351</v>
      </c>
      <c r="H7" s="2" t="s">
        <v>63</v>
      </c>
    </row>
    <row r="8" spans="1:8" x14ac:dyDescent="0.3">
      <c r="A8" s="3" t="s">
        <v>352</v>
      </c>
      <c r="B8" s="3" t="s">
        <v>353</v>
      </c>
      <c r="C8" s="3" t="s">
        <v>354</v>
      </c>
      <c r="D8" s="3" t="s">
        <v>355</v>
      </c>
      <c r="E8" s="3" t="s">
        <v>356</v>
      </c>
      <c r="F8" s="3" t="s">
        <v>118</v>
      </c>
      <c r="G8" s="3" t="s">
        <v>357</v>
      </c>
      <c r="H8" s="3" t="s">
        <v>63</v>
      </c>
    </row>
    <row r="9" spans="1:8" x14ac:dyDescent="0.3">
      <c r="A9" s="2" t="s">
        <v>358</v>
      </c>
      <c r="B9" s="2" t="s">
        <v>54</v>
      </c>
      <c r="C9" s="2" t="s">
        <v>359</v>
      </c>
      <c r="D9" s="2" t="s">
        <v>360</v>
      </c>
      <c r="E9" s="2" t="s">
        <v>314</v>
      </c>
      <c r="F9" s="2" t="s">
        <v>118</v>
      </c>
      <c r="G9" s="2" t="s">
        <v>361</v>
      </c>
      <c r="H9" s="2" t="s">
        <v>63</v>
      </c>
    </row>
    <row r="10" spans="1:8" x14ac:dyDescent="0.3">
      <c r="A10" s="3" t="s">
        <v>362</v>
      </c>
      <c r="B10" s="3" t="s">
        <v>363</v>
      </c>
      <c r="C10" s="3" t="s">
        <v>364</v>
      </c>
      <c r="D10" s="3" t="s">
        <v>365</v>
      </c>
      <c r="E10" s="3" t="s">
        <v>321</v>
      </c>
      <c r="F10" s="3" t="s">
        <v>127</v>
      </c>
      <c r="G10" s="3" t="s">
        <v>366</v>
      </c>
      <c r="H10" s="3" t="s">
        <v>63</v>
      </c>
    </row>
    <row r="11" spans="1:8" x14ac:dyDescent="0.3">
      <c r="A11" s="2" t="s">
        <v>367</v>
      </c>
      <c r="B11" s="2" t="s">
        <v>368</v>
      </c>
      <c r="C11" s="2" t="s">
        <v>369</v>
      </c>
      <c r="D11" s="2" t="s">
        <v>370</v>
      </c>
      <c r="E11" s="2" t="s">
        <v>327</v>
      </c>
      <c r="F11" s="2" t="s">
        <v>118</v>
      </c>
      <c r="G11" s="2" t="s">
        <v>371</v>
      </c>
      <c r="H11" s="2" t="s">
        <v>63</v>
      </c>
    </row>
  </sheetData>
  <autoFilter ref="A4:H11" xr:uid="{00000000-0009-0000-0000-00000F000000}"/>
  <mergeCells count="2">
    <mergeCell ref="A2:H2"/>
    <mergeCell ref="A1:H1"/>
  </mergeCells>
  <dataValidations count="1">
    <dataValidation type="list" allowBlank="1" sqref="H5:H500" xr:uid="{00000000-0002-0000-0F00-000000000000}">
      <formula1>"Open,In Progress,Completed,Blocked"</formula1>
    </dataValidation>
  </dataValidation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 Me</vt:lpstr>
      <vt:lpstr>Reconciliation Summary</vt:lpstr>
      <vt:lpstr>Source Inventory</vt:lpstr>
      <vt:lpstr>Validation Rules</vt:lpstr>
      <vt:lpstr>Raw Courses</vt:lpstr>
      <vt:lpstr>Raw Purchases</vt:lpstr>
      <vt:lpstr>Raw Enrollments</vt:lpstr>
      <vt:lpstr>Raw Payments</vt:lpstr>
      <vt:lpstr>Raw Refunds</vt:lpstr>
      <vt:lpstr>Student Validation</vt:lpstr>
      <vt:lpstr>Enrollment Validation</vt:lpstr>
      <vt:lpstr>Payment Reconciliation</vt:lpstr>
      <vt:lpstr>Financial Reconciliation</vt:lpstr>
      <vt:lpstr>Exception Register</vt:lpstr>
      <vt:lpstr>Corrective Action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PRANIT VARAT</cp:lastModifiedBy>
  <dcterms:created xsi:type="dcterms:W3CDTF">2026-10-30T10:28:46Z</dcterms:created>
  <dcterms:modified xsi:type="dcterms:W3CDTF">2026-10-30T11:01:14Z</dcterms:modified>
</cp:coreProperties>
</file>