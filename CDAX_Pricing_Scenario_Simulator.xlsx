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pranit\"/>
    </mc:Choice>
  </mc:AlternateContent>
  <xr:revisionPtr revIDLastSave="0" documentId="13_ncr:1_{1FFECE68-2985-499C-BEFC-901309E56C6D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Start Here" sheetId="1" r:id="rId1"/>
    <sheet name="Inputs" sheetId="2" r:id="rId2"/>
    <sheet name="Scenario Simulator" sheetId="3" r:id="rId3"/>
    <sheet name="Source Audit" sheetId="5" r:id="rId4"/>
  </sheets>
  <definedNames>
    <definedName name="_xlnm._FilterDatabase" localSheetId="1" hidden="1">Inputs!$A$1:$E$14</definedName>
    <definedName name="_xlnm._FilterDatabase" localSheetId="2" hidden="1">'Scenario Simulator'!$A$1:$Q$6</definedName>
    <definedName name="_xlnm._FilterDatabase" localSheetId="3" hidden="1">'Source Audit'!$A$3:$F$13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3" l="1"/>
  <c r="D6" i="3"/>
  <c r="E6" i="3" s="1"/>
  <c r="F6" i="3" s="1"/>
  <c r="G6" i="3" s="1"/>
  <c r="C6" i="3"/>
  <c r="I5" i="3"/>
  <c r="C5" i="3"/>
  <c r="D5" i="3" s="1"/>
  <c r="E5" i="3" s="1"/>
  <c r="F5" i="3" s="1"/>
  <c r="G5" i="3" s="1"/>
  <c r="I4" i="3"/>
  <c r="C4" i="3"/>
  <c r="D4" i="3" s="1"/>
  <c r="E4" i="3" s="1"/>
  <c r="F4" i="3" s="1"/>
  <c r="G4" i="3" s="1"/>
  <c r="I3" i="3"/>
  <c r="C3" i="3"/>
  <c r="D3" i="3" s="1"/>
  <c r="E3" i="3" s="1"/>
  <c r="F3" i="3" s="1"/>
  <c r="G3" i="3" s="1"/>
  <c r="P2" i="3"/>
  <c r="O2" i="3"/>
  <c r="I2" i="3"/>
  <c r="D2" i="3"/>
  <c r="E2" i="3" s="1"/>
  <c r="F2" i="3" s="1"/>
  <c r="G2" i="3" s="1"/>
  <c r="K3" i="3" l="1"/>
  <c r="J3" i="3"/>
  <c r="H3" i="3"/>
  <c r="O3" i="3"/>
  <c r="K4" i="3"/>
  <c r="J4" i="3"/>
  <c r="H4" i="3"/>
  <c r="O4" i="3"/>
  <c r="O5" i="3"/>
  <c r="K5" i="3"/>
  <c r="J5" i="3"/>
  <c r="H5" i="3"/>
  <c r="H6" i="3"/>
  <c r="O6" i="3"/>
  <c r="K6" i="3"/>
  <c r="J6" i="3"/>
  <c r="H2" i="3"/>
  <c r="K2" i="3"/>
  <c r="J2" i="3"/>
  <c r="M3" i="3" l="1"/>
  <c r="L3" i="3"/>
  <c r="M6" i="3"/>
  <c r="L6" i="3"/>
  <c r="M5" i="3"/>
  <c r="L5" i="3"/>
  <c r="M4" i="3"/>
  <c r="L4" i="3"/>
  <c r="M2" i="3"/>
  <c r="L2" i="3"/>
  <c r="N2" i="3" s="1"/>
  <c r="P6" i="3" l="1"/>
  <c r="N6" i="3"/>
  <c r="P3" i="3"/>
  <c r="N3" i="3"/>
  <c r="P4" i="3"/>
  <c r="N4" i="3"/>
  <c r="N5" i="3"/>
  <c r="P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2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Reference only: brochure mentions subscriptions from ₹299. Confirm actual current plan price before management use.</t>
        </r>
      </text>
    </comment>
    <comment ref="B3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5 actual purchase rows in the sample workbook (Jan 1–5, 2026); this is not a monthly production baseline.</t>
        </r>
      </text>
    </comment>
    <comment ref="B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Editable assumption. Verify with CDaX before using as an actual forecast.</t>
        </r>
      </text>
    </comment>
    <comment ref="B5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Illustrative assumption only. Renewal history was not verified in available data.</t>
        </r>
      </text>
    </comment>
    <comment ref="B6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Illustrative price elasticity. Replace with evidence from historical price changes or a controlled experiment.</t>
        </r>
      </text>
    </comment>
    <comment ref="B7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Editable assumption. Verify with CDaX before using as an actual forecast.</t>
        </r>
      </text>
    </comment>
    <comment ref="B8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Editable assumption. Verify with CDaX before using as an actual forecast.</t>
        </r>
      </text>
    </comment>
    <comment ref="B9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Editable assumption. Verify with CDaX before using as an actual forecast.</t>
        </r>
      </text>
    </comment>
    <comment ref="B10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Editable assumption. Verify with CDaX before using as an actual forecast.</t>
        </r>
      </text>
    </comment>
    <comment ref="B11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Editable assumption. Verify with CDaX before using as an actual forecast.</t>
        </r>
      </text>
    </comment>
    <comment ref="B12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Editable assumption. Verify with CDaX before using as an actual forecast.</t>
        </r>
      </text>
    </comment>
    <comment ref="B13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Editable assumption. Verify with CDaX before using as an actual forecast.</t>
        </r>
      </text>
    </comment>
    <comment ref="B14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Editable assumption. Verify with CDaX before using as an actual forecast.</t>
        </r>
      </text>
    </comment>
  </commentList>
</comments>
</file>

<file path=xl/sharedStrings.xml><?xml version="1.0" encoding="utf-8"?>
<sst xmlns="http://schemas.openxmlformats.org/spreadsheetml/2006/main" count="177" uniqueCount="159">
  <si>
    <t>CDaX Pricing Scenario Simulator</t>
  </si>
  <si>
    <t>Purpose</t>
  </si>
  <si>
    <t>Compare current pricing, higher price, lower price, discount, and an annual plan before making a pricing decision.</t>
  </si>
  <si>
    <t>What the files show</t>
  </si>
  <si>
    <t>The sample workbook has 7 course rows, 5 purchase records dated 1–5 Jan 2026, and 3 distinct users. It does not establish a verified current platform subscription price or renewal history.</t>
  </si>
  <si>
    <t>Price reference</t>
  </si>
  <si>
    <t>The CDaX brochure says subscription options start from ₹299. This is used as an editable reference only; confirm the actual current plan price before presenting results as business forecasts.</t>
  </si>
  <si>
    <t>Important price-data warning</t>
  </si>
  <si>
    <t>The Courses sheet has price and discount_price columns with inconsistent-looking values (for example, some price values are lower than discount_price). Course prices are therefore audited separately and are not used as the platform subscription price.</t>
  </si>
  <si>
    <t>How to use</t>
  </si>
  <si>
    <t>1) Open Inputs. Edit yellow cells with verified business values. 2) Review Scenario Simulator. 3) Change scenario assumptions if management proposes different increases/discounts. 4) Review Sensitivity to see how price response changes results.</t>
  </si>
  <si>
    <t>Model method</t>
  </si>
  <si>
    <t>Expected enrollment = baseline enrollment × (scenario effective monthly price ÷ current monthly price) ^ price elasticity. The elasticity value is an assumption until CDaX has enough historical price-change data.</t>
  </si>
  <si>
    <t>Revenue comparison</t>
  </si>
  <si>
    <t>First-year revenue uses 12 monthly payments for monthly plans and the annual plan price for annual plans. Expected renewal revenue is shown separately using the assumed renewal rate.</t>
  </si>
  <si>
    <t>Interpretation</t>
  </si>
  <si>
    <t>The model is useful for comparing assumptions. It cannot prove the actual impact of a price change without real subscription, payment, renewal, traffic, and historical conversion data.</t>
  </si>
  <si>
    <t>Data handling</t>
  </si>
  <si>
    <t>Missing backend values are not invented as historical facts. Any yellow input marked 'illustrative' is a model assumption and should be replaced with verified CDaX values.</t>
  </si>
  <si>
    <t>Input</t>
  </si>
  <si>
    <t>Value</t>
  </si>
  <si>
    <t>Unit</t>
  </si>
  <si>
    <t>Evidence / status</t>
  </si>
  <si>
    <t>How it is used</t>
  </si>
  <si>
    <t>Current monthly plan price</t>
  </si>
  <si>
    <t>INR/month</t>
  </si>
  <si>
    <t>Reference only: brochure says plans start from ₹299; actual current plan price not verified.</t>
  </si>
  <si>
    <t>Baseline price for scenario comparisons.</t>
  </si>
  <si>
    <t>Baseline purchase/enrollment records</t>
  </si>
  <si>
    <t>records in sample</t>
  </si>
  <si>
    <t>Observed: 5 rows in Purchases sheet from 1–5 Jan 2026; not a monthly forecast baseline.</t>
  </si>
  <si>
    <t>Starting enrollment count for the illustrative scenario model.</t>
  </si>
  <si>
    <t>Baseline distinct users</t>
  </si>
  <si>
    <t>students in sample</t>
  </si>
  <si>
    <t>Observed: 3 distinct IDs in Users sheet.</t>
  </si>
  <si>
    <t>Used to show a sample-based student-volume proxy.</t>
  </si>
  <si>
    <t>Baseline renewal rate</t>
  </si>
  <si>
    <t>%</t>
  </si>
  <si>
    <t>Illustrative assumption; no verified renewal history in reviewed files.</t>
  </si>
  <si>
    <t>Used to estimate next-term renewal revenue.</t>
  </si>
  <si>
    <t>Price elasticity</t>
  </si>
  <si>
    <t>elasticity</t>
  </si>
  <si>
    <t>Illustrative assumption; no historical price experiment data.</t>
  </si>
  <si>
    <t>Controls how enrollment changes when effective price changes.</t>
  </si>
  <si>
    <t>Annual plan months charged</t>
  </si>
  <si>
    <t>months paid per year</t>
  </si>
  <si>
    <t>Illustrative offer: 2 months free on a 12-month plan. Change as needed.</t>
  </si>
  <si>
    <t>Annual plan price = monthly price × months charged.</t>
  </si>
  <si>
    <t>Higher-price change</t>
  </si>
  <si>
    <t>Illustrative scenario assumption.</t>
  </si>
  <si>
    <t>Higher price = current price × (1 + change).</t>
  </si>
  <si>
    <t>Lower-price change</t>
  </si>
  <si>
    <t>Lower price = current price × (1 + change).</t>
  </si>
  <si>
    <t>Discount rate</t>
  </si>
  <si>
    <t>Discounted price = current price × (1 − discount).</t>
  </si>
  <si>
    <t>Renewal change: higher price</t>
  </si>
  <si>
    <t>percentage points</t>
  </si>
  <si>
    <t>Illustrative assumption; not measured from CDaX data.</t>
  </si>
  <si>
    <t>Added to baseline renewal rate.</t>
  </si>
  <si>
    <t>Renewal change: lower price</t>
  </si>
  <si>
    <t>Renewal change: discount</t>
  </si>
  <si>
    <t>Renewal change: annual plan</t>
  </si>
  <si>
    <t>Scenario</t>
  </si>
  <si>
    <t>Plan Type</t>
  </si>
  <si>
    <t>Price Change / Offer</t>
  </si>
  <si>
    <t>Price Paid (INR)</t>
  </si>
  <si>
    <t>Effective Monthly Price (INR)</t>
  </si>
  <si>
    <t>Price Index vs Current</t>
  </si>
  <si>
    <t>Modeled New Enrollments</t>
  </si>
  <si>
    <t>Student Volume Proxy</t>
  </si>
  <si>
    <t>Assumed Renewal Rate</t>
  </si>
  <si>
    <t>Revenue: First 12 Months (INR)</t>
  </si>
  <si>
    <t>Expected Renewal Revenue (Next Term) (INR)</t>
  </si>
  <si>
    <t>Total Revenue incl. Expected Renewal (INR)</t>
  </si>
  <si>
    <t>Revenue per Student: First Year (INR)</t>
  </si>
  <si>
    <t>Revenue per Student incl. Renewal (INR)</t>
  </si>
  <si>
    <t>Enrollment Change vs Current</t>
  </si>
  <si>
    <t>Revenue Change vs Current</t>
  </si>
  <si>
    <t>Notes</t>
  </si>
  <si>
    <t>Current price</t>
  </si>
  <si>
    <t>Monthly</t>
  </si>
  <si>
    <t>Baseline comparison; reference price needs confirmation.</t>
  </si>
  <si>
    <t>Higher price</t>
  </si>
  <si>
    <t>Tests a 15% increase; adjust Inputs.</t>
  </si>
  <si>
    <t>Lower price</t>
  </si>
  <si>
    <t>Tests a 15% decrease; adjust Inputs.</t>
  </si>
  <si>
    <t>Discount</t>
  </si>
  <si>
    <t>Tests a promotional discount; adjust Inputs.</t>
  </si>
  <si>
    <t>Annual plan</t>
  </si>
  <si>
    <t>Annual</t>
  </si>
  <si>
    <t>Assumes 12-month access with 2 months free; adjust Inputs.</t>
  </si>
  <si>
    <t>Source Audit &amp; Data Gaps</t>
  </si>
  <si>
    <t>Area</t>
  </si>
  <si>
    <t>Evidence / source</t>
  </si>
  <si>
    <t>Observed data or schema</t>
  </si>
  <si>
    <t>Can it support pricing analysis?</t>
  </si>
  <si>
    <t>Gap / risk</t>
  </si>
  <si>
    <t>Action required</t>
  </si>
  <si>
    <t>Current platform price</t>
  </si>
  <si>
    <t>CDaX brochure PDF</t>
  </si>
  <si>
    <t>Mentions subscription options from ₹299; actual current active plan price not verified.</t>
  </si>
  <si>
    <t>Reference only</t>
  </si>
  <si>
    <t>May refer to a starting tier, not the actual price paid by subscribers.</t>
  </si>
  <si>
    <t>Confirm active plan names, billing period, list price and discounted price.</t>
  </si>
  <si>
    <t>Course catalog prices</t>
  </si>
  <si>
    <t>CDaX PowerBI Data 11.xlsx → Courses</t>
  </si>
  <si>
    <t>7 course rows with price, discount_price and enrolled_students.</t>
  </si>
  <si>
    <t>Not used as platform subscription price</t>
  </si>
  <si>
    <t>Some rows have price lower than discount_price; semantic mapping is unclear.</t>
  </si>
  <si>
    <t>Confirm whether columns are mislabeled or represent different price fields.</t>
  </si>
  <si>
    <t>Purchase/enrollment</t>
  </si>
  <si>
    <t>CDaX PowerBI Data 11.xlsx → Purchases</t>
  </si>
  <si>
    <t>5 purchase rows dated 1–5 Jan 2026; 3 distinct user IDs.</t>
  </si>
  <si>
    <t>Limited sample only</t>
  </si>
  <si>
    <t>No purchase amount, discount, payment status or plan ID in this sheet.</t>
  </si>
  <si>
    <t>Export full production enrollments/purchases joined to payment amounts and plan IDs.</t>
  </si>
  <si>
    <t>Student base</t>
  </si>
  <si>
    <t>CDaX PowerBI Data 11.xlsx → Users</t>
  </si>
  <si>
    <t>3 distinct users in sample workbook.</t>
  </si>
  <si>
    <t>Sample volume only</t>
  </si>
  <si>
    <t>Not a production student count or traffic denominator.</t>
  </si>
  <si>
    <t>Export complete user cohort counts by month.</t>
  </si>
  <si>
    <t>Payments</t>
  </si>
  <si>
    <t>Data Dictionary → Payments</t>
  </si>
  <si>
    <t>Schema concept includes payment_id, student_id, subscription_id; payment amount/status/date fields should be confirmed from SQL.</t>
  </si>
  <si>
    <t>Not yet quantified</t>
  </si>
  <si>
    <t>No verified payment rows or actual revenue history in reviewed sample workbook.</t>
  </si>
  <si>
    <t>Export payment_id, student_id, subscription_id, amount, currency, status, paid_at, refund/discount fields.</t>
  </si>
  <si>
    <t>Subscriptions</t>
  </si>
  <si>
    <t>Data Dictionary → Subscription</t>
  </si>
  <si>
    <t>Schema concept includes subscription_id, student_id, plan_id; plan and subscription lifecycle fields need confirmation.</t>
  </si>
  <si>
    <t>No verified subscription/renewal history in reviewed sample workbook.</t>
  </si>
  <si>
    <t>Export plan_id, plan name/type, price, start/end dates, status, renewal date and cancellation date.</t>
  </si>
  <si>
    <t>Renewals</t>
  </si>
  <si>
    <t>Existing Data Quality Audit + schema summary</t>
  </si>
  <si>
    <t>Renewal history was previously noted as unavailable/not fully verified.</t>
  </si>
  <si>
    <t>No actual renewal rate</t>
  </si>
  <si>
    <t>Workbook uses editable illustrative renewal assumptions.</t>
  </si>
  <si>
    <t>Provide cohort-based renewal/expiry/renewal events by plan and month.</t>
  </si>
  <si>
    <t>Enrollment conversion</t>
  </si>
  <si>
    <t>Event Tracking Specification + sample workbook</t>
  </si>
  <si>
    <t>No verified visitor/checkout funnel denominator found in reviewed sample workbook.</t>
  </si>
  <si>
    <t>Cannot estimate real price response</t>
  </si>
  <si>
    <t>Elasticity is an assumption, not derived from historical price changes.</t>
  </si>
  <si>
    <t>Provide website/app visitors, checkout starts, purchases and price exposure by date/plan.</t>
  </si>
  <si>
    <t>SQL/backend availability</t>
  </si>
  <si>
    <t>Accessible Library files</t>
  </si>
  <si>
    <t>A CDax.zip file is a Power BI package, not a SQL dump. No standalone .sql file was found in the accessible Library listing.</t>
  </si>
  <si>
    <t>Schema references only</t>
  </si>
  <si>
    <t>Cannot claim a fresh full SQL review from an unavailable SQL dump.</t>
  </si>
  <si>
    <t>If needed, reattach the SQL file or export read-only results for pricing, payment and subscription tables.</t>
  </si>
  <si>
    <t>Model assumptions</t>
  </si>
  <si>
    <t>Inputs sheet</t>
  </si>
  <si>
    <t>Price elasticity, renewal rates, price changes and annual discount are editable illustrative assumptions.</t>
  </si>
  <si>
    <t>Suitable for what-if scenarios</t>
  </si>
  <si>
    <t>Results are not actual forecasts until assumptions are calibrated.</t>
  </si>
  <si>
    <t>Run a controlled price experiment and update assumptions with observed outcomes.</t>
  </si>
  <si>
    <t>Column1</t>
  </si>
  <si>
    <t>Column2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</si>
</sst>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₹#,##0.00"/>
    <numFmt numFmtId="165" formatCode="0.0%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Aptos Display"/>
      <family val="2"/>
    </font>
    <font>
      <sz val="10"/>
      <name val="Aptos"/>
      <family val="2"/>
    </font>
    <font>
      <b/>
      <sz val="16"/>
      <color theme="1"/>
      <name val="Aptos Display"/>
      <family val="2"/>
    </font>
    <font>
      <sz val="12"/>
      <name val="Aptos"/>
      <family val="2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1" xfId="0" applyBorder="1"/>
    <xf numFmtId="0" fontId="0" fillId="0" borderId="1" xfId="0" applyBorder="1" applyAlignment="1"/>
    <xf numFmtId="0" fontId="1" fillId="2" borderId="1" xfId="0" applyFont="1" applyFill="1" applyBorder="1" applyAlignment="1">
      <alignment vertical="center"/>
    </xf>
    <xf numFmtId="0" fontId="0" fillId="0" borderId="1" xfId="0" applyFill="1" applyBorder="1" applyAlignment="1"/>
    <xf numFmtId="0" fontId="2" fillId="0" borderId="4" xfId="0" applyFont="1" applyFill="1" applyBorder="1" applyAlignment="1">
      <alignment horizontal="left" vertical="top" wrapText="1"/>
    </xf>
    <xf numFmtId="0" fontId="2" fillId="0" borderId="5" xfId="0" applyFont="1" applyFill="1" applyBorder="1" applyAlignment="1">
      <alignment horizontal="left" vertical="top"/>
    </xf>
    <xf numFmtId="0" fontId="2" fillId="0" borderId="5" xfId="0" applyFont="1" applyFill="1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165" fontId="0" fillId="0" borderId="1" xfId="0" applyNumberFormat="1" applyBorder="1" applyAlignment="1">
      <alignment horizontal="left" vertical="top"/>
    </xf>
    <xf numFmtId="164" fontId="0" fillId="0" borderId="1" xfId="0" applyNumberFormat="1" applyBorder="1" applyAlignment="1">
      <alignment horizontal="left" vertical="top"/>
    </xf>
    <xf numFmtId="1" fontId="0" fillId="0" borderId="1" xfId="0" applyNumberForma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0" fillId="0" borderId="8" xfId="0" applyBorder="1" applyAlignment="1">
      <alignment horizontal="left" vertical="top"/>
    </xf>
    <xf numFmtId="165" fontId="0" fillId="0" borderId="8" xfId="0" applyNumberFormat="1" applyBorder="1" applyAlignment="1">
      <alignment horizontal="left" vertical="top"/>
    </xf>
    <xf numFmtId="164" fontId="0" fillId="0" borderId="8" xfId="0" applyNumberFormat="1" applyBorder="1" applyAlignment="1">
      <alignment horizontal="left" vertical="top"/>
    </xf>
    <xf numFmtId="1" fontId="0" fillId="0" borderId="8" xfId="0" applyNumberFormat="1" applyBorder="1" applyAlignment="1">
      <alignment horizontal="left" vertical="top"/>
    </xf>
    <xf numFmtId="0" fontId="0" fillId="0" borderId="1" xfId="0" applyBorder="1" applyAlignment="1">
      <alignment wrapText="1"/>
    </xf>
    <xf numFmtId="0" fontId="0" fillId="0" borderId="1" xfId="0" applyFill="1" applyBorder="1"/>
    <xf numFmtId="165" fontId="0" fillId="0" borderId="1" xfId="0" applyNumberFormat="1" applyFill="1" applyBorder="1" applyAlignment="1"/>
    <xf numFmtId="0" fontId="2" fillId="3" borderId="4" xfId="0" applyFont="1" applyFill="1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3" fillId="0" borderId="1" xfId="0" applyFont="1" applyFill="1" applyBorder="1" applyAlignment="1">
      <alignment vertical="center"/>
    </xf>
    <xf numFmtId="0" fontId="4" fillId="0" borderId="4" xfId="0" applyFont="1" applyFill="1" applyBorder="1" applyAlignment="1">
      <alignment vertical="center"/>
    </xf>
    <xf numFmtId="0" fontId="4" fillId="0" borderId="5" xfId="0" applyFont="1" applyFill="1" applyBorder="1" applyAlignment="1">
      <alignment vertical="center" wrapText="1"/>
    </xf>
    <xf numFmtId="0" fontId="4" fillId="0" borderId="5" xfId="0" applyFont="1" applyFill="1" applyBorder="1" applyAlignment="1">
      <alignment vertical="center"/>
    </xf>
    <xf numFmtId="0" fontId="4" fillId="0" borderId="6" xfId="0" applyFont="1" applyFill="1" applyBorder="1" applyAlignment="1">
      <alignment vertical="center" wrapText="1"/>
    </xf>
    <xf numFmtId="0" fontId="5" fillId="0" borderId="2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/>
    </xf>
    <xf numFmtId="0" fontId="5" fillId="0" borderId="3" xfId="0" applyFont="1" applyBorder="1" applyAlignment="1">
      <alignment vertical="top" wrapText="1"/>
    </xf>
    <xf numFmtId="0" fontId="5" fillId="0" borderId="1" xfId="0" applyFont="1" applyFill="1" applyBorder="1" applyAlignment="1">
      <alignment vertical="top" wrapText="1"/>
    </xf>
    <xf numFmtId="0" fontId="5" fillId="0" borderId="7" xfId="0" applyFont="1" applyBorder="1" applyAlignment="1">
      <alignment vertical="top"/>
    </xf>
    <xf numFmtId="0" fontId="5" fillId="0" borderId="8" xfId="0" applyFont="1" applyBorder="1" applyAlignment="1">
      <alignment vertical="top" wrapText="1"/>
    </xf>
    <xf numFmtId="0" fontId="5" fillId="0" borderId="8" xfId="0" applyFont="1" applyBorder="1" applyAlignment="1">
      <alignment vertical="top"/>
    </xf>
    <xf numFmtId="0" fontId="5" fillId="0" borderId="9" xfId="0" applyFont="1" applyBorder="1" applyAlignment="1">
      <alignment vertical="top" wrapText="1"/>
    </xf>
    <xf numFmtId="0" fontId="4" fillId="0" borderId="5" xfId="0" applyFont="1" applyFill="1" applyBorder="1" applyAlignment="1">
      <alignment horizontal="left" vertical="top" wrapText="1"/>
    </xf>
    <xf numFmtId="0" fontId="4" fillId="0" borderId="6" xfId="0" applyFont="1" applyFill="1" applyBorder="1" applyAlignment="1">
      <alignment horizontal="left" vertical="top" wrapText="1"/>
    </xf>
    <xf numFmtId="164" fontId="5" fillId="0" borderId="1" xfId="0" applyNumberFormat="1" applyFont="1" applyBorder="1" applyAlignment="1">
      <alignment horizontal="left" vertical="top"/>
    </xf>
    <xf numFmtId="165" fontId="5" fillId="0" borderId="1" xfId="0" applyNumberFormat="1" applyFont="1" applyBorder="1" applyAlignment="1">
      <alignment horizontal="left" vertical="top"/>
    </xf>
    <xf numFmtId="0" fontId="5" fillId="0" borderId="3" xfId="0" applyFont="1" applyBorder="1" applyAlignment="1">
      <alignment horizontal="left" vertical="top"/>
    </xf>
    <xf numFmtId="164" fontId="5" fillId="0" borderId="8" xfId="0" applyNumberFormat="1" applyFont="1" applyBorder="1" applyAlignment="1">
      <alignment horizontal="left" vertical="top"/>
    </xf>
    <xf numFmtId="165" fontId="5" fillId="0" borderId="8" xfId="0" applyNumberFormat="1" applyFont="1" applyBorder="1" applyAlignment="1">
      <alignment horizontal="left" vertical="top"/>
    </xf>
    <xf numFmtId="0" fontId="5" fillId="0" borderId="9" xfId="0" applyFont="1" applyBorder="1" applyAlignment="1">
      <alignment horizontal="left" vertical="top"/>
    </xf>
    <xf numFmtId="0" fontId="4" fillId="0" borderId="6" xfId="0" applyFont="1" applyFill="1" applyBorder="1" applyAlignment="1">
      <alignment vertical="center"/>
    </xf>
    <xf numFmtId="164" fontId="4" fillId="0" borderId="1" xfId="0" applyNumberFormat="1" applyFont="1" applyFill="1" applyBorder="1" applyAlignment="1">
      <alignment vertical="top"/>
    </xf>
    <xf numFmtId="0" fontId="5" fillId="0" borderId="3" xfId="0" applyFont="1" applyBorder="1" applyAlignment="1">
      <alignment vertical="top"/>
    </xf>
    <xf numFmtId="1" fontId="4" fillId="0" borderId="1" xfId="0" applyNumberFormat="1" applyFont="1" applyFill="1" applyBorder="1" applyAlignment="1">
      <alignment vertical="top"/>
    </xf>
    <xf numFmtId="165" fontId="4" fillId="0" borderId="1" xfId="0" applyNumberFormat="1" applyFont="1" applyFill="1" applyBorder="1" applyAlignment="1">
      <alignment vertical="top"/>
    </xf>
    <xf numFmtId="2" fontId="4" fillId="0" borderId="1" xfId="0" applyNumberFormat="1" applyFont="1" applyFill="1" applyBorder="1" applyAlignment="1">
      <alignment vertical="top"/>
    </xf>
    <xf numFmtId="165" fontId="4" fillId="0" borderId="8" xfId="0" applyNumberFormat="1" applyFont="1" applyFill="1" applyBorder="1" applyAlignment="1">
      <alignment vertical="top"/>
    </xf>
    <xf numFmtId="0" fontId="5" fillId="0" borderId="9" xfId="0" applyFont="1" applyBorder="1" applyAlignment="1">
      <alignment vertical="top"/>
    </xf>
    <xf numFmtId="0" fontId="4" fillId="0" borderId="2" xfId="0" applyFont="1" applyFill="1" applyBorder="1" applyAlignment="1">
      <alignment vertical="top" wrapText="1"/>
    </xf>
    <xf numFmtId="0" fontId="4" fillId="0" borderId="7" xfId="0" applyFont="1" applyFill="1" applyBorder="1" applyAlignment="1">
      <alignment vertical="top" wrapText="1"/>
    </xf>
  </cellXfs>
  <cellStyles count="1">
    <cellStyle name="Normal" xfId="0" builtinId="0"/>
  </cellStyles>
  <dxfs count="49">
    <dxf>
      <font>
        <strike val="0"/>
        <outline val="0"/>
        <shadow val="0"/>
        <u val="none"/>
        <vertAlign val="baseline"/>
        <sz val="12"/>
        <family val="2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</font>
      <alignment horizontal="general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  <alignment horizontal="general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  <alignment horizontal="general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  <alignment horizontal="general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  <alignment horizontal="general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  <alignment horizontal="general" vertical="top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</font>
      <alignment horizontal="general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</font>
      <alignment horizontal="general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  <alignment horizontal="general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  <alignment horizontal="general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numFmt numFmtId="165" formatCode="0.0%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  <alignment horizontal="general" vertical="top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  <numFmt numFmtId="165" formatCode="0.0%"/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  <numFmt numFmtId="165" formatCode="0.0%"/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  <numFmt numFmtId="164" formatCode="\₹#,##0.00"/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  <numFmt numFmtId="164" formatCode="\₹#,##0.00"/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  <numFmt numFmtId="164" formatCode="\₹#,##0.00"/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  <numFmt numFmtId="164" formatCode="\₹#,##0.00"/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  <numFmt numFmtId="164" formatCode="\₹#,##0.00"/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%"/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" formatCode="0"/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%"/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\₹#,##0.00"/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\₹#,##0.00"/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%"/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top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3EA0751-1DC6-4163-B6A0-AF1A616DB94F}" name="Table6" displayName="Table6" ref="A2:B11" totalsRowShown="0" dataDxfId="8" headerRowBorderDxfId="28" tableBorderDxfId="29" totalsRowBorderDxfId="27">
  <autoFilter ref="A2:B11" xr:uid="{A3EA0751-1DC6-4163-B6A0-AF1A616DB94F}"/>
  <tableColumns count="2">
    <tableColumn id="1" xr3:uid="{16116733-F5C3-41DF-B3F1-F518804027B8}" name="Column1" dataDxfId="10"/>
    <tableColumn id="2" xr3:uid="{13219AD5-B987-476A-B3BD-E1C398B2F203}" name="Column2" dataDxfId="9"/>
  </tableColumns>
  <tableStyleInfo name="TableStyleMedium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0A29AD8-E146-4E0E-9AF7-983733D0264E}" name="Table3" displayName="Table3" ref="A1:E14" totalsRowShown="0" headerRowDxfId="12" dataDxfId="11" headerRowBorderDxfId="47" tableBorderDxfId="48" totalsRowBorderDxfId="46">
  <autoFilter ref="A1:E14" xr:uid="{D0A29AD8-E146-4E0E-9AF7-983733D0264E}"/>
  <tableColumns count="5">
    <tableColumn id="1" xr3:uid="{6C750D59-325B-4501-A0B5-759F639DEECE}" name="Input" dataDxfId="17"/>
    <tableColumn id="2" xr3:uid="{3CD8AFD4-06E7-43D2-BEF9-2383934EADEC}" name="Value" dataDxfId="16"/>
    <tableColumn id="3" xr3:uid="{59CEB587-9C16-45F3-9216-2D3AB669412A}" name="Unit" dataDxfId="15"/>
    <tableColumn id="4" xr3:uid="{13F5BE08-043A-499F-80AB-4CAD65597384}" name="Evidence / status" dataDxfId="14"/>
    <tableColumn id="5" xr3:uid="{3B0791D4-36D0-4C67-BAD8-B62B78B34447}" name="How it is used" dataDxfId="13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E42215-E2B9-4EDD-9E83-F4DECC4EA26F}" name="Table4" displayName="Table4" ref="A1:Q6" totalsRowShown="0" headerRowDxfId="34" dataDxfId="33" headerRowBorderDxfId="44" tableBorderDxfId="45" totalsRowBorderDxfId="43">
  <autoFilter ref="A1:Q6" xr:uid="{00000000-0009-0000-0000-000002000000}"/>
  <tableColumns count="17">
    <tableColumn id="1" xr3:uid="{D344C3D9-A8DB-438A-B109-653CCE31CD29}" name="Scenario" dataDxfId="42"/>
    <tableColumn id="2" xr3:uid="{828388BD-0A91-4367-967B-1BB6CFBAFC93}" name="Plan Type" dataDxfId="41"/>
    <tableColumn id="3" xr3:uid="{A5577305-82D8-4533-BC2B-C065AC47D722}" name="Price Change / Offer" dataDxfId="40"/>
    <tableColumn id="4" xr3:uid="{5004DA67-3429-4F94-B328-8B67A4FF3B58}" name="Price Paid (INR)" dataDxfId="39"/>
    <tableColumn id="5" xr3:uid="{CFF2FEE2-3F67-4D3E-AB6C-D32DCA516C7C}" name="Effective Monthly Price (INR)" dataDxfId="38"/>
    <tableColumn id="6" xr3:uid="{9E7CD8DA-1515-49DA-AD17-3D6E8C246D1F}" name="Price Index vs Current" dataDxfId="37"/>
    <tableColumn id="7" xr3:uid="{C74D8B35-0EC2-478F-A8C6-D623BDD821ED}" name="Modeled New Enrollments" dataDxfId="36"/>
    <tableColumn id="8" xr3:uid="{C9245500-F7CC-499C-88A7-98C8FB343B4D}" name="Student Volume Proxy" dataDxfId="35"/>
    <tableColumn id="9" xr3:uid="{2FFF0407-5CE7-4FED-BDDB-D2161901527B}" name="Assumed Renewal Rate" dataDxfId="26"/>
    <tableColumn id="10" xr3:uid="{F46E7523-51C9-454F-9F8C-663B0506F02A}" name="Revenue: First 12 Months (INR)" dataDxfId="25">
      <calculatedColumnFormula>G2*E2*12</calculatedColumnFormula>
    </tableColumn>
    <tableColumn id="11" xr3:uid="{46A3A598-C089-4826-A7DA-C989574B29CB}" name="Expected Renewal Revenue (Next Term) (INR)" dataDxfId="24">
      <calculatedColumnFormula>G2*I2*E2*12</calculatedColumnFormula>
    </tableColumn>
    <tableColumn id="12" xr3:uid="{7F5A122D-C85F-477A-8762-B4121508C9FD}" name="Total Revenue incl. Expected Renewal (INR)" dataDxfId="23">
      <calculatedColumnFormula>J2+K2</calculatedColumnFormula>
    </tableColumn>
    <tableColumn id="13" xr3:uid="{B5B97B63-A072-4602-866F-A16F00EB09AA}" name="Revenue per Student: First Year (INR)" dataDxfId="22">
      <calculatedColumnFormula>IFERROR(J2/G2,0)</calculatedColumnFormula>
    </tableColumn>
    <tableColumn id="14" xr3:uid="{063CB5B4-C18A-4C2A-A891-E1BF24A8728A}" name="Revenue per Student incl. Renewal (INR)" dataDxfId="21">
      <calculatedColumnFormula>IFERROR(L2/G2,0)</calculatedColumnFormula>
    </tableColumn>
    <tableColumn id="15" xr3:uid="{823C6BA1-639D-437D-81FD-C69897D758CF}" name="Enrollment Change vs Current" dataDxfId="20">
      <calculatedColumnFormula>IFERROR(G2/G$2-1,0)</calculatedColumnFormula>
    </tableColumn>
    <tableColumn id="16" xr3:uid="{9B75AADD-FF05-4CAC-84DD-E7E52B55DD4B}" name="Revenue Change vs Current" dataDxfId="19">
      <calculatedColumnFormula>IFERROR(L2/L$2-1,0)</calculatedColumnFormula>
    </tableColumn>
    <tableColumn id="17" xr3:uid="{33B5E971-6CDC-42D1-91EE-6E30E0C1FEF7}" name="Notes" dataDxfId="18"/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EFC6C92-A3FF-4932-8D44-ACCA987C51A8}" name="Table5" displayName="Table5" ref="A3:F13" totalsRowShown="0" headerRowDxfId="1" dataDxfId="0" headerRowBorderDxfId="31" tableBorderDxfId="32" totalsRowBorderDxfId="30">
  <autoFilter ref="A3:F13" xr:uid="{00000000-0009-0000-0000-000004000000}"/>
  <tableColumns count="6">
    <tableColumn id="1" xr3:uid="{3E90FCC1-4B6C-45A1-B73C-57216BE0697F}" name="Area" dataDxfId="7"/>
    <tableColumn id="2" xr3:uid="{1E82F628-E3FA-438E-9371-397F48C3A269}" name="Evidence / source" dataDxfId="6"/>
    <tableColumn id="3" xr3:uid="{DD34BDA1-7C12-4EBB-90D6-06B10832F019}" name="Observed data or schema" dataDxfId="5"/>
    <tableColumn id="4" xr3:uid="{A18E6876-B7A8-46BF-A674-C8B350FEBA67}" name="Can it support pricing analysis?" dataDxfId="4"/>
    <tableColumn id="5" xr3:uid="{DF7222A7-CE4B-4E5D-90B0-AAC84F45A820}" name="Gap / risk" dataDxfId="3"/>
    <tableColumn id="6" xr3:uid="{45ADEDCC-5DB2-42BE-8686-EB9A6BDADEB5}" name="Action required" dataDxfId="2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11"/>
  <sheetViews>
    <sheetView showGridLines="0" workbookViewId="0">
      <pane ySplit="1" topLeftCell="A3" activePane="bottomLeft" state="frozen"/>
      <selection pane="bottomLeft" activeCell="D6" sqref="D6"/>
    </sheetView>
  </sheetViews>
  <sheetFormatPr defaultRowHeight="14.4" x14ac:dyDescent="0.3"/>
  <cols>
    <col min="1" max="1" width="43.33203125" style="1" bestFit="1" customWidth="1"/>
    <col min="2" max="2" width="82.33203125" style="1" bestFit="1" customWidth="1"/>
    <col min="3" max="6" width="19" style="1" customWidth="1"/>
    <col min="7" max="16384" width="8.88671875" style="1"/>
  </cols>
  <sheetData>
    <row r="1" spans="1:6" ht="30" customHeight="1" x14ac:dyDescent="0.3">
      <c r="A1" s="3" t="s">
        <v>0</v>
      </c>
      <c r="B1" s="2"/>
      <c r="C1" s="2"/>
      <c r="D1" s="2"/>
      <c r="E1" s="2"/>
      <c r="F1" s="2"/>
    </row>
    <row r="2" spans="1:6" ht="42" hidden="1" customHeight="1" x14ac:dyDescent="0.3">
      <c r="A2" s="21" t="s">
        <v>157</v>
      </c>
      <c r="B2" s="22" t="s">
        <v>158</v>
      </c>
      <c r="C2" s="2"/>
      <c r="D2" s="2"/>
      <c r="E2" s="2"/>
      <c r="F2" s="2"/>
    </row>
    <row r="3" spans="1:6" ht="42" customHeight="1" x14ac:dyDescent="0.3">
      <c r="A3" s="53" t="s">
        <v>1</v>
      </c>
      <c r="B3" s="31" t="s">
        <v>2</v>
      </c>
      <c r="C3" s="2"/>
      <c r="D3" s="2"/>
      <c r="E3" s="2"/>
      <c r="F3" s="2"/>
    </row>
    <row r="4" spans="1:6" ht="42" customHeight="1" x14ac:dyDescent="0.3">
      <c r="A4" s="53" t="s">
        <v>3</v>
      </c>
      <c r="B4" s="31" t="s">
        <v>4</v>
      </c>
      <c r="C4" s="2"/>
      <c r="D4" s="2"/>
      <c r="E4" s="2"/>
      <c r="F4" s="2"/>
    </row>
    <row r="5" spans="1:6" ht="49.95" customHeight="1" x14ac:dyDescent="0.3">
      <c r="A5" s="53" t="s">
        <v>5</v>
      </c>
      <c r="B5" s="31" t="s">
        <v>6</v>
      </c>
      <c r="C5" s="2"/>
      <c r="D5" s="2"/>
      <c r="E5" s="2"/>
      <c r="F5" s="2"/>
    </row>
    <row r="6" spans="1:6" ht="49.95" customHeight="1" x14ac:dyDescent="0.3">
      <c r="A6" s="53" t="s">
        <v>7</v>
      </c>
      <c r="B6" s="31" t="s">
        <v>8</v>
      </c>
      <c r="C6" s="2"/>
      <c r="D6" s="2"/>
      <c r="E6" s="2"/>
      <c r="F6" s="2"/>
    </row>
    <row r="7" spans="1:6" ht="49.95" customHeight="1" x14ac:dyDescent="0.3">
      <c r="A7" s="53" t="s">
        <v>9</v>
      </c>
      <c r="B7" s="31" t="s">
        <v>10</v>
      </c>
      <c r="C7" s="2"/>
      <c r="D7" s="2"/>
      <c r="E7" s="2"/>
      <c r="F7" s="2"/>
    </row>
    <row r="8" spans="1:6" ht="49.95" customHeight="1" x14ac:dyDescent="0.3">
      <c r="A8" s="53" t="s">
        <v>11</v>
      </c>
      <c r="B8" s="31" t="s">
        <v>12</v>
      </c>
      <c r="C8" s="2"/>
      <c r="D8" s="2"/>
      <c r="E8" s="2"/>
      <c r="F8" s="2"/>
    </row>
    <row r="9" spans="1:6" ht="49.95" customHeight="1" x14ac:dyDescent="0.3">
      <c r="A9" s="53" t="s">
        <v>13</v>
      </c>
      <c r="B9" s="31" t="s">
        <v>14</v>
      </c>
      <c r="C9" s="2"/>
      <c r="D9" s="2"/>
      <c r="E9" s="2"/>
      <c r="F9" s="2"/>
    </row>
    <row r="10" spans="1:6" ht="42" customHeight="1" x14ac:dyDescent="0.3">
      <c r="A10" s="53" t="s">
        <v>15</v>
      </c>
      <c r="B10" s="31" t="s">
        <v>16</v>
      </c>
      <c r="C10" s="2"/>
      <c r="D10" s="2"/>
      <c r="E10" s="2"/>
      <c r="F10" s="2"/>
    </row>
    <row r="11" spans="1:6" ht="31.2" x14ac:dyDescent="0.3">
      <c r="A11" s="54" t="s">
        <v>17</v>
      </c>
      <c r="B11" s="36" t="s">
        <v>18</v>
      </c>
    </row>
  </sheetData>
  <pageMargins left="0.25" right="0.25" top="0.5" bottom="0.5" header="0.5" footer="0.5"/>
  <pageSetup fitToHeight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E15"/>
  <sheetViews>
    <sheetView showGridLines="0" workbookViewId="0">
      <pane ySplit="1" topLeftCell="A2" activePane="bottomLeft" state="frozen"/>
      <selection pane="bottomLeft" sqref="A1:E14"/>
    </sheetView>
  </sheetViews>
  <sheetFormatPr defaultRowHeight="14.4" x14ac:dyDescent="0.3"/>
  <cols>
    <col min="1" max="1" width="32.33203125" style="2" bestFit="1" customWidth="1"/>
    <col min="2" max="2" width="9" style="4" bestFit="1" customWidth="1"/>
    <col min="3" max="3" width="18.33203125" style="2" bestFit="1" customWidth="1"/>
    <col min="4" max="4" width="76" style="2" bestFit="1" customWidth="1"/>
    <col min="5" max="5" width="53.88671875" style="2" bestFit="1" customWidth="1"/>
    <col min="6" max="16384" width="8.88671875" style="2"/>
  </cols>
  <sheetData>
    <row r="1" spans="1:5" s="4" customFormat="1" ht="15.6" x14ac:dyDescent="0.3">
      <c r="A1" s="24" t="s">
        <v>19</v>
      </c>
      <c r="B1" s="26" t="s">
        <v>20</v>
      </c>
      <c r="C1" s="26" t="s">
        <v>21</v>
      </c>
      <c r="D1" s="26" t="s">
        <v>22</v>
      </c>
      <c r="E1" s="45" t="s">
        <v>23</v>
      </c>
    </row>
    <row r="2" spans="1:5" ht="15.6" x14ac:dyDescent="0.3">
      <c r="A2" s="28" t="s">
        <v>24</v>
      </c>
      <c r="B2" s="46">
        <v>299</v>
      </c>
      <c r="C2" s="30" t="s">
        <v>25</v>
      </c>
      <c r="D2" s="30" t="s">
        <v>26</v>
      </c>
      <c r="E2" s="47" t="s">
        <v>27</v>
      </c>
    </row>
    <row r="3" spans="1:5" ht="15.6" x14ac:dyDescent="0.3">
      <c r="A3" s="28" t="s">
        <v>28</v>
      </c>
      <c r="B3" s="48">
        <v>5</v>
      </c>
      <c r="C3" s="30" t="s">
        <v>29</v>
      </c>
      <c r="D3" s="30" t="s">
        <v>30</v>
      </c>
      <c r="E3" s="47" t="s">
        <v>31</v>
      </c>
    </row>
    <row r="4" spans="1:5" ht="15.6" x14ac:dyDescent="0.3">
      <c r="A4" s="28" t="s">
        <v>32</v>
      </c>
      <c r="B4" s="48">
        <v>3</v>
      </c>
      <c r="C4" s="30" t="s">
        <v>33</v>
      </c>
      <c r="D4" s="30" t="s">
        <v>34</v>
      </c>
      <c r="E4" s="47" t="s">
        <v>35</v>
      </c>
    </row>
    <row r="5" spans="1:5" ht="15.6" x14ac:dyDescent="0.3">
      <c r="A5" s="28" t="s">
        <v>36</v>
      </c>
      <c r="B5" s="49">
        <v>0.3</v>
      </c>
      <c r="C5" s="30" t="s">
        <v>37</v>
      </c>
      <c r="D5" s="30" t="s">
        <v>38</v>
      </c>
      <c r="E5" s="47" t="s">
        <v>39</v>
      </c>
    </row>
    <row r="6" spans="1:5" ht="15.6" x14ac:dyDescent="0.3">
      <c r="A6" s="28" t="s">
        <v>40</v>
      </c>
      <c r="B6" s="50">
        <v>-1</v>
      </c>
      <c r="C6" s="30" t="s">
        <v>41</v>
      </c>
      <c r="D6" s="30" t="s">
        <v>42</v>
      </c>
      <c r="E6" s="47" t="s">
        <v>43</v>
      </c>
    </row>
    <row r="7" spans="1:5" ht="15.6" x14ac:dyDescent="0.3">
      <c r="A7" s="28" t="s">
        <v>44</v>
      </c>
      <c r="B7" s="48">
        <v>10</v>
      </c>
      <c r="C7" s="30" t="s">
        <v>45</v>
      </c>
      <c r="D7" s="30" t="s">
        <v>46</v>
      </c>
      <c r="E7" s="47" t="s">
        <v>47</v>
      </c>
    </row>
    <row r="8" spans="1:5" ht="15.6" x14ac:dyDescent="0.3">
      <c r="A8" s="28" t="s">
        <v>48</v>
      </c>
      <c r="B8" s="49">
        <v>0.15</v>
      </c>
      <c r="C8" s="30" t="s">
        <v>37</v>
      </c>
      <c r="D8" s="30" t="s">
        <v>49</v>
      </c>
      <c r="E8" s="47" t="s">
        <v>50</v>
      </c>
    </row>
    <row r="9" spans="1:5" ht="15.6" x14ac:dyDescent="0.3">
      <c r="A9" s="28" t="s">
        <v>51</v>
      </c>
      <c r="B9" s="49">
        <v>-0.15</v>
      </c>
      <c r="C9" s="30" t="s">
        <v>37</v>
      </c>
      <c r="D9" s="30" t="s">
        <v>49</v>
      </c>
      <c r="E9" s="47" t="s">
        <v>52</v>
      </c>
    </row>
    <row r="10" spans="1:5" ht="15.6" x14ac:dyDescent="0.3">
      <c r="A10" s="28" t="s">
        <v>53</v>
      </c>
      <c r="B10" s="49">
        <v>0.2</v>
      </c>
      <c r="C10" s="30" t="s">
        <v>37</v>
      </c>
      <c r="D10" s="30" t="s">
        <v>49</v>
      </c>
      <c r="E10" s="47" t="s">
        <v>54</v>
      </c>
    </row>
    <row r="11" spans="1:5" ht="15.6" x14ac:dyDescent="0.3">
      <c r="A11" s="28" t="s">
        <v>55</v>
      </c>
      <c r="B11" s="49">
        <v>-0.03</v>
      </c>
      <c r="C11" s="30" t="s">
        <v>56</v>
      </c>
      <c r="D11" s="30" t="s">
        <v>57</v>
      </c>
      <c r="E11" s="47" t="s">
        <v>58</v>
      </c>
    </row>
    <row r="12" spans="1:5" ht="15.6" x14ac:dyDescent="0.3">
      <c r="A12" s="28" t="s">
        <v>59</v>
      </c>
      <c r="B12" s="49">
        <v>0.03</v>
      </c>
      <c r="C12" s="30" t="s">
        <v>56</v>
      </c>
      <c r="D12" s="30" t="s">
        <v>57</v>
      </c>
      <c r="E12" s="47" t="s">
        <v>58</v>
      </c>
    </row>
    <row r="13" spans="1:5" ht="15.6" x14ac:dyDescent="0.3">
      <c r="A13" s="28" t="s">
        <v>60</v>
      </c>
      <c r="B13" s="49">
        <v>0.02</v>
      </c>
      <c r="C13" s="30" t="s">
        <v>56</v>
      </c>
      <c r="D13" s="30" t="s">
        <v>57</v>
      </c>
      <c r="E13" s="47" t="s">
        <v>58</v>
      </c>
    </row>
    <row r="14" spans="1:5" ht="15.6" x14ac:dyDescent="0.3">
      <c r="A14" s="33" t="s">
        <v>61</v>
      </c>
      <c r="B14" s="51">
        <v>0.05</v>
      </c>
      <c r="C14" s="35" t="s">
        <v>56</v>
      </c>
      <c r="D14" s="35" t="s">
        <v>57</v>
      </c>
      <c r="E14" s="52" t="s">
        <v>58</v>
      </c>
    </row>
    <row r="15" spans="1:5" x14ac:dyDescent="0.3">
      <c r="B15" s="20"/>
    </row>
  </sheetData>
  <pageMargins left="0.25" right="0.25" top="0.5" bottom="0.5" header="0.5" footer="0.5"/>
  <pageSetup fitToHeight="0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Q6"/>
  <sheetViews>
    <sheetView showGridLines="0" topLeftCell="J1" workbookViewId="0">
      <pane ySplit="1" topLeftCell="A2" activePane="bottomLeft" state="frozen"/>
      <selection pane="bottomLeft" activeCell="L6" sqref="L6"/>
    </sheetView>
  </sheetViews>
  <sheetFormatPr defaultRowHeight="14.4" x14ac:dyDescent="0.3"/>
  <cols>
    <col min="1" max="1" width="11.5546875" style="2" bestFit="1" customWidth="1"/>
    <col min="2" max="2" width="11.33203125" style="2" bestFit="1" customWidth="1"/>
    <col min="3" max="3" width="14.44140625" style="2" bestFit="1" customWidth="1"/>
    <col min="4" max="4" width="11.6640625" style="2" bestFit="1" customWidth="1"/>
    <col min="5" max="5" width="14.88671875" style="2" bestFit="1" customWidth="1"/>
    <col min="6" max="9" width="14.77734375" style="2" bestFit="1" customWidth="1"/>
    <col min="10" max="10" width="17.77734375" style="2" bestFit="1" customWidth="1"/>
    <col min="11" max="11" width="25.44140625" style="2" bestFit="1" customWidth="1"/>
    <col min="12" max="12" width="23.6640625" style="2" bestFit="1" customWidth="1"/>
    <col min="13" max="13" width="21.5546875" style="2" bestFit="1" customWidth="1"/>
    <col min="14" max="14" width="25.21875" style="2" bestFit="1" customWidth="1"/>
    <col min="15" max="15" width="19.88671875" style="2" bestFit="1" customWidth="1"/>
    <col min="16" max="16" width="12" style="2" bestFit="1" customWidth="1"/>
    <col min="17" max="17" width="51" style="2" bestFit="1" customWidth="1"/>
    <col min="18" max="16384" width="8.88671875" style="2"/>
  </cols>
  <sheetData>
    <row r="1" spans="1:17" s="4" customFormat="1" ht="46.8" x14ac:dyDescent="0.3">
      <c r="A1" s="5" t="s">
        <v>62</v>
      </c>
      <c r="B1" s="6" t="s">
        <v>63</v>
      </c>
      <c r="C1" s="7" t="s">
        <v>64</v>
      </c>
      <c r="D1" s="7" t="s">
        <v>65</v>
      </c>
      <c r="E1" s="7" t="s">
        <v>66</v>
      </c>
      <c r="F1" s="7" t="s">
        <v>67</v>
      </c>
      <c r="G1" s="7" t="s">
        <v>68</v>
      </c>
      <c r="H1" s="7" t="s">
        <v>69</v>
      </c>
      <c r="I1" s="7" t="s">
        <v>70</v>
      </c>
      <c r="J1" s="37" t="s">
        <v>71</v>
      </c>
      <c r="K1" s="37" t="s">
        <v>72</v>
      </c>
      <c r="L1" s="37" t="s">
        <v>73</v>
      </c>
      <c r="M1" s="37" t="s">
        <v>74</v>
      </c>
      <c r="N1" s="37" t="s">
        <v>75</v>
      </c>
      <c r="O1" s="37" t="s">
        <v>76</v>
      </c>
      <c r="P1" s="37" t="s">
        <v>77</v>
      </c>
      <c r="Q1" s="38" t="s">
        <v>78</v>
      </c>
    </row>
    <row r="2" spans="1:17" ht="15.6" x14ac:dyDescent="0.3">
      <c r="A2" s="8" t="s">
        <v>79</v>
      </c>
      <c r="B2" s="9" t="s">
        <v>80</v>
      </c>
      <c r="C2" s="10">
        <v>0</v>
      </c>
      <c r="D2" s="11">
        <f>Inputs!B2</f>
        <v>299</v>
      </c>
      <c r="E2" s="11">
        <f>D2</f>
        <v>299</v>
      </c>
      <c r="F2" s="10">
        <f>E2/Inputs!B2</f>
        <v>1</v>
      </c>
      <c r="G2" s="12">
        <f>ROUND(Inputs!B3*F2^Inputs!B6,0)</f>
        <v>5</v>
      </c>
      <c r="H2" s="12">
        <f>Inputs!B4+G2</f>
        <v>8</v>
      </c>
      <c r="I2" s="10">
        <f>Inputs!B5</f>
        <v>0.3</v>
      </c>
      <c r="J2" s="39">
        <f>G2*E2*12</f>
        <v>17940</v>
      </c>
      <c r="K2" s="39">
        <f>G2*I2*E2*12</f>
        <v>5382</v>
      </c>
      <c r="L2" s="39">
        <f>J2+K2</f>
        <v>23322</v>
      </c>
      <c r="M2" s="39">
        <f>IFERROR(J2/G2,0)</f>
        <v>3588</v>
      </c>
      <c r="N2" s="39">
        <f>IFERROR(L2/G2,0)</f>
        <v>4664.3999999999996</v>
      </c>
      <c r="O2" s="40">
        <f>0</f>
        <v>0</v>
      </c>
      <c r="P2" s="40">
        <f>0</f>
        <v>0</v>
      </c>
      <c r="Q2" s="41" t="s">
        <v>81</v>
      </c>
    </row>
    <row r="3" spans="1:17" ht="15.6" x14ac:dyDescent="0.3">
      <c r="A3" s="8" t="s">
        <v>82</v>
      </c>
      <c r="B3" s="9" t="s">
        <v>80</v>
      </c>
      <c r="C3" s="10">
        <f>Inputs!B8</f>
        <v>0.15</v>
      </c>
      <c r="D3" s="11">
        <f>Inputs!B2*(1+C3)</f>
        <v>343.84999999999997</v>
      </c>
      <c r="E3" s="11">
        <f>D3</f>
        <v>343.84999999999997</v>
      </c>
      <c r="F3" s="10">
        <f>E3/Inputs!B2</f>
        <v>1.1499999999999999</v>
      </c>
      <c r="G3" s="12">
        <f>ROUND(Inputs!B3*F3^Inputs!B6,0)</f>
        <v>4</v>
      </c>
      <c r="H3" s="12">
        <f>Inputs!B4+G3</f>
        <v>7</v>
      </c>
      <c r="I3" s="10">
        <f>MAX(0,MIN(1,Inputs!B5+Inputs!B11))</f>
        <v>0.27</v>
      </c>
      <c r="J3" s="39">
        <f>G3*E3*12</f>
        <v>16504.8</v>
      </c>
      <c r="K3" s="39">
        <f>G3*I3*E3*12</f>
        <v>4456.2960000000003</v>
      </c>
      <c r="L3" s="39">
        <f>J3+K3</f>
        <v>20961.095999999998</v>
      </c>
      <c r="M3" s="39">
        <f>IFERROR(J3/G3,0)</f>
        <v>4126.2</v>
      </c>
      <c r="N3" s="39">
        <f>IFERROR(L3/G3,0)</f>
        <v>5240.2739999999994</v>
      </c>
      <c r="O3" s="40">
        <f>IFERROR(G3/G$2-1,0)</f>
        <v>-0.19999999999999996</v>
      </c>
      <c r="P3" s="40">
        <f>IFERROR(L3/L$2-1,0)</f>
        <v>-0.10123076923076935</v>
      </c>
      <c r="Q3" s="41" t="s">
        <v>83</v>
      </c>
    </row>
    <row r="4" spans="1:17" ht="15.6" x14ac:dyDescent="0.3">
      <c r="A4" s="8" t="s">
        <v>84</v>
      </c>
      <c r="B4" s="9" t="s">
        <v>80</v>
      </c>
      <c r="C4" s="10">
        <f>Inputs!B9</f>
        <v>-0.15</v>
      </c>
      <c r="D4" s="11">
        <f>Inputs!B2*(1+C4)</f>
        <v>254.15</v>
      </c>
      <c r="E4" s="11">
        <f>D4</f>
        <v>254.15</v>
      </c>
      <c r="F4" s="10">
        <f>E4/Inputs!B2</f>
        <v>0.85</v>
      </c>
      <c r="G4" s="12">
        <f>ROUND(Inputs!B3*F4^Inputs!B6,0)</f>
        <v>6</v>
      </c>
      <c r="H4" s="12">
        <f>Inputs!B4+G4</f>
        <v>9</v>
      </c>
      <c r="I4" s="10">
        <f>MAX(0,MIN(1,Inputs!B5+Inputs!B12))</f>
        <v>0.32999999999999996</v>
      </c>
      <c r="J4" s="39">
        <f>G4*E4*12</f>
        <v>18298.800000000003</v>
      </c>
      <c r="K4" s="39">
        <f>G4*I4*E4*12</f>
        <v>6038.6039999999994</v>
      </c>
      <c r="L4" s="39">
        <f>J4+K4</f>
        <v>24337.404000000002</v>
      </c>
      <c r="M4" s="39">
        <f>IFERROR(J4/G4,0)</f>
        <v>3049.8000000000006</v>
      </c>
      <c r="N4" s="39">
        <f>IFERROR(L4/G4,0)</f>
        <v>4056.2340000000004</v>
      </c>
      <c r="O4" s="40">
        <f>IFERROR(G4/G$2-1,0)</f>
        <v>0.19999999999999996</v>
      </c>
      <c r="P4" s="40">
        <f>IFERROR(L4/L$2-1,0)</f>
        <v>4.3538461538461526E-2</v>
      </c>
      <c r="Q4" s="41" t="s">
        <v>85</v>
      </c>
    </row>
    <row r="5" spans="1:17" ht="15.6" x14ac:dyDescent="0.3">
      <c r="A5" s="8" t="s">
        <v>86</v>
      </c>
      <c r="B5" s="9" t="s">
        <v>80</v>
      </c>
      <c r="C5" s="10">
        <f>Inputs!B10</f>
        <v>0.2</v>
      </c>
      <c r="D5" s="11">
        <f>Inputs!B2*(1-C5)</f>
        <v>239.20000000000002</v>
      </c>
      <c r="E5" s="11">
        <f>D5</f>
        <v>239.20000000000002</v>
      </c>
      <c r="F5" s="10">
        <f>E5/Inputs!B2</f>
        <v>0.8</v>
      </c>
      <c r="G5" s="12">
        <f>ROUND(Inputs!B3*F5^Inputs!B6,0)</f>
        <v>6</v>
      </c>
      <c r="H5" s="12">
        <f>Inputs!B4+G5</f>
        <v>9</v>
      </c>
      <c r="I5" s="10">
        <f>MAX(0,MIN(1,Inputs!B5+Inputs!B13))</f>
        <v>0.32</v>
      </c>
      <c r="J5" s="39">
        <f>G5*E5*12</f>
        <v>17222.400000000001</v>
      </c>
      <c r="K5" s="39">
        <f>G5*I5*E5*12</f>
        <v>5511.1679999999997</v>
      </c>
      <c r="L5" s="39">
        <f>J5+K5</f>
        <v>22733.567999999999</v>
      </c>
      <c r="M5" s="39">
        <f>IFERROR(J5/G5,0)</f>
        <v>2870.4</v>
      </c>
      <c r="N5" s="39">
        <f>IFERROR(L5/G5,0)</f>
        <v>3788.9279999999999</v>
      </c>
      <c r="O5" s="40">
        <f>IFERROR(G5/G$2-1,0)</f>
        <v>0.19999999999999996</v>
      </c>
      <c r="P5" s="40">
        <f>IFERROR(L5/L$2-1,0)</f>
        <v>-2.5230769230769279E-2</v>
      </c>
      <c r="Q5" s="41" t="s">
        <v>87</v>
      </c>
    </row>
    <row r="6" spans="1:17" ht="15.6" x14ac:dyDescent="0.3">
      <c r="A6" s="13" t="s">
        <v>88</v>
      </c>
      <c r="B6" s="14" t="s">
        <v>89</v>
      </c>
      <c r="C6" s="15">
        <f>Inputs!B7/12-1</f>
        <v>-0.16666666666666663</v>
      </c>
      <c r="D6" s="16">
        <f>Inputs!B2*Inputs!B7</f>
        <v>2990</v>
      </c>
      <c r="E6" s="16">
        <f>D6/12</f>
        <v>249.16666666666666</v>
      </c>
      <c r="F6" s="15">
        <f>E6/Inputs!B2</f>
        <v>0.83333333333333326</v>
      </c>
      <c r="G6" s="17">
        <f>ROUND(Inputs!B3*F6^Inputs!B6,0)</f>
        <v>6</v>
      </c>
      <c r="H6" s="17">
        <f>Inputs!B4+G6</f>
        <v>9</v>
      </c>
      <c r="I6" s="15">
        <f>MAX(0,MIN(1,Inputs!B5+Inputs!B14))</f>
        <v>0.35</v>
      </c>
      <c r="J6" s="42">
        <f>G6*E6*12</f>
        <v>17940</v>
      </c>
      <c r="K6" s="42">
        <f>G6*I6*E6*12</f>
        <v>6278.9999999999982</v>
      </c>
      <c r="L6" s="42">
        <f>J6+K6</f>
        <v>24219</v>
      </c>
      <c r="M6" s="42">
        <f>IFERROR(J6/G6,0)</f>
        <v>2990</v>
      </c>
      <c r="N6" s="42">
        <f>IFERROR(L6/G6,0)</f>
        <v>4036.5</v>
      </c>
      <c r="O6" s="43">
        <f>IFERROR(G6/G$2-1,0)</f>
        <v>0.19999999999999996</v>
      </c>
      <c r="P6" s="43">
        <f>IFERROR(L6/L$2-1,0)</f>
        <v>3.8461538461538547E-2</v>
      </c>
      <c r="Q6" s="44" t="s">
        <v>90</v>
      </c>
    </row>
  </sheetData>
  <pageMargins left="0.25" right="0.25" top="0.5" bottom="0.5" header="0.5" footer="0.5"/>
  <pageSetup fitToHeight="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F13"/>
  <sheetViews>
    <sheetView showGridLines="0" tabSelected="1" topLeftCell="B1" zoomScale="94" workbookViewId="0">
      <pane ySplit="3" topLeftCell="A4" activePane="bottomLeft" state="frozen"/>
      <selection pane="bottomLeft" activeCell="C2" sqref="C2"/>
    </sheetView>
  </sheetViews>
  <sheetFormatPr defaultRowHeight="14.4" x14ac:dyDescent="0.3"/>
  <cols>
    <col min="1" max="1" width="34.5546875" style="1" bestFit="1" customWidth="1"/>
    <col min="2" max="2" width="34" style="18" customWidth="1"/>
    <col min="3" max="3" width="53.44140625" style="18" customWidth="1"/>
    <col min="4" max="4" width="34.109375" style="1" bestFit="1" customWidth="1"/>
    <col min="5" max="5" width="45.33203125" style="18" customWidth="1"/>
    <col min="6" max="6" width="47.33203125" style="18" customWidth="1"/>
    <col min="7" max="16384" width="8.88671875" style="1"/>
  </cols>
  <sheetData>
    <row r="1" spans="1:6" ht="21" x14ac:dyDescent="0.3">
      <c r="A1" s="23" t="s">
        <v>91</v>
      </c>
      <c r="D1" s="2"/>
    </row>
    <row r="2" spans="1:6" x14ac:dyDescent="0.3">
      <c r="A2" s="2"/>
      <c r="D2" s="2"/>
    </row>
    <row r="3" spans="1:6" s="19" customFormat="1" ht="15.6" x14ac:dyDescent="0.3">
      <c r="A3" s="24" t="s">
        <v>92</v>
      </c>
      <c r="B3" s="25" t="s">
        <v>93</v>
      </c>
      <c r="C3" s="25" t="s">
        <v>94</v>
      </c>
      <c r="D3" s="26" t="s">
        <v>95</v>
      </c>
      <c r="E3" s="25" t="s">
        <v>96</v>
      </c>
      <c r="F3" s="27" t="s">
        <v>97</v>
      </c>
    </row>
    <row r="4" spans="1:6" ht="31.2" x14ac:dyDescent="0.3">
      <c r="A4" s="28" t="s">
        <v>98</v>
      </c>
      <c r="B4" s="29" t="s">
        <v>99</v>
      </c>
      <c r="C4" s="29" t="s">
        <v>100</v>
      </c>
      <c r="D4" s="30" t="s">
        <v>101</v>
      </c>
      <c r="E4" s="29" t="s">
        <v>102</v>
      </c>
      <c r="F4" s="31" t="s">
        <v>103</v>
      </c>
    </row>
    <row r="5" spans="1:6" ht="31.2" x14ac:dyDescent="0.3">
      <c r="A5" s="28" t="s">
        <v>104</v>
      </c>
      <c r="B5" s="29" t="s">
        <v>105</v>
      </c>
      <c r="C5" s="29" t="s">
        <v>106</v>
      </c>
      <c r="D5" s="30" t="s">
        <v>107</v>
      </c>
      <c r="E5" s="32" t="s">
        <v>108</v>
      </c>
      <c r="F5" s="31" t="s">
        <v>109</v>
      </c>
    </row>
    <row r="6" spans="1:6" ht="31.2" x14ac:dyDescent="0.3">
      <c r="A6" s="28" t="s">
        <v>110</v>
      </c>
      <c r="B6" s="29" t="s">
        <v>111</v>
      </c>
      <c r="C6" s="29" t="s">
        <v>112</v>
      </c>
      <c r="D6" s="30" t="s">
        <v>113</v>
      </c>
      <c r="E6" s="29" t="s">
        <v>114</v>
      </c>
      <c r="F6" s="31" t="s">
        <v>115</v>
      </c>
    </row>
    <row r="7" spans="1:6" ht="31.2" x14ac:dyDescent="0.3">
      <c r="A7" s="28" t="s">
        <v>116</v>
      </c>
      <c r="B7" s="29" t="s">
        <v>117</v>
      </c>
      <c r="C7" s="29" t="s">
        <v>118</v>
      </c>
      <c r="D7" s="30" t="s">
        <v>119</v>
      </c>
      <c r="E7" s="29" t="s">
        <v>120</v>
      </c>
      <c r="F7" s="31" t="s">
        <v>121</v>
      </c>
    </row>
    <row r="8" spans="1:6" ht="46.8" x14ac:dyDescent="0.3">
      <c r="A8" s="28" t="s">
        <v>122</v>
      </c>
      <c r="B8" s="29" t="s">
        <v>123</v>
      </c>
      <c r="C8" s="29" t="s">
        <v>124</v>
      </c>
      <c r="D8" s="30" t="s">
        <v>125</v>
      </c>
      <c r="E8" s="32" t="s">
        <v>126</v>
      </c>
      <c r="F8" s="31" t="s">
        <v>127</v>
      </c>
    </row>
    <row r="9" spans="1:6" ht="46.8" x14ac:dyDescent="0.3">
      <c r="A9" s="28" t="s">
        <v>128</v>
      </c>
      <c r="B9" s="29" t="s">
        <v>129</v>
      </c>
      <c r="C9" s="29" t="s">
        <v>130</v>
      </c>
      <c r="D9" s="30" t="s">
        <v>125</v>
      </c>
      <c r="E9" s="32" t="s">
        <v>131</v>
      </c>
      <c r="F9" s="31" t="s">
        <v>132</v>
      </c>
    </row>
    <row r="10" spans="1:6" ht="31.2" x14ac:dyDescent="0.3">
      <c r="A10" s="28" t="s">
        <v>133</v>
      </c>
      <c r="B10" s="29" t="s">
        <v>134</v>
      </c>
      <c r="C10" s="29" t="s">
        <v>135</v>
      </c>
      <c r="D10" s="30" t="s">
        <v>136</v>
      </c>
      <c r="E10" s="29" t="s">
        <v>137</v>
      </c>
      <c r="F10" s="31" t="s">
        <v>138</v>
      </c>
    </row>
    <row r="11" spans="1:6" ht="31.2" x14ac:dyDescent="0.3">
      <c r="A11" s="28" t="s">
        <v>139</v>
      </c>
      <c r="B11" s="29" t="s">
        <v>140</v>
      </c>
      <c r="C11" s="29" t="s">
        <v>141</v>
      </c>
      <c r="D11" s="30" t="s">
        <v>142</v>
      </c>
      <c r="E11" s="32" t="s">
        <v>143</v>
      </c>
      <c r="F11" s="31" t="s">
        <v>144</v>
      </c>
    </row>
    <row r="12" spans="1:6" ht="46.8" x14ac:dyDescent="0.3">
      <c r="A12" s="28" t="s">
        <v>145</v>
      </c>
      <c r="B12" s="29" t="s">
        <v>146</v>
      </c>
      <c r="C12" s="29" t="s">
        <v>147</v>
      </c>
      <c r="D12" s="30" t="s">
        <v>148</v>
      </c>
      <c r="E12" s="29" t="s">
        <v>149</v>
      </c>
      <c r="F12" s="31" t="s">
        <v>150</v>
      </c>
    </row>
    <row r="13" spans="1:6" ht="31.2" x14ac:dyDescent="0.3">
      <c r="A13" s="33" t="s">
        <v>151</v>
      </c>
      <c r="B13" s="34" t="s">
        <v>152</v>
      </c>
      <c r="C13" s="34" t="s">
        <v>153</v>
      </c>
      <c r="D13" s="35" t="s">
        <v>154</v>
      </c>
      <c r="E13" s="34" t="s">
        <v>155</v>
      </c>
      <c r="F13" s="36" t="s">
        <v>156</v>
      </c>
    </row>
  </sheetData>
  <conditionalFormatting sqref="A3:F13">
    <cfRule type="colorScale" priority="1">
      <colorScale>
        <cfvo type="min"/>
        <cfvo type="max"/>
        <color rgb="FFFF7128"/>
        <color rgb="FFFFEF9C"/>
      </colorScale>
    </cfRule>
  </conditionalFormatting>
  <pageMargins left="0.25" right="0.25" top="0.5" bottom="0.5" header="0.5" footer="0.5"/>
  <pageSetup fitToHeight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Start Here</vt:lpstr>
      <vt:lpstr>Inputs</vt:lpstr>
      <vt:lpstr>Scenario Simulator</vt:lpstr>
      <vt:lpstr>Source Audit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PRANIT VARAT</cp:lastModifiedBy>
  <dcterms:created xsi:type="dcterms:W3CDTF">2026-10-14T07:02:51Z</dcterms:created>
  <dcterms:modified xsi:type="dcterms:W3CDTF">2026-10-14T08:50:21Z</dcterms:modified>
</cp:coreProperties>
</file>