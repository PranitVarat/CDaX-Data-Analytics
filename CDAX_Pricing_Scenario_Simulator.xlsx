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anit\"/>
    </mc:Choice>
  </mc:AlternateContent>
  <xr:revisionPtr revIDLastSave="0" documentId="8_{9A12F57A-0A6F-4277-9E24-BAA8FAAF7FAA}" xr6:coauthVersionLast="47" xr6:coauthVersionMax="47" xr10:uidLastSave="{00000000-0000-0000-0000-000000000000}"/>
  <bookViews>
    <workbookView xWindow="-108" yWindow="-108" windowWidth="23256" windowHeight="12456" firstSheet="5" activeTab="9" xr2:uid="{3E85E2A9-222C-40AC-9664-BFB499B74136}"/>
  </bookViews>
  <sheets>
    <sheet name="Inputs_Assumptions" sheetId="1" r:id="rId1"/>
    <sheet name="Course_Price_Reference" sheetId="2" r:id="rId2"/>
    <sheet name="Pricing_Scenarios" sheetId="3" r:id="rId3"/>
    <sheet name="Best_Base_Worst_Case" sheetId="4" r:id="rId4"/>
    <sheet name="Revenue_Analysis" sheetId="5" r:id="rId5"/>
    <sheet name="Sensitivity_Analysis" sheetId="6" r:id="rId6"/>
    <sheet name="Scenario_Comparison" sheetId="7" r:id="rId7"/>
    <sheet name="Recommendations" sheetId="8" r:id="rId8"/>
    <sheet name="Source_Audit" sheetId="9" r:id="rId9"/>
    <sheet name="Payment_Data_Audit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2" i="7" l="1"/>
  <c r="C2" i="7"/>
  <c r="D2" i="7"/>
  <c r="E2" i="7"/>
  <c r="F2" i="7"/>
  <c r="B3" i="7"/>
  <c r="C3" i="7"/>
  <c r="D3" i="7"/>
  <c r="E3" i="7"/>
  <c r="F3" i="7"/>
  <c r="B4" i="7"/>
  <c r="C4" i="7"/>
  <c r="D4" i="7"/>
  <c r="E4" i="7"/>
  <c r="F4" i="7"/>
  <c r="B5" i="7"/>
  <c r="C5" i="7"/>
  <c r="D5" i="7"/>
  <c r="E5" i="7"/>
  <c r="F5" i="7"/>
  <c r="B6" i="7"/>
  <c r="C6" i="7"/>
  <c r="D6" i="7"/>
  <c r="E6" i="7"/>
  <c r="F6" i="7"/>
  <c r="B7" i="7"/>
  <c r="C7" i="7"/>
  <c r="D7" i="7"/>
  <c r="E7" i="7"/>
  <c r="F7" i="7"/>
  <c r="B8" i="7"/>
  <c r="C8" i="7"/>
  <c r="D8" i="7"/>
  <c r="E8" i="7"/>
  <c r="F8" i="7"/>
  <c r="B9" i="7"/>
  <c r="C9" i="7"/>
  <c r="D9" i="7"/>
  <c r="E9" i="7"/>
  <c r="F9" i="7"/>
  <c r="B2" i="6"/>
  <c r="C2" i="6"/>
  <c r="D2" i="6"/>
  <c r="B3" i="6"/>
  <c r="C3" i="6"/>
  <c r="D3" i="6"/>
  <c r="B4" i="6"/>
  <c r="C4" i="6"/>
  <c r="D4" i="6"/>
  <c r="B5" i="6"/>
  <c r="C5" i="6"/>
  <c r="D5" i="6"/>
  <c r="B6" i="6"/>
  <c r="C6" i="6"/>
  <c r="D6" i="6"/>
  <c r="B7" i="6"/>
  <c r="C7" i="6"/>
  <c r="D7" i="6"/>
  <c r="B8" i="6"/>
  <c r="C8" i="6"/>
  <c r="D8" i="6"/>
  <c r="B9" i="6"/>
  <c r="C9" i="6"/>
  <c r="D9" i="6"/>
  <c r="B10" i="6"/>
  <c r="C10" i="6"/>
  <c r="D10" i="6"/>
  <c r="B2" i="5"/>
  <c r="B3" i="5"/>
  <c r="B4" i="5"/>
  <c r="B5" i="5" s="1"/>
  <c r="B6" i="5"/>
  <c r="B7" i="5"/>
  <c r="B8" i="5"/>
  <c r="B9" i="5"/>
  <c r="B4" i="4"/>
  <c r="C4" i="4"/>
  <c r="D4" i="4"/>
  <c r="B5" i="4"/>
  <c r="C5" i="4"/>
  <c r="D5" i="4"/>
  <c r="B6" i="4"/>
  <c r="B7" i="4" s="1"/>
  <c r="C6" i="4"/>
  <c r="C7" i="4" s="1"/>
  <c r="D6" i="4"/>
  <c r="D7" i="4"/>
  <c r="D9" i="4" s="1"/>
  <c r="D8" i="4"/>
  <c r="D11" i="4"/>
  <c r="B3" i="3"/>
  <c r="D3" i="3" s="1"/>
  <c r="D5" i="3" s="1"/>
  <c r="C3" i="3"/>
  <c r="F3" i="3"/>
  <c r="F5" i="3" s="1"/>
  <c r="F4" i="3"/>
  <c r="C5" i="3"/>
  <c r="B6" i="3"/>
  <c r="D6" i="3" s="1"/>
  <c r="D8" i="3" s="1"/>
  <c r="C6" i="3"/>
  <c r="F6" i="3"/>
  <c r="F8" i="3" s="1"/>
  <c r="B7" i="3"/>
  <c r="C7" i="3"/>
  <c r="D7" i="3"/>
  <c r="E7" i="3"/>
  <c r="F7" i="3"/>
  <c r="E2" i="2"/>
  <c r="F2" i="2" s="1"/>
  <c r="E3" i="2"/>
  <c r="F3" i="2"/>
  <c r="E4" i="2"/>
  <c r="F4" i="2" s="1"/>
  <c r="E5" i="2"/>
  <c r="F5" i="2"/>
  <c r="E6" i="2"/>
  <c r="F6" i="2" s="1"/>
  <c r="E7" i="2"/>
  <c r="F7" i="2"/>
  <c r="E8" i="2"/>
  <c r="F8" i="2" s="1"/>
  <c r="B10" i="4" l="1"/>
  <c r="B8" i="4"/>
  <c r="B11" i="4" s="1"/>
  <c r="B9" i="4"/>
  <c r="C9" i="4"/>
  <c r="C10" i="4"/>
  <c r="C8" i="4"/>
  <c r="C11" i="4" s="1"/>
  <c r="D10" i="4"/>
  <c r="F11" i="3"/>
  <c r="F9" i="3"/>
  <c r="D9" i="3"/>
  <c r="D11" i="3"/>
  <c r="C8" i="3"/>
  <c r="E6" i="3"/>
  <c r="E8" i="3" s="1"/>
  <c r="B5" i="3"/>
  <c r="B8" i="3"/>
  <c r="E3" i="3"/>
  <c r="E5" i="3" s="1"/>
  <c r="E11" i="3" l="1"/>
  <c r="E9" i="3"/>
  <c r="C9" i="3"/>
  <c r="C11" i="3"/>
  <c r="D13" i="3"/>
  <c r="D12" i="3"/>
  <c r="B9" i="3"/>
  <c r="B11" i="3"/>
  <c r="F13" i="3"/>
  <c r="F12" i="3"/>
  <c r="B12" i="3" l="1"/>
  <c r="B10" i="3"/>
  <c r="B13" i="3"/>
  <c r="F10" i="3"/>
  <c r="C10" i="3"/>
  <c r="C12" i="3"/>
  <c r="C13" i="3"/>
  <c r="D10" i="3"/>
  <c r="E13" i="3"/>
  <c r="E10" i="3"/>
  <c r="E12" i="3"/>
</calcChain>
</file>

<file path=xl/sharedStrings.xml><?xml version="1.0" encoding="utf-8"?>
<sst xmlns="http://schemas.openxmlformats.org/spreadsheetml/2006/main" count="476" uniqueCount="321">
  <si>
    <t>Parameter</t>
  </si>
  <si>
    <t>Value</t>
  </si>
  <si>
    <t>Unit</t>
  </si>
  <si>
    <t>Data Status</t>
  </si>
  <si>
    <t>Notes</t>
  </si>
  <si>
    <t>Selected Course ID</t>
  </si>
  <si>
    <t>ID</t>
  </si>
  <si>
    <t>Illustrative</t>
  </si>
  <si>
    <t>Selected Course Name</t>
  </si>
  <si>
    <t>Python Programming Mastery</t>
  </si>
  <si>
    <t>Text</t>
  </si>
  <si>
    <t>Frontend fallback mapping</t>
  </si>
  <si>
    <t>Current Listed Price</t>
  </si>
  <si>
    <t>INR</t>
  </si>
  <si>
    <t>Original Listed Price</t>
  </si>
  <si>
    <t>Not available</t>
  </si>
  <si>
    <t>Requires website analytics</t>
  </si>
  <si>
    <t>Percentage</t>
  </si>
  <si>
    <t>Requires subscription history</t>
  </si>
  <si>
    <t>Higher Price Change</t>
  </si>
  <si>
    <t>Scenario assumption</t>
  </si>
  <si>
    <t>Editable</t>
  </si>
  <si>
    <t>Lower Price Change</t>
  </si>
  <si>
    <t>Discount Percentage</t>
  </si>
  <si>
    <t>Annual Plan Discount</t>
  </si>
  <si>
    <t>Illustrative assumption</t>
  </si>
  <si>
    <t>Verify approved annual-plan terms</t>
  </si>
  <si>
    <t>Annual Plan Months Charged</t>
  </si>
  <si>
    <t>Months</t>
  </si>
  <si>
    <t>Price Elasticity</t>
  </si>
  <si>
    <t>Factor</t>
  </si>
  <si>
    <t>Actual customer response unknown</t>
  </si>
  <si>
    <t>Currency</t>
  </si>
  <si>
    <t>Assumption</t>
  </si>
  <si>
    <t>Indian rupees</t>
  </si>
  <si>
    <t>Course ID</t>
  </si>
  <si>
    <t>Course Name</t>
  </si>
  <si>
    <t>Current Listed Price (INR)</t>
  </si>
  <si>
    <t>Original Listed Price (INR)</t>
  </si>
  <si>
    <t>Price Difference (INR)</t>
  </si>
  <si>
    <t>Data Source</t>
  </si>
  <si>
    <t>Complete Java Programming</t>
  </si>
  <si>
    <t>Flutter Mobile Development</t>
  </si>
  <si>
    <t>C/C++ Programming Course</t>
  </si>
  <si>
    <t>C# .NET Development</t>
  </si>
  <si>
    <t>Data Structures &amp; Algorithms</t>
  </si>
  <si>
    <t>React Web Development</t>
  </si>
  <si>
    <t>Metric</t>
  </si>
  <si>
    <t>Current Price</t>
  </si>
  <si>
    <t>Higher Price</t>
  </si>
  <si>
    <t>Lower Price</t>
  </si>
  <si>
    <t>Discounted Price</t>
  </si>
  <si>
    <t>Scenario Description</t>
  </si>
  <si>
    <t>Existing listed price</t>
  </si>
  <si>
    <t>20% discount</t>
  </si>
  <si>
    <t>Revenue Change %</t>
  </si>
  <si>
    <t>Best Case</t>
  </si>
  <si>
    <t>Base Case</t>
  </si>
  <si>
    <t>Worst Case</t>
  </si>
  <si>
    <t>Price Change %</t>
  </si>
  <si>
    <t>Baseline Purchases</t>
  </si>
  <si>
    <t>Expected Purchases</t>
  </si>
  <si>
    <t>Main Assumption</t>
  </si>
  <si>
    <t>Estimated Fixed Costs</t>
  </si>
  <si>
    <t>Conversion Rate</t>
  </si>
  <si>
    <t>Renewal Rate</t>
  </si>
  <si>
    <t>Main Advantage</t>
  </si>
  <si>
    <t>Main Risk</t>
  </si>
  <si>
    <t>Recommendation</t>
  </si>
  <si>
    <t>Measure incremental purchases</t>
  </si>
  <si>
    <t>Area</t>
  </si>
  <si>
    <t>Observation</t>
  </si>
  <si>
    <t>Business Impact</t>
  </si>
  <si>
    <t>Verification required</t>
  </si>
  <si>
    <t>Higher Pricing</t>
  </si>
  <si>
    <t>Lower Pricing</t>
  </si>
  <si>
    <t>Discounted Pricing</t>
  </si>
  <si>
    <t>Measure incremental purchases and net revenue</t>
  </si>
  <si>
    <t>Renewals</t>
  </si>
  <si>
    <t>Validate subscription and payment history</t>
  </si>
  <si>
    <t>Data gap</t>
  </si>
  <si>
    <t>Profitability</t>
  </si>
  <si>
    <t>After validation</t>
  </si>
  <si>
    <t>Data Item</t>
  </si>
  <si>
    <t>Source</t>
  </si>
  <si>
    <t>Status</t>
  </si>
  <si>
    <t>Action Required</t>
  </si>
  <si>
    <t>Website Visitors</t>
  </si>
  <si>
    <t>Website analytics</t>
  </si>
  <si>
    <t>Subscription and payment records</t>
  </si>
  <si>
    <t>Not verified</t>
  </si>
  <si>
    <t>Historical pricing experiments</t>
  </si>
  <si>
    <t>Annual Plan Terms</t>
  </si>
  <si>
    <t>Approved pricing documentation</t>
  </si>
  <si>
    <t>Field</t>
  </si>
  <si>
    <t>Purpose</t>
  </si>
  <si>
    <t>Required Validation</t>
  </si>
  <si>
    <t>User ID</t>
  </si>
  <si>
    <t>user.id</t>
  </si>
  <si>
    <t>Verify backend user record</t>
  </si>
  <si>
    <t>course.id</t>
  </si>
  <si>
    <t>Verify backend course record</t>
  </si>
  <si>
    <t>Course Price</t>
  </si>
  <si>
    <t>course.price</t>
  </si>
  <si>
    <t>Display individual course price</t>
  </si>
  <si>
    <t>state?.total</t>
  </si>
  <si>
    <t>Display total order amount</t>
  </si>
  <si>
    <t>Passed through navigation state</t>
  </si>
  <si>
    <t>Purchase API</t>
  </si>
  <si>
    <t>purchaseCourse(user.id, course.id)</t>
  </si>
  <si>
    <t>res.success / res.message</t>
  </si>
  <si>
    <t>Payment Gateway</t>
  </si>
  <si>
    <t>Check whether a gateway exists elsewhere</t>
  </si>
  <si>
    <t>Transaction ID</t>
  </si>
  <si>
    <t>Check backend payment schema</t>
  </si>
  <si>
    <t>Payment Status</t>
  </si>
  <si>
    <t>Refund Status</t>
  </si>
  <si>
    <t>Check refund records</t>
  </si>
  <si>
    <t>Check subscription and renewal APIs</t>
  </si>
  <si>
    <t>Revenue Calculation</t>
  </si>
  <si>
    <t>Verified payment records</t>
  </si>
  <si>
    <t>Calculate actual revenue</t>
  </si>
  <si>
    <t>Frontend Listed Price (INR)</t>
  </si>
  <si>
    <t>Displayed Order Total</t>
  </si>
  <si>
    <t>Backend payment records</t>
  </si>
  <si>
    <t>Refund Amount</t>
  </si>
  <si>
    <t>Refund records</t>
  </si>
  <si>
    <t>Illustrative selection</t>
  </si>
  <si>
    <t>Can be changed</t>
  </si>
  <si>
    <t>Verify against backend</t>
  </si>
  <si>
    <t>Count</t>
  </si>
  <si>
    <t>Enter a verified count for a defined period</t>
  </si>
  <si>
    <t>Calculate only with valid visitor and purchase data</t>
  </si>
  <si>
    <t>Assumes two months free</t>
  </si>
  <si>
    <t>Best Case Purchase Change</t>
  </si>
  <si>
    <t>Base Case Purchase Change</t>
  </si>
  <si>
    <t>Worst Case Purchase Change</t>
  </si>
  <si>
    <t>Estimated Variable Cost per Purchase</t>
  </si>
  <si>
    <t>Required for profit estimation</t>
  </si>
  <si>
    <t>Reporting Period</t>
  </si>
  <si>
    <t>Period</t>
  </si>
  <si>
    <t>Specify when baseline purchase data is available</t>
  </si>
  <si>
    <t>Verification Status</t>
  </si>
  <si>
    <t>Pending verification</t>
  </si>
  <si>
    <t>Annual Plan</t>
  </si>
  <si>
    <t>15% increase</t>
  </si>
  <si>
    <t>15% decrease</t>
  </si>
  <si>
    <t>Illustrative annual plan</t>
  </si>
  <si>
    <t>Price per Purchase (INR)</t>
  </si>
  <si>
    <t>Total Customer Payment (INR)</t>
  </si>
  <si>
    <t>Assumed Purchase Change %</t>
  </si>
  <si>
    <t>Simulated Revenue (INR)</t>
  </si>
  <si>
    <t>Revenue Change vs Current</t>
  </si>
  <si>
    <t>Estimated Variable Costs (INR)</t>
  </si>
  <si>
    <t>Estimated Fixed Costs (INR)</t>
  </si>
  <si>
    <t>Estimated Profit (INR)</t>
  </si>
  <si>
    <t>Simulation only</t>
  </si>
  <si>
    <t>Annual terms unverified</t>
  </si>
  <si>
    <t>Optimistic</t>
  </si>
  <si>
    <t>Purchase count unchanged</t>
  </si>
  <si>
    <t>Pessimistic</t>
  </si>
  <si>
    <t>Purchase Change %</t>
  </si>
  <si>
    <t>Purchases increase</t>
  </si>
  <si>
    <t>Purchases remain stable</t>
  </si>
  <si>
    <t>Purchases decrease</t>
  </si>
  <si>
    <t>Selected Course</t>
  </si>
  <si>
    <t>Inputs_Assumptions</t>
  </si>
  <si>
    <t>Reference</t>
  </si>
  <si>
    <t>Selected course for the simulation</t>
  </si>
  <si>
    <t>React fallback mapping</t>
  </si>
  <si>
    <t>Unverified</t>
  </si>
  <si>
    <t>Confirm backend price</t>
  </si>
  <si>
    <t>Baseline Purchase Count</t>
  </si>
  <si>
    <t>Verified purchase records</t>
  </si>
  <si>
    <t>Not entered</t>
  </si>
  <si>
    <t>Specify reporting period</t>
  </si>
  <si>
    <t>Simulated Current Revenue (INR)</t>
  </si>
  <si>
    <t>Pricing simulation</t>
  </si>
  <si>
    <t>Conditional</t>
  </si>
  <si>
    <t>Not actual revenue</t>
  </si>
  <si>
    <t>Simulated Higher-Price Revenue (INR)</t>
  </si>
  <si>
    <t>Based on scenario assumptions</t>
  </si>
  <si>
    <t>Simulated Lower-Price Revenue (INR)</t>
  </si>
  <si>
    <t>Simulated Discounted Revenue (INR)</t>
  </si>
  <si>
    <t>Simulated Annual-Plan Revenue (INR)</t>
  </si>
  <si>
    <t>Annual plan terms unverified</t>
  </si>
  <si>
    <t>Verified Paid Amount (INR)</t>
  </si>
  <si>
    <t>Not available in supplied component</t>
  </si>
  <si>
    <t>Inspect backend and payment processing</t>
  </si>
  <si>
    <t>Refund Amount (INR)</t>
  </si>
  <si>
    <t>Verify refund records</t>
  </si>
  <si>
    <t>Actual Net Revenue (INR)</t>
  </si>
  <si>
    <t>Verified payments less refunds</t>
  </si>
  <si>
    <t>Not calculated</t>
  </si>
  <si>
    <t>Requires validated paid and refund amounts</t>
  </si>
  <si>
    <t>Renewal Revenue (INR)</t>
  </si>
  <si>
    <t>Requires renewal data</t>
  </si>
  <si>
    <t>Variable Costs (INR)</t>
  </si>
  <si>
    <t>Finance records</t>
  </si>
  <si>
    <t>Required for profit</t>
  </si>
  <si>
    <t>Fixed Costs (INR)</t>
  </si>
  <si>
    <t>Actual Profit (INR)</t>
  </si>
  <si>
    <t>Verified revenue and costs</t>
  </si>
  <si>
    <t>Do not infer from course price</t>
  </si>
  <si>
    <t>Elasticity -0.5: Purchase Change %</t>
  </si>
  <si>
    <t>Elasticity -1.0: Purchase Change %</t>
  </si>
  <si>
    <t>Elasticity -1.5: Purchase Change %</t>
  </si>
  <si>
    <t>Customer Payment (INR)</t>
  </si>
  <si>
    <t>Existing reference</t>
  </si>
  <si>
    <t>Higher amount per purchase</t>
  </si>
  <si>
    <t>Lower price may attract buyers</t>
  </si>
  <si>
    <t>Promotional offer</t>
  </si>
  <si>
    <t>Potential upfront payment</t>
  </si>
  <si>
    <t>Price not verified</t>
  </si>
  <si>
    <t>Demand may decrease</t>
  </si>
  <si>
    <t>Lower amount per purchase</t>
  </si>
  <si>
    <t>Reduced amount per purchase</t>
  </si>
  <si>
    <t>Verify price</t>
  </si>
  <si>
    <t>Test with measured data</t>
  </si>
  <si>
    <t>Compare purchase changes</t>
  </si>
  <si>
    <t>Confirm plan availability</t>
  </si>
  <si>
    <t>Current Course Pricing</t>
  </si>
  <si>
    <t>Seven frontend fallback prices are available</t>
  </si>
  <si>
    <t>Provides initial reference prices</t>
  </si>
  <si>
    <t>Verify prices against backend course records</t>
  </si>
  <si>
    <t>Higher price raises revenue per purchase if demand stays unchanged</t>
  </si>
  <si>
    <t>Test a controlled price change if approved</t>
  </si>
  <si>
    <t>Scenario only</t>
  </si>
  <si>
    <t>Lower price may attract more purchases</t>
  </si>
  <si>
    <t>More purchases may not offset the lower price</t>
  </si>
  <si>
    <t>Compare revenue at different purchase volumes</t>
  </si>
  <si>
    <t>Discount reduces customer payment</t>
  </si>
  <si>
    <t>May increase demand but reduce revenue per purchase</t>
  </si>
  <si>
    <t>Annual plan terms are not confirmed</t>
  </si>
  <si>
    <t>Revenue projections may be misleading</t>
  </si>
  <si>
    <t>Confirm that annual subscriptions are offered</t>
  </si>
  <si>
    <t>Purchase Volume</t>
  </si>
  <si>
    <t>Baseline purchase count is not verified</t>
  </si>
  <si>
    <t>Revenue simulations cannot be grounded in actual demand</t>
  </si>
  <si>
    <t>Validate purchase records and reporting period</t>
  </si>
  <si>
    <t>Payment Verification</t>
  </si>
  <si>
    <t>Frontend calls purchaseCourse and displays a success alert</t>
  </si>
  <si>
    <t>Alert alone does not establish gateway payment</t>
  </si>
  <si>
    <t>Inspect backend purchase and payment verification</t>
  </si>
  <si>
    <t>Visitor data is unavailable</t>
  </si>
  <si>
    <t>Conversion cannot be reliably calculated</t>
  </si>
  <si>
    <t>Obtain visitor and purchase event data</t>
  </si>
  <si>
    <t>Renewal data is unverified</t>
  </si>
  <si>
    <t>Recurring revenue cannot be reliably estimated</t>
  </si>
  <si>
    <t>Cost data is unavailable</t>
  </si>
  <si>
    <t>Revenue does not establish profit</t>
  </si>
  <si>
    <t>Obtain fixed and variable cost data</t>
  </si>
  <si>
    <t>Final Pricing Decision</t>
  </si>
  <si>
    <t>Results depend on assumptions</t>
  </si>
  <si>
    <t>Highest price may not produce the best outcome</t>
  </si>
  <si>
    <t>Compare verified demand, revenue, costs and retention</t>
  </si>
  <si>
    <t>React COURSE_MAPPING and backend course API</t>
  </si>
  <si>
    <t>Frontend fallback IDs identified</t>
  </si>
  <si>
    <t>Confirm actual backend course records</t>
  </si>
  <si>
    <t>Fallback names identified</t>
  </si>
  <si>
    <t>Confirm against backend records</t>
  </si>
  <si>
    <t>Current Course Price</t>
  </si>
  <si>
    <t>React COURSE_MAPPING</t>
  </si>
  <si>
    <t>Reference only</t>
  </si>
  <si>
    <t>Verify actual backend price</t>
  </si>
  <si>
    <t>Original Course Price</t>
  </si>
  <si>
    <t>Verify original price and discount policy</t>
  </si>
  <si>
    <t>Payment component selectedCourses</t>
  </si>
  <si>
    <t>Passed through frontend navigation</t>
  </si>
  <si>
    <t>Confirm selected course and server-side pricing</t>
  </si>
  <si>
    <t>Payment component state?.total</t>
  </si>
  <si>
    <t>Displayed frontend amount</t>
  </si>
  <si>
    <t>Reconcile with backend order total</t>
  </si>
  <si>
    <t>API function called</t>
  </si>
  <si>
    <t>Inspect course.api.js and backend implementation</t>
  </si>
  <si>
    <t>Payment Success</t>
  </si>
  <si>
    <t>Frontend response and alert</t>
  </si>
  <si>
    <t>Not sufficient to verify payment</t>
  </si>
  <si>
    <t>Inspect server-side purchase/payment status</t>
  </si>
  <si>
    <t>Not shown in supplied component</t>
  </si>
  <si>
    <t>Not available here</t>
  </si>
  <si>
    <t>Paid Amount</t>
  </si>
  <si>
    <t>Check verified payment records</t>
  </si>
  <si>
    <t>Purchase Count</t>
  </si>
  <si>
    <t>Sample purchase records previously reviewed</t>
  </si>
  <si>
    <t>Reporting period unverified</t>
  </si>
  <si>
    <t>Validate complete purchase data</t>
  </si>
  <si>
    <t>Obtain analytics events</t>
  </si>
  <si>
    <t>Subscription/payment records</t>
  </si>
  <si>
    <t>Inspect renewal and cancellation history</t>
  </si>
  <si>
    <t>Use clearly labelled assumptions</t>
  </si>
  <si>
    <t>Variable Costs</t>
  </si>
  <si>
    <t>Finance/operations records</t>
  </si>
  <si>
    <t>Obtain cost data</t>
  </si>
  <si>
    <t>Fixed Costs</t>
  </si>
  <si>
    <t>Confirm whether annual plans are offered</t>
  </si>
  <si>
    <t>Code Reference</t>
  </si>
  <si>
    <t>Current Status</t>
  </si>
  <si>
    <t>Identify the student sent to the purchase API</t>
  </si>
  <si>
    <t>Passed to API</t>
  </si>
  <si>
    <t>Identify the course being purchased</t>
  </si>
  <si>
    <t>Displayed in UI</t>
  </si>
  <si>
    <t>Verify backend price and paid amount</t>
  </si>
  <si>
    <t>Order Total</t>
  </si>
  <si>
    <t>Recalculate and verify on backend</t>
  </si>
  <si>
    <t>Submit purchase request</t>
  </si>
  <si>
    <t>Function called</t>
  </si>
  <si>
    <t>Inspect course.api.js</t>
  </si>
  <si>
    <t>API Success</t>
  </si>
  <si>
    <t>Check API response</t>
  </si>
  <si>
    <t>Frontend condition only</t>
  </si>
  <si>
    <t>Verify response meaning and server-side status</t>
  </si>
  <si>
    <t>Process card payment</t>
  </si>
  <si>
    <t>Not established by this component</t>
  </si>
  <si>
    <t>Identify transaction</t>
  </si>
  <si>
    <t>Check backend and gateway records</t>
  </si>
  <si>
    <t>Identify paid, pending or failed transaction</t>
  </si>
  <si>
    <t>Identify refunds</t>
  </si>
  <si>
    <t>Renewal Status</t>
  </si>
  <si>
    <t>Identify recurring payments</t>
  </si>
  <si>
    <t>Use confirmed paid amounts and refunds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</si>
</sst>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9" fontId="0" fillId="0" borderId="0" xfId="0" applyNumberFormat="1"/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10" fontId="0" fillId="0" borderId="0" xfId="0" applyNumberFormat="1" applyAlignment="1">
      <alignment horizontal="center"/>
    </xf>
    <xf numFmtId="10" fontId="0" fillId="0" borderId="0" xfId="0" applyNumberFormat="1"/>
  </cellXfs>
  <cellStyles count="1">
    <cellStyle name="Normal" xfId="0" builtinId="0"/>
  </cellStyles>
  <dxfs count="37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3EDCF76B-8ECD-4EC8-A2CA-49C98258D1C2}" name="Table13" displayName="Table13" ref="A1:E22" totalsRowShown="0" headerRowDxfId="30" dataDxfId="31">
  <autoFilter ref="A1:E22" xr:uid="{3EDCF76B-8ECD-4EC8-A2CA-49C98258D1C2}"/>
  <tableColumns count="5">
    <tableColumn id="1" xr3:uid="{6630D321-8D29-48F7-80C1-88512999766E}" name="Parameter" dataDxfId="36"/>
    <tableColumn id="2" xr3:uid="{A3267AC6-B545-4EA1-9622-AE9EEC781326}" name="Value" dataDxfId="35"/>
    <tableColumn id="3" xr3:uid="{D7D7DEFF-D932-4E5C-AAD0-70FFE9BBD98D}" name="Unit" dataDxfId="34"/>
    <tableColumn id="4" xr3:uid="{26438BC8-B7A9-4109-A62B-5609610E9328}" name="Data Status" dataDxfId="33"/>
    <tableColumn id="5" xr3:uid="{86D5C1D7-9666-417F-B80E-3D0FE1D1DDF5}" name="Notes" dataDxfId="32"/>
  </tableColumns>
  <tableStyleInfo name="TableStyleLight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8478B975-6F02-4998-8554-B18B0AAB1E8E}" name="Table14" displayName="Table14" ref="A1:H8" totalsRowShown="0" headerRowDxfId="21" dataDxfId="22">
  <autoFilter ref="A1:H8" xr:uid="{8478B975-6F02-4998-8554-B18B0AAB1E8E}"/>
  <tableColumns count="8">
    <tableColumn id="1" xr3:uid="{81EBDC5A-8D49-4D43-9A7B-4307FC034AA0}" name="Course ID" dataDxfId="29"/>
    <tableColumn id="2" xr3:uid="{2AFC9EC0-9F4F-4596-876D-03DCB2B67B22}" name="Course Name" dataDxfId="28"/>
    <tableColumn id="3" xr3:uid="{C04415C6-23B1-464E-999A-E012F9832495}" name="Frontend Listed Price (INR)" dataDxfId="27"/>
    <tableColumn id="4" xr3:uid="{C3E86784-A942-4354-B72A-484CF9BDD3B4}" name="Original Listed Price (INR)" dataDxfId="26"/>
    <tableColumn id="5" xr3:uid="{0243E30F-8010-4975-9FB8-43470BEEAD9B}" name="Price Difference (INR)" dataDxfId="25">
      <calculatedColumnFormula>D2-C2</calculatedColumnFormula>
    </tableColumn>
    <tableColumn id="6" xr3:uid="{52386F43-5ED8-4476-BFE5-FB40B2E6DA20}" name="Discount Percentage" dataDxfId="24">
      <calculatedColumnFormula>IFERROR(E2/D2,0)</calculatedColumnFormula>
    </tableColumn>
    <tableColumn id="7" xr3:uid="{063F1E67-C934-4F2F-876C-1B8B048899FD}" name="Verification Status" dataDxfId="23"/>
    <tableColumn id="8" xr3:uid="{F6941A51-51BA-4E43-B60A-C3FC8F52F52A}" name="Source"/>
  </tableColumns>
  <tableStyleInfo name="TableStyleLight1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2E895EE1-E04F-4362-886D-8E193A1DB3BD}" name="Table15" displayName="Table15" ref="A1:F14" totalsRowShown="0" headerRowDxfId="13" dataDxfId="14">
  <autoFilter ref="A1:F14" xr:uid="{2E895EE1-E04F-4362-886D-8E193A1DB3BD}"/>
  <tableColumns count="6">
    <tableColumn id="1" xr3:uid="{E8DF2A27-AABE-4375-B58E-A8E3A8CC1D12}" name="Metric" dataDxfId="20"/>
    <tableColumn id="2" xr3:uid="{BE88EF58-9867-4F17-AC97-A03CF393E70A}" name="Current Price" dataDxfId="19"/>
    <tableColumn id="3" xr3:uid="{A223D03D-33AB-49A7-9174-E1ADDC362C31}" name="Higher Price" dataDxfId="18"/>
    <tableColumn id="4" xr3:uid="{A558D611-43E5-49CB-A568-B3A84ACB8807}" name="Lower Price" dataDxfId="17"/>
    <tableColumn id="5" xr3:uid="{DF74F055-5560-4798-8E2A-D16E8B408F64}" name="Discounted Price" dataDxfId="16"/>
    <tableColumn id="6" xr3:uid="{569ABCBA-E10A-46E5-8EFB-A021755A3DF4}" name="Annual Plan" dataDxfId="15"/>
  </tableColumns>
  <tableStyleInfo name="TableStyleLight10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9E74703D-EB7C-4484-A6D3-A33DC3B594CC}" name="Table16" displayName="Table16" ref="A1:D13" totalsRowShown="0">
  <autoFilter ref="A1:D13" xr:uid="{9E74703D-EB7C-4484-A6D3-A33DC3B594CC}"/>
  <tableColumns count="4">
    <tableColumn id="1" xr3:uid="{AA188F6D-2105-48C7-91D7-8E63E7D89DAF}" name="Metric"/>
    <tableColumn id="2" xr3:uid="{179F47AA-0AC8-4A16-931D-C2F76B1E2261}" name="Best Case"/>
    <tableColumn id="3" xr3:uid="{0D5D5C65-1544-421F-9237-774F2C1E2718}" name="Base Case"/>
    <tableColumn id="4" xr3:uid="{5DA3956F-9C2E-4E59-91C3-B6FA5FB0547C}" name="Worst Case"/>
  </tableColumns>
  <tableStyleInfo name="TableStyleLight10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39920532-B520-4B69-848B-EF3BBC997C67}" name="Table17" displayName="Table17" ref="A1:E16" totalsRowShown="0">
  <autoFilter ref="A1:E16" xr:uid="{39920532-B520-4B69-848B-EF3BBC997C67}"/>
  <tableColumns count="5">
    <tableColumn id="1" xr3:uid="{18587BE8-1CAB-4749-A725-AB73D7FFA958}" name="Metric"/>
    <tableColumn id="2" xr3:uid="{7D1D178F-E513-429B-B146-228E2E1853D7}" name="Value"/>
    <tableColumn id="3" xr3:uid="{278EA542-413C-4559-AFC9-695BB106B5DC}" name="Data Source"/>
    <tableColumn id="4" xr3:uid="{428CE1EC-77BC-4C58-AF85-6836B293138F}" name="Status"/>
    <tableColumn id="5" xr3:uid="{68EFDEAA-86AE-47E6-81A4-D2382A1BD3D1}" name="Notes"/>
  </tableColumns>
  <tableStyleInfo name="TableStyleLight10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7FBA8297-A34C-464C-900B-30FB44D83608}" name="Table18" displayName="Table18" ref="A1:D10" totalsRowShown="0" dataDxfId="8">
  <autoFilter ref="A1:D10" xr:uid="{7FBA8297-A34C-464C-900B-30FB44D83608}"/>
  <tableColumns count="4">
    <tableColumn id="1" xr3:uid="{CE1FFB76-0E7D-4CE2-B987-EE8AA2E707AD}" name="Price Change %" dataDxfId="12"/>
    <tableColumn id="2" xr3:uid="{131E4C6B-FCDB-43E1-8E2E-53744C2498D8}" name="Elasticity -0.5: Purchase Change %" dataDxfId="11">
      <calculatedColumnFormula>(1+A2)^-0.5-1</calculatedColumnFormula>
    </tableColumn>
    <tableColumn id="3" xr3:uid="{219559B7-024A-478E-BB42-0174BF2F2E63}" name="Elasticity -1.0: Purchase Change %" dataDxfId="10">
      <calculatedColumnFormula>(1+A2)^-1-1</calculatedColumnFormula>
    </tableColumn>
    <tableColumn id="4" xr3:uid="{E0094712-FEC2-4F78-9CFA-6CBEF77501E2}" name="Elasticity -1.5: Purchase Change %" dataDxfId="9">
      <calculatedColumnFormula>(1+A2)^-1.5-1</calculatedColumnFormula>
    </tableColumn>
  </tableColumns>
  <tableStyleInfo name="TableStyleLight10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85EEA9BA-50BA-4709-9030-A48290B578F6}" name="Table19" displayName="Table19" ref="A1:F12" totalsRowShown="0" headerRowDxfId="0" dataDxfId="1">
  <autoFilter ref="A1:F12" xr:uid="{85EEA9BA-50BA-4709-9030-A48290B578F6}"/>
  <tableColumns count="6">
    <tableColumn id="1" xr3:uid="{16483637-C96E-4B9C-AD47-53209E693C6D}" name="Metric" dataDxfId="7"/>
    <tableColumn id="2" xr3:uid="{152D65D8-D007-4237-AB9C-33630D4E48C0}" name="Current Price" dataDxfId="6"/>
    <tableColumn id="3" xr3:uid="{4DBDD24D-3CA4-437C-9FE7-0CB0AADEA6C8}" name="Higher Price" dataDxfId="5"/>
    <tableColumn id="4" xr3:uid="{21DE836A-2AB2-42DD-ACB9-DAF64A783942}" name="Lower Price" dataDxfId="4"/>
    <tableColumn id="5" xr3:uid="{CCB36134-6243-403C-9CF2-A2394E6AD2A1}" name="Discounted Price" dataDxfId="3"/>
    <tableColumn id="6" xr3:uid="{A0CD8A4B-36A5-4FF6-9AE4-59CB2B915E83}" name="Annual Plan" dataDxfId="2"/>
  </tableColumns>
  <tableStyleInfo name="TableStyleLight10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2101CB01-7439-44FD-8652-02D19573CD87}" name="Table20" displayName="Table20" ref="A1:E12" totalsRowShown="0">
  <autoFilter ref="A1:E12" xr:uid="{2101CB01-7439-44FD-8652-02D19573CD87}"/>
  <tableColumns count="5">
    <tableColumn id="1" xr3:uid="{18F44532-17EB-4A1A-B916-9F9D74F6464D}" name="Area"/>
    <tableColumn id="2" xr3:uid="{8B835F8F-6A51-4598-89C6-D006976F311E}" name="Observation"/>
    <tableColumn id="3" xr3:uid="{95F0A6CF-D2D6-4709-8816-6A7274A75FA6}" name="Business Impact"/>
    <tableColumn id="4" xr3:uid="{01776EFC-7822-4DC8-943A-FDA6227A7F09}" name="Recommendation"/>
    <tableColumn id="5" xr3:uid="{843F7BF9-B2C1-4B2C-9348-E6DB4B65E0B3}" name="Status"/>
  </tableColumns>
  <tableStyleInfo name="TableStyleLight10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7DBAB491-3457-4A06-9596-869FB8E5AD7F}" name="Table21" displayName="Table21" ref="A1:D19" totalsRowShown="0">
  <autoFilter ref="A1:D19" xr:uid="{7DBAB491-3457-4A06-9596-869FB8E5AD7F}"/>
  <tableColumns count="4">
    <tableColumn id="1" xr3:uid="{4160C9B2-1E1B-43A3-9103-FF38CBB4D535}" name="Data Item"/>
    <tableColumn id="2" xr3:uid="{E44442D1-CADC-4949-96B9-28AA67F1B4A2}" name="Source"/>
    <tableColumn id="3" xr3:uid="{9FE07C29-AC48-4B65-8374-A128BFCB445E}" name="Status"/>
    <tableColumn id="4" xr3:uid="{840536DB-A87E-48E6-B446-E55462418755}" name="Action Required"/>
  </tableColumns>
  <tableStyleInfo name="TableStyleLight10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1E6107B1-43E7-40DD-BAB9-53944E23E03B}" name="Table22" displayName="Table22" ref="A1:E13" totalsRowShown="0">
  <autoFilter ref="A1:E13" xr:uid="{1E6107B1-43E7-40DD-BAB9-53944E23E03B}"/>
  <tableColumns count="5">
    <tableColumn id="1" xr3:uid="{1FDCE817-0816-4827-A9B5-E030D69D4266}" name="Field"/>
    <tableColumn id="2" xr3:uid="{7DE980F3-1BEA-4886-88D2-611998882EAC}" name="Code Reference"/>
    <tableColumn id="3" xr3:uid="{A58CB7B2-E954-42CB-A089-B1DA73AD8642}" name="Purpose"/>
    <tableColumn id="4" xr3:uid="{F37AEAEC-ED42-4052-AF56-1A2581873A1B}" name="Current Status"/>
    <tableColumn id="5" xr3:uid="{E656B7E3-86B9-47D9-9F1D-373B8C7426EA}" name="Required Validation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62A9A-EFBA-408B-96CC-3E13FE015182}">
  <dimension ref="A1:H22"/>
  <sheetViews>
    <sheetView workbookViewId="0">
      <selection activeCell="C25" sqref="C25"/>
    </sheetView>
  </sheetViews>
  <sheetFormatPr defaultRowHeight="14.4" x14ac:dyDescent="0.3"/>
  <cols>
    <col min="1" max="1" width="31.5546875" style="4" bestFit="1" customWidth="1"/>
    <col min="2" max="2" width="24.5546875" bestFit="1" customWidth="1"/>
    <col min="3" max="3" width="10.21875" style="4" bestFit="1" customWidth="1"/>
    <col min="4" max="4" width="22.44140625" style="4" bestFit="1" customWidth="1"/>
    <col min="5" max="5" width="40.88671875" style="4" bestFit="1" customWidth="1"/>
  </cols>
  <sheetData>
    <row r="1" spans="1:8" x14ac:dyDescent="0.3">
      <c r="A1" s="4" t="s">
        <v>0</v>
      </c>
      <c r="B1" t="s">
        <v>1</v>
      </c>
      <c r="C1" s="4" t="s">
        <v>2</v>
      </c>
      <c r="D1" s="4" t="s">
        <v>3</v>
      </c>
      <c r="E1" s="4" t="s">
        <v>4</v>
      </c>
    </row>
    <row r="2" spans="1:8" x14ac:dyDescent="0.3">
      <c r="A2" s="4" t="s">
        <v>5</v>
      </c>
      <c r="B2" s="2">
        <v>2</v>
      </c>
      <c r="C2" s="4" t="s">
        <v>6</v>
      </c>
      <c r="D2" s="4" t="s">
        <v>127</v>
      </c>
      <c r="E2" s="4" t="s">
        <v>9</v>
      </c>
    </row>
    <row r="3" spans="1:8" x14ac:dyDescent="0.3">
      <c r="A3" s="4" t="s">
        <v>8</v>
      </c>
      <c r="B3" s="2" t="s">
        <v>9</v>
      </c>
      <c r="C3" s="4" t="s">
        <v>10</v>
      </c>
      <c r="D3" s="4" t="s">
        <v>11</v>
      </c>
      <c r="E3" s="4" t="s">
        <v>128</v>
      </c>
    </row>
    <row r="4" spans="1:8" x14ac:dyDescent="0.3">
      <c r="A4" s="4" t="s">
        <v>12</v>
      </c>
      <c r="B4" s="2">
        <v>299</v>
      </c>
      <c r="C4" s="4" t="s">
        <v>13</v>
      </c>
      <c r="D4" s="4" t="s">
        <v>11</v>
      </c>
      <c r="E4" s="4" t="s">
        <v>129</v>
      </c>
    </row>
    <row r="5" spans="1:8" x14ac:dyDescent="0.3">
      <c r="A5" s="4" t="s">
        <v>14</v>
      </c>
      <c r="B5" s="2">
        <v>1499</v>
      </c>
      <c r="C5" s="4" t="s">
        <v>13</v>
      </c>
      <c r="D5" s="4" t="s">
        <v>11</v>
      </c>
      <c r="E5" s="4" t="s">
        <v>129</v>
      </c>
    </row>
    <row r="6" spans="1:8" x14ac:dyDescent="0.3">
      <c r="A6" s="4" t="s">
        <v>60</v>
      </c>
      <c r="B6" s="2"/>
      <c r="C6" s="4" t="s">
        <v>130</v>
      </c>
      <c r="D6" s="4" t="s">
        <v>90</v>
      </c>
      <c r="E6" s="4" t="s">
        <v>131</v>
      </c>
    </row>
    <row r="7" spans="1:8" x14ac:dyDescent="0.3">
      <c r="A7" s="4" t="s">
        <v>87</v>
      </c>
      <c r="B7" s="2"/>
      <c r="C7" s="4" t="s">
        <v>130</v>
      </c>
      <c r="D7" s="4" t="s">
        <v>15</v>
      </c>
      <c r="E7" s="4" t="s">
        <v>16</v>
      </c>
    </row>
    <row r="8" spans="1:8" x14ac:dyDescent="0.3">
      <c r="A8" s="4" t="s">
        <v>64</v>
      </c>
      <c r="B8" s="2"/>
      <c r="C8" s="4" t="s">
        <v>17</v>
      </c>
      <c r="D8" s="4" t="s">
        <v>15</v>
      </c>
      <c r="E8" s="4" t="s">
        <v>132</v>
      </c>
    </row>
    <row r="9" spans="1:8" x14ac:dyDescent="0.3">
      <c r="A9" s="4" t="s">
        <v>65</v>
      </c>
      <c r="B9" s="2"/>
      <c r="C9" s="4" t="s">
        <v>17</v>
      </c>
      <c r="D9" s="4" t="s">
        <v>15</v>
      </c>
      <c r="E9" s="4" t="s">
        <v>18</v>
      </c>
    </row>
    <row r="10" spans="1:8" x14ac:dyDescent="0.3">
      <c r="A10" s="4" t="s">
        <v>19</v>
      </c>
      <c r="B10" s="3">
        <v>0.15</v>
      </c>
      <c r="C10" s="4" t="s">
        <v>17</v>
      </c>
      <c r="D10" s="4" t="s">
        <v>20</v>
      </c>
      <c r="E10" s="4" t="s">
        <v>21</v>
      </c>
    </row>
    <row r="11" spans="1:8" x14ac:dyDescent="0.3">
      <c r="A11" s="4" t="s">
        <v>22</v>
      </c>
      <c r="B11" s="3">
        <v>-0.15</v>
      </c>
      <c r="C11" s="4" t="s">
        <v>17</v>
      </c>
      <c r="D11" s="4" t="s">
        <v>20</v>
      </c>
      <c r="E11" s="4" t="s">
        <v>21</v>
      </c>
    </row>
    <row r="12" spans="1:8" x14ac:dyDescent="0.3">
      <c r="A12" s="4" t="s">
        <v>23</v>
      </c>
      <c r="B12" s="3">
        <v>0.2</v>
      </c>
      <c r="C12" s="4" t="s">
        <v>17</v>
      </c>
      <c r="D12" s="4" t="s">
        <v>20</v>
      </c>
      <c r="E12" s="4" t="s">
        <v>21</v>
      </c>
    </row>
    <row r="13" spans="1:8" x14ac:dyDescent="0.3">
      <c r="A13" s="4" t="s">
        <v>24</v>
      </c>
      <c r="B13" s="3">
        <v>0.2</v>
      </c>
      <c r="C13" s="4" t="s">
        <v>17</v>
      </c>
      <c r="D13" s="4" t="s">
        <v>25</v>
      </c>
      <c r="E13" s="4" t="s">
        <v>26</v>
      </c>
    </row>
    <row r="14" spans="1:8" x14ac:dyDescent="0.3">
      <c r="A14" s="4" t="s">
        <v>27</v>
      </c>
      <c r="B14" s="3">
        <v>10</v>
      </c>
      <c r="C14" s="4" t="s">
        <v>28</v>
      </c>
      <c r="D14" s="4" t="s">
        <v>25</v>
      </c>
      <c r="E14" s="4" t="s">
        <v>133</v>
      </c>
    </row>
    <row r="15" spans="1:8" x14ac:dyDescent="0.3">
      <c r="A15" s="4" t="s">
        <v>134</v>
      </c>
      <c r="B15" s="3">
        <v>0.2</v>
      </c>
      <c r="C15" s="4" t="s">
        <v>17</v>
      </c>
      <c r="D15" s="4" t="s">
        <v>20</v>
      </c>
      <c r="E15" s="4" t="s">
        <v>21</v>
      </c>
      <c r="H15" s="4"/>
    </row>
    <row r="16" spans="1:8" x14ac:dyDescent="0.3">
      <c r="A16" s="4" t="s">
        <v>135</v>
      </c>
      <c r="B16" s="3">
        <v>0</v>
      </c>
      <c r="C16" s="4" t="s">
        <v>17</v>
      </c>
      <c r="D16" s="4" t="s">
        <v>20</v>
      </c>
      <c r="E16" s="4" t="s">
        <v>21</v>
      </c>
    </row>
    <row r="17" spans="1:5" x14ac:dyDescent="0.3">
      <c r="A17" s="4" t="s">
        <v>136</v>
      </c>
      <c r="B17" s="3">
        <v>-0.2</v>
      </c>
      <c r="C17" s="4" t="s">
        <v>17</v>
      </c>
      <c r="D17" s="4" t="s">
        <v>20</v>
      </c>
      <c r="E17" s="4" t="s">
        <v>21</v>
      </c>
    </row>
    <row r="18" spans="1:5" x14ac:dyDescent="0.3">
      <c r="A18" s="4" t="s">
        <v>29</v>
      </c>
      <c r="B18" s="3">
        <v>-1</v>
      </c>
      <c r="C18" s="4" t="s">
        <v>30</v>
      </c>
      <c r="D18" s="4" t="s">
        <v>25</v>
      </c>
      <c r="E18" s="4" t="s">
        <v>31</v>
      </c>
    </row>
    <row r="19" spans="1:5" x14ac:dyDescent="0.3">
      <c r="A19" s="4" t="s">
        <v>137</v>
      </c>
      <c r="B19" s="3"/>
      <c r="C19" s="4" t="s">
        <v>13</v>
      </c>
      <c r="D19" s="4" t="s">
        <v>15</v>
      </c>
      <c r="E19" s="4" t="s">
        <v>138</v>
      </c>
    </row>
    <row r="20" spans="1:5" x14ac:dyDescent="0.3">
      <c r="A20" s="4" t="s">
        <v>63</v>
      </c>
      <c r="B20" s="2"/>
      <c r="C20" s="4" t="s">
        <v>13</v>
      </c>
      <c r="D20" s="4" t="s">
        <v>15</v>
      </c>
      <c r="E20" s="4" t="s">
        <v>138</v>
      </c>
    </row>
    <row r="21" spans="1:5" x14ac:dyDescent="0.3">
      <c r="A21" s="4" t="s">
        <v>139</v>
      </c>
      <c r="B21" s="2"/>
      <c r="C21" s="4" t="s">
        <v>140</v>
      </c>
      <c r="D21" s="4" t="s">
        <v>90</v>
      </c>
      <c r="E21" s="4" t="s">
        <v>141</v>
      </c>
    </row>
    <row r="22" spans="1:5" x14ac:dyDescent="0.3">
      <c r="A22" s="4" t="s">
        <v>32</v>
      </c>
      <c r="B22" s="2" t="s">
        <v>13</v>
      </c>
      <c r="C22" s="4" t="s">
        <v>10</v>
      </c>
      <c r="D22" s="4" t="s">
        <v>33</v>
      </c>
      <c r="E22" s="4" t="s">
        <v>34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393E6-0E6C-47E1-9664-23F49C1B2DE2}">
  <dimension ref="A1:H8"/>
  <sheetViews>
    <sheetView workbookViewId="0">
      <selection activeCell="C3" sqref="A2:H8"/>
    </sheetView>
  </sheetViews>
  <sheetFormatPr defaultRowHeight="14.4" x14ac:dyDescent="0.3"/>
  <cols>
    <col min="1" max="1" width="2" bestFit="1" customWidth="1"/>
    <col min="2" max="2" width="24.5546875" bestFit="1" customWidth="1"/>
    <col min="3" max="3" width="28" bestFit="1" customWidth="1"/>
    <col min="4" max="4" width="27.109375" bestFit="1" customWidth="1"/>
    <col min="5" max="5" width="23.5546875" bestFit="1" customWidth="1"/>
    <col min="6" max="6" width="22.6640625" style="6" bestFit="1" customWidth="1"/>
    <col min="7" max="7" width="16.77734375" bestFit="1" customWidth="1"/>
    <col min="8" max="8" width="22.44140625" bestFit="1" customWidth="1"/>
  </cols>
  <sheetData>
    <row r="1" spans="1:8" x14ac:dyDescent="0.3">
      <c r="A1" s="2" t="s">
        <v>35</v>
      </c>
      <c r="B1" s="2" t="s">
        <v>36</v>
      </c>
      <c r="C1" s="2" t="s">
        <v>122</v>
      </c>
      <c r="D1" s="2" t="s">
        <v>38</v>
      </c>
      <c r="E1" s="2" t="s">
        <v>39</v>
      </c>
      <c r="F1" s="5" t="s">
        <v>23</v>
      </c>
      <c r="G1" s="2" t="s">
        <v>142</v>
      </c>
      <c r="H1" t="s">
        <v>84</v>
      </c>
    </row>
    <row r="2" spans="1:8" x14ac:dyDescent="0.3">
      <c r="A2" s="2">
        <v>1</v>
      </c>
      <c r="B2" s="2" t="s">
        <v>41</v>
      </c>
      <c r="C2" s="2">
        <v>399</v>
      </c>
      <c r="D2" s="2">
        <v>1999</v>
      </c>
      <c r="E2" s="2">
        <f>D2-C2</f>
        <v>1600</v>
      </c>
      <c r="F2" s="5">
        <f>IFERROR(E2/D2,0)</f>
        <v>0.80040020010004997</v>
      </c>
      <c r="G2" s="2" t="s">
        <v>143</v>
      </c>
      <c r="H2" t="s">
        <v>11</v>
      </c>
    </row>
    <row r="3" spans="1:8" x14ac:dyDescent="0.3">
      <c r="A3" s="2">
        <v>2</v>
      </c>
      <c r="B3" s="2" t="s">
        <v>9</v>
      </c>
      <c r="C3" s="2">
        <v>299</v>
      </c>
      <c r="D3" s="2">
        <v>1499</v>
      </c>
      <c r="E3" s="2">
        <f>D3-C3</f>
        <v>1200</v>
      </c>
      <c r="F3" s="5">
        <f>IFERROR(E3/D3,0)</f>
        <v>0.80053368912608402</v>
      </c>
      <c r="G3" s="2" t="s">
        <v>143</v>
      </c>
      <c r="H3" t="s">
        <v>11</v>
      </c>
    </row>
    <row r="4" spans="1:8" x14ac:dyDescent="0.3">
      <c r="A4" s="2">
        <v>3</v>
      </c>
      <c r="B4" s="2" t="s">
        <v>42</v>
      </c>
      <c r="C4" s="2">
        <v>499</v>
      </c>
      <c r="D4" s="2">
        <v>2499</v>
      </c>
      <c r="E4" s="2">
        <f>D4-C4</f>
        <v>2000</v>
      </c>
      <c r="F4" s="5">
        <f>IFERROR(E4/D4,0)</f>
        <v>0.80032012805122044</v>
      </c>
      <c r="G4" s="2" t="s">
        <v>143</v>
      </c>
      <c r="H4" t="s">
        <v>11</v>
      </c>
    </row>
    <row r="5" spans="1:8" x14ac:dyDescent="0.3">
      <c r="A5" s="2">
        <v>4</v>
      </c>
      <c r="B5" s="2" t="s">
        <v>43</v>
      </c>
      <c r="C5" s="2">
        <v>499</v>
      </c>
      <c r="D5" s="2">
        <v>4999</v>
      </c>
      <c r="E5" s="2">
        <f>D5-C5</f>
        <v>4500</v>
      </c>
      <c r="F5" s="5">
        <f>IFERROR(E5/D5,0)</f>
        <v>0.90018003600720142</v>
      </c>
      <c r="G5" s="2" t="s">
        <v>143</v>
      </c>
      <c r="H5" t="s">
        <v>11</v>
      </c>
    </row>
    <row r="6" spans="1:8" x14ac:dyDescent="0.3">
      <c r="A6" s="2">
        <v>5</v>
      </c>
      <c r="B6" s="2" t="s">
        <v>44</v>
      </c>
      <c r="C6" s="2">
        <v>1699</v>
      </c>
      <c r="D6" s="2">
        <v>2299</v>
      </c>
      <c r="E6" s="2">
        <f>D6-C6</f>
        <v>600</v>
      </c>
      <c r="F6" s="5">
        <f>IFERROR(E6/D6,0)</f>
        <v>0.26098303610265333</v>
      </c>
      <c r="G6" s="2" t="s">
        <v>143</v>
      </c>
      <c r="H6" t="s">
        <v>11</v>
      </c>
    </row>
    <row r="7" spans="1:8" x14ac:dyDescent="0.3">
      <c r="A7" s="2">
        <v>6</v>
      </c>
      <c r="B7" s="2" t="s">
        <v>45</v>
      </c>
      <c r="C7" s="2">
        <v>2599</v>
      </c>
      <c r="D7" s="2">
        <v>3499</v>
      </c>
      <c r="E7" s="2">
        <f>D7-C7</f>
        <v>900</v>
      </c>
      <c r="F7" s="5">
        <f>IFERROR(E7/D7,0)</f>
        <v>0.2572163475278651</v>
      </c>
      <c r="G7" s="2" t="s">
        <v>143</v>
      </c>
      <c r="H7" t="s">
        <v>11</v>
      </c>
    </row>
    <row r="8" spans="1:8" x14ac:dyDescent="0.3">
      <c r="A8" s="2">
        <v>7</v>
      </c>
      <c r="B8" s="2" t="s">
        <v>46</v>
      </c>
      <c r="C8" s="2">
        <v>2099</v>
      </c>
      <c r="D8" s="2">
        <v>2799</v>
      </c>
      <c r="E8" s="2">
        <f>D8-C8</f>
        <v>700</v>
      </c>
      <c r="F8" s="5">
        <f>IFERROR(E8/D8,0)</f>
        <v>0.25008931761343339</v>
      </c>
      <c r="G8" s="2" t="s">
        <v>143</v>
      </c>
      <c r="H8" t="s">
        <v>11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A7F8D-72F2-475A-B6BF-C9AEA0408A2E}">
  <dimension ref="A1:F18"/>
  <sheetViews>
    <sheetView workbookViewId="0">
      <selection activeCell="E20" sqref="E20"/>
    </sheetView>
  </sheetViews>
  <sheetFormatPr defaultRowHeight="14.4" x14ac:dyDescent="0.3"/>
  <cols>
    <col min="1" max="1" width="33" bestFit="1" customWidth="1"/>
    <col min="2" max="2" width="16.21875" style="2" bestFit="1" customWidth="1"/>
    <col min="3" max="3" width="20" style="2" bestFit="1" customWidth="1"/>
    <col min="4" max="4" width="19.5546875" style="2" bestFit="1" customWidth="1"/>
    <col min="5" max="5" width="18.21875" style="2" bestFit="1" customWidth="1"/>
    <col min="6" max="6" width="36.33203125" style="2" bestFit="1" customWidth="1"/>
  </cols>
  <sheetData>
    <row r="1" spans="1:6" x14ac:dyDescent="0.3">
      <c r="A1" s="2" t="s">
        <v>47</v>
      </c>
      <c r="B1" s="2" t="s">
        <v>48</v>
      </c>
      <c r="C1" s="2" t="s">
        <v>49</v>
      </c>
      <c r="D1" s="2" t="s">
        <v>50</v>
      </c>
      <c r="E1" s="2" t="s">
        <v>51</v>
      </c>
      <c r="F1" s="2" t="s">
        <v>144</v>
      </c>
    </row>
    <row r="2" spans="1:6" x14ac:dyDescent="0.3">
      <c r="A2" s="2" t="s">
        <v>52</v>
      </c>
      <c r="B2" s="2" t="s">
        <v>53</v>
      </c>
      <c r="C2" s="2" t="s">
        <v>145</v>
      </c>
      <c r="D2" s="2" t="s">
        <v>146</v>
      </c>
      <c r="E2" s="2" t="s">
        <v>54</v>
      </c>
      <c r="F2" s="2" t="s">
        <v>147</v>
      </c>
    </row>
    <row r="3" spans="1:6" x14ac:dyDescent="0.3">
      <c r="A3" s="2" t="s">
        <v>148</v>
      </c>
      <c r="B3" s="2">
        <f>Inputs_Assumptions!B4</f>
        <v>299</v>
      </c>
      <c r="C3" s="2">
        <f>B3*(1+Inputs_Assumptions!B10)</f>
        <v>343.84999999999997</v>
      </c>
      <c r="D3" s="2">
        <f>B3*(1+Inputs_Assumptions!B11)</f>
        <v>254.15</v>
      </c>
      <c r="E3" s="2">
        <f>B3*(1-Inputs_Assumptions!B12)</f>
        <v>239.20000000000002</v>
      </c>
      <c r="F3" s="2">
        <f>B3*Inputs_Assumptions!B13</f>
        <v>59.800000000000004</v>
      </c>
    </row>
    <row r="4" spans="1:6" x14ac:dyDescent="0.3">
      <c r="A4" s="2" t="s">
        <v>27</v>
      </c>
      <c r="B4" s="2">
        <v>12</v>
      </c>
      <c r="C4" s="2">
        <v>12</v>
      </c>
      <c r="D4" s="2">
        <v>12</v>
      </c>
      <c r="E4" s="2">
        <v>12</v>
      </c>
      <c r="F4" s="3">
        <f>Inputs_Assumptions!B14</f>
        <v>10</v>
      </c>
    </row>
    <row r="5" spans="1:6" x14ac:dyDescent="0.3">
      <c r="A5" s="2" t="s">
        <v>149</v>
      </c>
      <c r="B5" s="2">
        <f>B3*B4</f>
        <v>3588</v>
      </c>
      <c r="C5" s="2">
        <f>C3*C4</f>
        <v>4126.2</v>
      </c>
      <c r="D5" s="2">
        <f>D3*D4</f>
        <v>3049.8</v>
      </c>
      <c r="E5" s="2">
        <f>E3*E4</f>
        <v>2870.4</v>
      </c>
      <c r="F5" s="2">
        <f>F3*F4</f>
        <v>598</v>
      </c>
    </row>
    <row r="6" spans="1:6" x14ac:dyDescent="0.3">
      <c r="A6" s="2" t="s">
        <v>60</v>
      </c>
      <c r="B6" s="2" t="str">
        <f>IF(Inputs_Assumptions!B6="","",Inputs_Assumptions!B6)</f>
        <v/>
      </c>
      <c r="C6" s="2" t="str">
        <f>IF(B6="","",B6)</f>
        <v/>
      </c>
      <c r="D6" s="2" t="str">
        <f>IF(B6="","",B6)</f>
        <v/>
      </c>
      <c r="E6" s="2" t="str">
        <f>IF(B6="","",B6)</f>
        <v/>
      </c>
      <c r="F6" s="2" t="str">
        <f>IF(B6="","",B6)</f>
        <v/>
      </c>
    </row>
    <row r="7" spans="1:6" x14ac:dyDescent="0.3">
      <c r="A7" s="2" t="s">
        <v>150</v>
      </c>
      <c r="B7" s="3">
        <f>Inputs_Assumptions!B16</f>
        <v>0</v>
      </c>
      <c r="C7" s="3">
        <f>Inputs_Assumptions!B15</f>
        <v>0.2</v>
      </c>
      <c r="D7" s="3">
        <f>Inputs_Assumptions!B17</f>
        <v>-0.2</v>
      </c>
      <c r="E7" s="3">
        <f>Inputs_Assumptions!B15</f>
        <v>0.2</v>
      </c>
      <c r="F7" s="3">
        <f>Inputs_Assumptions!B15</f>
        <v>0.2</v>
      </c>
    </row>
    <row r="8" spans="1:6" x14ac:dyDescent="0.3">
      <c r="A8" s="2" t="s">
        <v>61</v>
      </c>
      <c r="B8" s="2" t="str">
        <f>IF(B6="","",B6*(1+B7))</f>
        <v/>
      </c>
      <c r="C8" s="2" t="str">
        <f>IF(C6="","",C6*(1+C7))</f>
        <v/>
      </c>
      <c r="D8" s="2" t="str">
        <f>IF(D6="","",D6*(1+D7))</f>
        <v/>
      </c>
      <c r="E8" s="2" t="str">
        <f>IF(E6="","",E6*(1+E7))</f>
        <v/>
      </c>
      <c r="F8" s="2" t="str">
        <f>IF(F6="","",F6*(1+F7))</f>
        <v/>
      </c>
    </row>
    <row r="9" spans="1:6" x14ac:dyDescent="0.3">
      <c r="A9" s="2" t="s">
        <v>151</v>
      </c>
      <c r="B9" s="2" t="str">
        <f>IF(B8="","",B8*B5)</f>
        <v/>
      </c>
      <c r="C9" s="2" t="str">
        <f>IF(C8="","",C8*C5)</f>
        <v/>
      </c>
      <c r="D9" s="2" t="str">
        <f>IF(D8="","",D8*D5)</f>
        <v/>
      </c>
      <c r="E9" s="2" t="str">
        <f>IF(E8="","",E8*E5)</f>
        <v/>
      </c>
      <c r="F9" s="2" t="str">
        <f>IF(F8="","",F8*F5)</f>
        <v/>
      </c>
    </row>
    <row r="10" spans="1:6" x14ac:dyDescent="0.3">
      <c r="A10" s="2" t="s">
        <v>152</v>
      </c>
      <c r="B10" s="2" t="str">
        <f>IF(B9="","",0)</f>
        <v/>
      </c>
      <c r="C10" s="2" t="str">
        <f>IF(OR(C9="",B9=0),"",C9/B9-1)</f>
        <v/>
      </c>
      <c r="D10" s="2" t="str">
        <f>IF(OR(D9="",B9=0),"",D9/B9-1)</f>
        <v/>
      </c>
      <c r="E10" s="2" t="str">
        <f>IF(OR(E9="",B9=0),"",E9/B9-1)</f>
        <v/>
      </c>
      <c r="F10" s="2" t="str">
        <f>IF(OR(F9="",B9=0),"",F9/B9-1)</f>
        <v/>
      </c>
    </row>
    <row r="11" spans="1:6" x14ac:dyDescent="0.3">
      <c r="A11" s="2" t="s">
        <v>153</v>
      </c>
      <c r="B11" s="2" t="str">
        <f>IF(B8="","",B8*Inputs_Assumptions!B19)</f>
        <v/>
      </c>
      <c r="C11" s="2" t="str">
        <f>IF(C8="","",C8*Inputs_Assumptions!B19)</f>
        <v/>
      </c>
      <c r="D11" s="2" t="str">
        <f>IF(D8="","",D8*Inputs_Assumptions!B19)</f>
        <v/>
      </c>
      <c r="E11" s="2" t="str">
        <f>IF(E8="","",E8*Inputs_Assumptions!B19)</f>
        <v/>
      </c>
      <c r="F11" s="2" t="str">
        <f>IF(F8="","",F8*Inputs_Assumptions!B19)</f>
        <v/>
      </c>
    </row>
    <row r="12" spans="1:6" x14ac:dyDescent="0.3">
      <c r="A12" s="2" t="s">
        <v>154</v>
      </c>
      <c r="B12" s="2" t="str">
        <f>IF(B9="","",Inputs_Assumptions!B20)</f>
        <v/>
      </c>
      <c r="C12" s="2" t="str">
        <f>IF(C9="","",Inputs_Assumptions!B20)</f>
        <v/>
      </c>
      <c r="D12" s="2" t="str">
        <f>IF(D9="","",Inputs_Assumptions!B20)</f>
        <v/>
      </c>
      <c r="E12" s="2" t="str">
        <f>IF(E9="","",Inputs_Assumptions!B20)</f>
        <v/>
      </c>
      <c r="F12" s="2" t="str">
        <f>IF(F9="","",Inputs_Assumptions!B20)</f>
        <v/>
      </c>
    </row>
    <row r="13" spans="1:6" x14ac:dyDescent="0.3">
      <c r="A13" s="2" t="s">
        <v>155</v>
      </c>
      <c r="B13" s="2" t="str">
        <f>IF(B9="","",B9-B11-B12)</f>
        <v/>
      </c>
      <c r="C13" s="2" t="str">
        <f>IF(C9="","",C9-C11-C12)</f>
        <v/>
      </c>
      <c r="D13" s="2" t="str">
        <f>IF(D9="","",D9-D11-D12)</f>
        <v/>
      </c>
      <c r="E13" s="2" t="str">
        <f>IF(E9="","",E9-E11-E12)</f>
        <v/>
      </c>
      <c r="F13" s="2" t="str">
        <f>IF(F9="","",F9-F11-F12)</f>
        <v/>
      </c>
    </row>
    <row r="14" spans="1:6" x14ac:dyDescent="0.3">
      <c r="A14" s="2" t="s">
        <v>3</v>
      </c>
      <c r="B14" s="2" t="s">
        <v>156</v>
      </c>
      <c r="C14" s="2" t="s">
        <v>156</v>
      </c>
      <c r="D14" s="2" t="s">
        <v>156</v>
      </c>
      <c r="E14" s="2" t="s">
        <v>156</v>
      </c>
      <c r="F14" s="2" t="s">
        <v>157</v>
      </c>
    </row>
    <row r="15" spans="1:6" x14ac:dyDescent="0.3">
      <c r="A15" s="2"/>
    </row>
    <row r="16" spans="1:6" x14ac:dyDescent="0.3">
      <c r="A16" s="2"/>
    </row>
    <row r="17" spans="1:1" x14ac:dyDescent="0.3">
      <c r="A17" s="2"/>
    </row>
    <row r="18" spans="1:1" x14ac:dyDescent="0.3">
      <c r="A18" s="2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7576D-35BB-415D-AA04-E9FE79D30F92}">
  <dimension ref="A1:D13"/>
  <sheetViews>
    <sheetView workbookViewId="0">
      <selection sqref="A1:D13"/>
    </sheetView>
  </sheetViews>
  <sheetFormatPr defaultRowHeight="14.4" x14ac:dyDescent="0.3"/>
  <cols>
    <col min="1" max="1" width="23.77734375" bestFit="1" customWidth="1"/>
    <col min="2" max="2" width="24.109375" bestFit="1" customWidth="1"/>
    <col min="3" max="3" width="30.33203125" bestFit="1" customWidth="1"/>
    <col min="4" max="4" width="23.88671875" bestFit="1" customWidth="1"/>
  </cols>
  <sheetData>
    <row r="1" spans="1:4" x14ac:dyDescent="0.3">
      <c r="A1" t="s">
        <v>47</v>
      </c>
      <c r="B1" t="s">
        <v>56</v>
      </c>
      <c r="C1" t="s">
        <v>57</v>
      </c>
      <c r="D1" t="s">
        <v>58</v>
      </c>
    </row>
    <row r="2" spans="1:4" x14ac:dyDescent="0.3">
      <c r="A2" t="s">
        <v>52</v>
      </c>
      <c r="B2" t="s">
        <v>158</v>
      </c>
      <c r="C2" t="s">
        <v>159</v>
      </c>
      <c r="D2" t="s">
        <v>160</v>
      </c>
    </row>
    <row r="3" spans="1:4" x14ac:dyDescent="0.3">
      <c r="A3" t="s">
        <v>59</v>
      </c>
      <c r="B3" s="1">
        <v>0</v>
      </c>
      <c r="C3" s="1">
        <v>0</v>
      </c>
      <c r="D3" s="1">
        <v>0</v>
      </c>
    </row>
    <row r="4" spans="1:4" x14ac:dyDescent="0.3">
      <c r="A4" t="s">
        <v>161</v>
      </c>
      <c r="B4" s="3">
        <f>Inputs_Assumptions!B15</f>
        <v>0.2</v>
      </c>
      <c r="C4" s="3">
        <f>Inputs_Assumptions!B16</f>
        <v>0</v>
      </c>
      <c r="D4" s="3">
        <f>Inputs_Assumptions!B17</f>
        <v>-0.2</v>
      </c>
    </row>
    <row r="5" spans="1:4" x14ac:dyDescent="0.3">
      <c r="A5" t="s">
        <v>37</v>
      </c>
      <c r="B5" s="3">
        <f>Inputs_Assumptions!B4</f>
        <v>299</v>
      </c>
      <c r="C5" s="3">
        <f>Inputs_Assumptions!B4</f>
        <v>299</v>
      </c>
      <c r="D5" s="3">
        <f>Inputs_Assumptions!B4</f>
        <v>299</v>
      </c>
    </row>
    <row r="6" spans="1:4" x14ac:dyDescent="0.3">
      <c r="A6" t="s">
        <v>60</v>
      </c>
      <c r="B6" t="str">
        <f>IF(Inputs_Assumptions!B6="","",Inputs_Assumptions!B6)</f>
        <v/>
      </c>
      <c r="C6" t="str">
        <f>IF(Inputs_Assumptions!B6="","",Inputs_Assumptions!B6)</f>
        <v/>
      </c>
      <c r="D6" t="str">
        <f>IF(Inputs_Assumptions!B6="","",Inputs_Assumptions!B6)</f>
        <v/>
      </c>
    </row>
    <row r="7" spans="1:4" x14ac:dyDescent="0.3">
      <c r="A7" t="s">
        <v>61</v>
      </c>
      <c r="B7" t="str">
        <f>IF(B6="","",B6*(1+B4))</f>
        <v/>
      </c>
      <c r="C7" t="str">
        <f>IF(C6="","",C6*(1+C4))</f>
        <v/>
      </c>
      <c r="D7" t="str">
        <f>IF(D6="","",D6*(1+D4))</f>
        <v/>
      </c>
    </row>
    <row r="8" spans="1:4" x14ac:dyDescent="0.3">
      <c r="A8" t="s">
        <v>151</v>
      </c>
      <c r="B8" t="str">
        <f>IF(B7="","",B7*B5)</f>
        <v/>
      </c>
      <c r="C8" t="str">
        <f>IF(C7="","",C7*C5)</f>
        <v/>
      </c>
      <c r="D8" t="str">
        <f>IF(D7="","",D7*D5)</f>
        <v/>
      </c>
    </row>
    <row r="9" spans="1:4" x14ac:dyDescent="0.3">
      <c r="A9" t="s">
        <v>153</v>
      </c>
      <c r="B9" t="str">
        <f>IF(B7="","",B7*Inputs_Assumptions!B19)</f>
        <v/>
      </c>
      <c r="C9" t="str">
        <f>IF(C7="","",C7*Inputs_Assumptions!B19)</f>
        <v/>
      </c>
      <c r="D9" t="str">
        <f>IF(D7="","",D7*Inputs_Assumptions!B19)</f>
        <v/>
      </c>
    </row>
    <row r="10" spans="1:4" x14ac:dyDescent="0.3">
      <c r="A10" t="s">
        <v>154</v>
      </c>
      <c r="B10" t="str">
        <f>IF(B7="","",Inputs_Assumptions!B20)</f>
        <v/>
      </c>
      <c r="C10" t="str">
        <f>IF(C7="","",Inputs_Assumptions!B20)</f>
        <v/>
      </c>
      <c r="D10" t="str">
        <f>IF(D7="","",Inputs_Assumptions!B20)</f>
        <v/>
      </c>
    </row>
    <row r="11" spans="1:4" x14ac:dyDescent="0.3">
      <c r="A11" t="s">
        <v>155</v>
      </c>
      <c r="B11" t="str">
        <f>IF(B8="","",B8-B9-B10)</f>
        <v/>
      </c>
      <c r="C11" t="str">
        <f>IF(C8="","",C8-C9-C10)</f>
        <v/>
      </c>
      <c r="D11" t="str">
        <f>IF(D8="","",D8-D9-D10)</f>
        <v/>
      </c>
    </row>
    <row r="12" spans="1:4" x14ac:dyDescent="0.3">
      <c r="A12" t="s">
        <v>62</v>
      </c>
      <c r="B12" t="s">
        <v>162</v>
      </c>
      <c r="C12" t="s">
        <v>163</v>
      </c>
      <c r="D12" t="s">
        <v>164</v>
      </c>
    </row>
    <row r="13" spans="1:4" x14ac:dyDescent="0.3">
      <c r="A13" t="s">
        <v>3</v>
      </c>
      <c r="B13" t="s">
        <v>7</v>
      </c>
      <c r="C13" t="s">
        <v>7</v>
      </c>
      <c r="D13" t="s">
        <v>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F655E-B1B4-4F64-8BFA-AD756B09829B}">
  <dimension ref="A1:E16"/>
  <sheetViews>
    <sheetView workbookViewId="0">
      <selection activeCell="C22" sqref="C22"/>
    </sheetView>
  </sheetViews>
  <sheetFormatPr defaultRowHeight="14.4" x14ac:dyDescent="0.3"/>
  <cols>
    <col min="1" max="1" width="31.6640625" bestFit="1" customWidth="1"/>
    <col min="2" max="2" width="24.5546875" bestFit="1" customWidth="1"/>
    <col min="3" max="3" width="28.5546875" bestFit="1" customWidth="1"/>
    <col min="4" max="4" width="30.21875" bestFit="1" customWidth="1"/>
    <col min="5" max="5" width="36.33203125" bestFit="1" customWidth="1"/>
    <col min="6" max="6" width="24.21875" bestFit="1" customWidth="1"/>
  </cols>
  <sheetData>
    <row r="1" spans="1:5" x14ac:dyDescent="0.3">
      <c r="A1" t="s">
        <v>47</v>
      </c>
      <c r="B1" t="s">
        <v>1</v>
      </c>
      <c r="C1" t="s">
        <v>40</v>
      </c>
      <c r="D1" t="s">
        <v>85</v>
      </c>
      <c r="E1" t="s">
        <v>4</v>
      </c>
    </row>
    <row r="2" spans="1:5" x14ac:dyDescent="0.3">
      <c r="A2" t="s">
        <v>165</v>
      </c>
      <c r="B2" t="str">
        <f>Inputs_Assumptions!B3</f>
        <v>Python Programming Mastery</v>
      </c>
      <c r="C2" t="s">
        <v>166</v>
      </c>
      <c r="D2" t="s">
        <v>167</v>
      </c>
      <c r="E2" t="s">
        <v>168</v>
      </c>
    </row>
    <row r="3" spans="1:5" x14ac:dyDescent="0.3">
      <c r="A3" t="s">
        <v>122</v>
      </c>
      <c r="B3">
        <f>Inputs_Assumptions!B4</f>
        <v>299</v>
      </c>
      <c r="C3" t="s">
        <v>169</v>
      </c>
      <c r="D3" t="s">
        <v>170</v>
      </c>
      <c r="E3" t="s">
        <v>171</v>
      </c>
    </row>
    <row r="4" spans="1:5" x14ac:dyDescent="0.3">
      <c r="A4" t="s">
        <v>172</v>
      </c>
      <c r="B4" t="str">
        <f>IF(Inputs_Assumptions!B6="","",Inputs_Assumptions!B6)</f>
        <v/>
      </c>
      <c r="C4" t="s">
        <v>173</v>
      </c>
      <c r="D4" t="s">
        <v>174</v>
      </c>
      <c r="E4" t="s">
        <v>175</v>
      </c>
    </row>
    <row r="5" spans="1:5" x14ac:dyDescent="0.3">
      <c r="A5" t="s">
        <v>176</v>
      </c>
      <c r="B5" t="str">
        <f>IF(B4="","",B3*B4)</f>
        <v/>
      </c>
      <c r="C5" t="s">
        <v>177</v>
      </c>
      <c r="D5" t="s">
        <v>178</v>
      </c>
      <c r="E5" t="s">
        <v>179</v>
      </c>
    </row>
    <row r="6" spans="1:5" x14ac:dyDescent="0.3">
      <c r="A6" t="s">
        <v>180</v>
      </c>
      <c r="B6" t="str">
        <f>Pricing_Scenarios!C9</f>
        <v/>
      </c>
      <c r="C6" t="s">
        <v>177</v>
      </c>
      <c r="D6" t="s">
        <v>178</v>
      </c>
      <c r="E6" t="s">
        <v>181</v>
      </c>
    </row>
    <row r="7" spans="1:5" x14ac:dyDescent="0.3">
      <c r="A7" t="s">
        <v>182</v>
      </c>
      <c r="B7" t="str">
        <f>Pricing_Scenarios!D9</f>
        <v/>
      </c>
      <c r="C7" t="s">
        <v>177</v>
      </c>
      <c r="D7" t="s">
        <v>178</v>
      </c>
      <c r="E7" t="s">
        <v>181</v>
      </c>
    </row>
    <row r="8" spans="1:5" x14ac:dyDescent="0.3">
      <c r="A8" t="s">
        <v>183</v>
      </c>
      <c r="B8" t="str">
        <f>Pricing_Scenarios!E9</f>
        <v/>
      </c>
      <c r="C8" t="s">
        <v>177</v>
      </c>
      <c r="D8" t="s">
        <v>178</v>
      </c>
      <c r="E8" t="s">
        <v>181</v>
      </c>
    </row>
    <row r="9" spans="1:5" x14ac:dyDescent="0.3">
      <c r="A9" t="s">
        <v>184</v>
      </c>
      <c r="B9" t="str">
        <f>Pricing_Scenarios!F9</f>
        <v/>
      </c>
      <c r="C9" t="s">
        <v>177</v>
      </c>
      <c r="D9" t="s">
        <v>178</v>
      </c>
      <c r="E9" t="s">
        <v>185</v>
      </c>
    </row>
    <row r="10" spans="1:5" x14ac:dyDescent="0.3">
      <c r="A10" t="s">
        <v>186</v>
      </c>
      <c r="C10" t="s">
        <v>124</v>
      </c>
      <c r="D10" t="s">
        <v>187</v>
      </c>
      <c r="E10" t="s">
        <v>188</v>
      </c>
    </row>
    <row r="11" spans="1:5" x14ac:dyDescent="0.3">
      <c r="A11" t="s">
        <v>189</v>
      </c>
      <c r="C11" t="s">
        <v>126</v>
      </c>
      <c r="D11" t="s">
        <v>187</v>
      </c>
      <c r="E11" t="s">
        <v>190</v>
      </c>
    </row>
    <row r="12" spans="1:5" x14ac:dyDescent="0.3">
      <c r="A12" t="s">
        <v>191</v>
      </c>
      <c r="C12" t="s">
        <v>192</v>
      </c>
      <c r="D12" t="s">
        <v>193</v>
      </c>
      <c r="E12" t="s">
        <v>194</v>
      </c>
    </row>
    <row r="13" spans="1:5" x14ac:dyDescent="0.3">
      <c r="A13" t="s">
        <v>195</v>
      </c>
      <c r="C13" t="s">
        <v>89</v>
      </c>
      <c r="D13" t="s">
        <v>187</v>
      </c>
      <c r="E13" t="s">
        <v>196</v>
      </c>
    </row>
    <row r="14" spans="1:5" x14ac:dyDescent="0.3">
      <c r="A14" t="s">
        <v>197</v>
      </c>
      <c r="C14" t="s">
        <v>198</v>
      </c>
      <c r="D14" t="s">
        <v>15</v>
      </c>
      <c r="E14" t="s">
        <v>199</v>
      </c>
    </row>
    <row r="15" spans="1:5" x14ac:dyDescent="0.3">
      <c r="A15" t="s">
        <v>200</v>
      </c>
      <c r="C15" t="s">
        <v>198</v>
      </c>
      <c r="D15" t="s">
        <v>15</v>
      </c>
      <c r="E15" t="s">
        <v>199</v>
      </c>
    </row>
    <row r="16" spans="1:5" x14ac:dyDescent="0.3">
      <c r="A16" t="s">
        <v>201</v>
      </c>
      <c r="C16" t="s">
        <v>202</v>
      </c>
      <c r="D16" t="s">
        <v>193</v>
      </c>
      <c r="E16" t="s">
        <v>203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90F9B-39B8-4A35-8903-5F574EF3EFCB}">
  <dimension ref="A1:D10"/>
  <sheetViews>
    <sheetView workbookViewId="0">
      <selection activeCell="B5" sqref="A2:D10"/>
    </sheetView>
  </sheetViews>
  <sheetFormatPr defaultRowHeight="14.4" x14ac:dyDescent="0.3"/>
  <cols>
    <col min="1" max="1" width="16" bestFit="1" customWidth="1"/>
    <col min="2" max="4" width="31.109375" customWidth="1"/>
  </cols>
  <sheetData>
    <row r="1" spans="1:4" x14ac:dyDescent="0.3">
      <c r="A1" t="s">
        <v>59</v>
      </c>
      <c r="B1" t="s">
        <v>204</v>
      </c>
      <c r="C1" t="s">
        <v>205</v>
      </c>
      <c r="D1" t="s">
        <v>206</v>
      </c>
    </row>
    <row r="2" spans="1:4" x14ac:dyDescent="0.3">
      <c r="A2" s="6">
        <v>-0.2</v>
      </c>
      <c r="B2" s="6">
        <f>(1+A2)^-0.5-1</f>
        <v>0.1180339887498949</v>
      </c>
      <c r="C2" s="6">
        <f>(1+A2)^-1-1</f>
        <v>0.25</v>
      </c>
      <c r="D2" s="6">
        <f>(1+A2)^-1.5-1</f>
        <v>0.39754248593736863</v>
      </c>
    </row>
    <row r="3" spans="1:4" x14ac:dyDescent="0.3">
      <c r="A3" s="6">
        <v>-0.15</v>
      </c>
      <c r="B3" s="6">
        <f>(1+A3)^-0.5-1</f>
        <v>8.4652289093280819E-2</v>
      </c>
      <c r="C3" s="6">
        <f>(1+A3)^-1-1</f>
        <v>0.17647058823529416</v>
      </c>
      <c r="D3" s="6">
        <f>(1+A3)^-1.5-1</f>
        <v>0.27606151658033062</v>
      </c>
    </row>
    <row r="4" spans="1:4" x14ac:dyDescent="0.3">
      <c r="A4" s="6">
        <v>-0.1</v>
      </c>
      <c r="B4" s="6">
        <f>(1+A4)^-0.5-1</f>
        <v>5.4092553389459841E-2</v>
      </c>
      <c r="C4" s="6">
        <f>(1+A4)^-1-1</f>
        <v>0.11111111111111116</v>
      </c>
      <c r="D4" s="6">
        <f>(1+A4)^-1.5-1</f>
        <v>0.17121394821051084</v>
      </c>
    </row>
    <row r="5" spans="1:4" x14ac:dyDescent="0.3">
      <c r="A5" s="6">
        <v>-0.05</v>
      </c>
      <c r="B5" s="6">
        <f>(1+A5)^-0.5-1</f>
        <v>2.5978352085154199E-2</v>
      </c>
      <c r="C5" s="6">
        <f>(1+A5)^-1-1</f>
        <v>5.2631578947368363E-2</v>
      </c>
      <c r="D5" s="6">
        <f>(1+A5)^-1.5-1</f>
        <v>7.997721272121483E-2</v>
      </c>
    </row>
    <row r="6" spans="1:4" x14ac:dyDescent="0.3">
      <c r="A6" s="6">
        <v>0</v>
      </c>
      <c r="B6" s="6">
        <f>(1+A6)^-0.5-1</f>
        <v>0</v>
      </c>
      <c r="C6" s="6">
        <f>(1+A6)^-1-1</f>
        <v>0</v>
      </c>
      <c r="D6" s="6">
        <f>(1+A6)^-1.5-1</f>
        <v>0</v>
      </c>
    </row>
    <row r="7" spans="1:4" x14ac:dyDescent="0.3">
      <c r="A7" s="6">
        <v>0.05</v>
      </c>
      <c r="B7" s="6">
        <f>(1+A7)^-0.5-1</f>
        <v>-2.4099927051466907E-2</v>
      </c>
      <c r="C7" s="6">
        <f>(1+A7)^-1-1</f>
        <v>-4.7619047619047672E-2</v>
      </c>
      <c r="D7" s="6">
        <f>(1+A7)^-1.5-1</f>
        <v>-7.0571359096635033E-2</v>
      </c>
    </row>
    <row r="8" spans="1:4" x14ac:dyDescent="0.3">
      <c r="A8" s="6">
        <v>0.1</v>
      </c>
      <c r="B8" s="6">
        <f>(1+A8)^-0.5-1</f>
        <v>-4.653741075440776E-2</v>
      </c>
      <c r="C8" s="6">
        <f>(1+A8)^-1-1</f>
        <v>-9.0909090909090939E-2</v>
      </c>
      <c r="D8" s="6">
        <f>(1+A8)^-1.5-1</f>
        <v>-0.13321582795855258</v>
      </c>
    </row>
    <row r="9" spans="1:4" x14ac:dyDescent="0.3">
      <c r="A9" s="6">
        <v>0.15</v>
      </c>
      <c r="B9" s="6">
        <f>(1+A9)^-0.5-1</f>
        <v>-6.7495191759686213E-2</v>
      </c>
      <c r="C9" s="6">
        <f>(1+A9)^-1-1</f>
        <v>-0.13043478260869557</v>
      </c>
      <c r="D9" s="6">
        <f>(1+A9)^-1.5-1</f>
        <v>-0.18912625370407488</v>
      </c>
    </row>
    <row r="10" spans="1:4" x14ac:dyDescent="0.3">
      <c r="A10" s="6">
        <v>0.2</v>
      </c>
      <c r="B10" s="6">
        <f>(1+A10)^-0.5-1</f>
        <v>-8.7129070824723098E-2</v>
      </c>
      <c r="C10" s="6">
        <f>(1+A10)^-1-1</f>
        <v>-0.16666666666666663</v>
      </c>
      <c r="D10" s="6">
        <f>(1+A10)^-1.5-1</f>
        <v>-0.2392742256872693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44B07-5FDC-40ED-8AE5-1836D2DD4D15}">
  <dimension ref="A1:F15"/>
  <sheetViews>
    <sheetView workbookViewId="0">
      <selection sqref="A1:F12"/>
    </sheetView>
  </sheetViews>
  <sheetFormatPr defaultRowHeight="14.4" x14ac:dyDescent="0.3"/>
  <cols>
    <col min="1" max="1" width="23.109375" bestFit="1" customWidth="1"/>
    <col min="2" max="2" width="14.6640625" bestFit="1" customWidth="1"/>
    <col min="3" max="3" width="27.77734375" bestFit="1" customWidth="1"/>
    <col min="4" max="4" width="25.88671875" bestFit="1" customWidth="1"/>
    <col min="5" max="5" width="33.21875" bestFit="1" customWidth="1"/>
    <col min="6" max="6" width="27.33203125" bestFit="1" customWidth="1"/>
  </cols>
  <sheetData>
    <row r="1" spans="1:6" x14ac:dyDescent="0.3">
      <c r="A1" s="2" t="s">
        <v>47</v>
      </c>
      <c r="B1" s="2" t="s">
        <v>48</v>
      </c>
      <c r="C1" s="2" t="s">
        <v>49</v>
      </c>
      <c r="D1" s="2" t="s">
        <v>50</v>
      </c>
      <c r="E1" s="2" t="s">
        <v>51</v>
      </c>
      <c r="F1" s="2" t="s">
        <v>144</v>
      </c>
    </row>
    <row r="2" spans="1:6" x14ac:dyDescent="0.3">
      <c r="A2" s="2" t="s">
        <v>148</v>
      </c>
      <c r="B2" s="2">
        <f>Pricing_Scenarios!B3</f>
        <v>299</v>
      </c>
      <c r="C2" s="2">
        <f>Pricing_Scenarios!C3</f>
        <v>343.84999999999997</v>
      </c>
      <c r="D2" s="2">
        <f>Pricing_Scenarios!D3</f>
        <v>254.15</v>
      </c>
      <c r="E2" s="2">
        <f>Pricing_Scenarios!E3</f>
        <v>239.20000000000002</v>
      </c>
      <c r="F2" s="2">
        <f>Pricing_Scenarios!F3</f>
        <v>59.800000000000004</v>
      </c>
    </row>
    <row r="3" spans="1:6" x14ac:dyDescent="0.3">
      <c r="A3" s="2" t="s">
        <v>207</v>
      </c>
      <c r="B3" s="2">
        <f>Pricing_Scenarios!B5</f>
        <v>3588</v>
      </c>
      <c r="C3" s="2">
        <f>Pricing_Scenarios!C5</f>
        <v>4126.2</v>
      </c>
      <c r="D3" s="2">
        <f>Pricing_Scenarios!D5</f>
        <v>3049.8</v>
      </c>
      <c r="E3" s="2">
        <f>Pricing_Scenarios!E5</f>
        <v>2870.4</v>
      </c>
      <c r="F3" s="2">
        <f>Pricing_Scenarios!F5</f>
        <v>598</v>
      </c>
    </row>
    <row r="4" spans="1:6" x14ac:dyDescent="0.3">
      <c r="A4" s="2" t="s">
        <v>60</v>
      </c>
      <c r="B4" s="2" t="str">
        <f>Pricing_Scenarios!B6</f>
        <v/>
      </c>
      <c r="C4" s="2" t="str">
        <f>Pricing_Scenarios!C6</f>
        <v/>
      </c>
      <c r="D4" s="2" t="str">
        <f>Pricing_Scenarios!D6</f>
        <v/>
      </c>
      <c r="E4" s="2" t="str">
        <f>Pricing_Scenarios!E6</f>
        <v/>
      </c>
      <c r="F4" s="2" t="str">
        <f>Pricing_Scenarios!F6</f>
        <v/>
      </c>
    </row>
    <row r="5" spans="1:6" x14ac:dyDescent="0.3">
      <c r="A5" s="2" t="s">
        <v>161</v>
      </c>
      <c r="B5" s="3">
        <f>Pricing_Scenarios!B7</f>
        <v>0</v>
      </c>
      <c r="C5" s="3">
        <f>Pricing_Scenarios!C7</f>
        <v>0.2</v>
      </c>
      <c r="D5" s="3">
        <f>Pricing_Scenarios!D7</f>
        <v>-0.2</v>
      </c>
      <c r="E5" s="3">
        <f>Pricing_Scenarios!E7</f>
        <v>0.2</v>
      </c>
      <c r="F5" s="3">
        <f>Pricing_Scenarios!F7</f>
        <v>0.2</v>
      </c>
    </row>
    <row r="6" spans="1:6" x14ac:dyDescent="0.3">
      <c r="A6" s="2" t="s">
        <v>61</v>
      </c>
      <c r="B6" s="2" t="str">
        <f>Pricing_Scenarios!B8</f>
        <v/>
      </c>
      <c r="C6" s="2" t="str">
        <f>Pricing_Scenarios!C8</f>
        <v/>
      </c>
      <c r="D6" s="2" t="str">
        <f>Pricing_Scenarios!D8</f>
        <v/>
      </c>
      <c r="E6" s="2" t="str">
        <f>Pricing_Scenarios!E8</f>
        <v/>
      </c>
      <c r="F6" s="2" t="str">
        <f>Pricing_Scenarios!F8</f>
        <v/>
      </c>
    </row>
    <row r="7" spans="1:6" x14ac:dyDescent="0.3">
      <c r="A7" s="2" t="s">
        <v>151</v>
      </c>
      <c r="B7" s="2" t="str">
        <f>Pricing_Scenarios!B9</f>
        <v/>
      </c>
      <c r="C7" s="2" t="str">
        <f>Pricing_Scenarios!C9</f>
        <v/>
      </c>
      <c r="D7" s="2" t="str">
        <f>Pricing_Scenarios!D9</f>
        <v/>
      </c>
      <c r="E7" s="2" t="str">
        <f>Pricing_Scenarios!E9</f>
        <v/>
      </c>
      <c r="F7" s="2" t="str">
        <f>Pricing_Scenarios!F9</f>
        <v/>
      </c>
    </row>
    <row r="8" spans="1:6" x14ac:dyDescent="0.3">
      <c r="A8" s="2" t="s">
        <v>55</v>
      </c>
      <c r="B8" s="2" t="str">
        <f>Pricing_Scenarios!B10</f>
        <v/>
      </c>
      <c r="C8" s="2" t="str">
        <f>Pricing_Scenarios!C10</f>
        <v/>
      </c>
      <c r="D8" s="2" t="str">
        <f>Pricing_Scenarios!D10</f>
        <v/>
      </c>
      <c r="E8" s="2" t="str">
        <f>Pricing_Scenarios!E10</f>
        <v/>
      </c>
      <c r="F8" s="2" t="str">
        <f>Pricing_Scenarios!F10</f>
        <v/>
      </c>
    </row>
    <row r="9" spans="1:6" x14ac:dyDescent="0.3">
      <c r="A9" s="2" t="s">
        <v>155</v>
      </c>
      <c r="B9" s="2" t="str">
        <f>Pricing_Scenarios!B13</f>
        <v/>
      </c>
      <c r="C9" s="2" t="str">
        <f>Pricing_Scenarios!C13</f>
        <v/>
      </c>
      <c r="D9" s="2" t="str">
        <f>Pricing_Scenarios!D13</f>
        <v/>
      </c>
      <c r="E9" s="2" t="str">
        <f>Pricing_Scenarios!E13</f>
        <v/>
      </c>
      <c r="F9" s="2" t="str">
        <f>Pricing_Scenarios!F13</f>
        <v/>
      </c>
    </row>
    <row r="10" spans="1:6" x14ac:dyDescent="0.3">
      <c r="A10" s="2" t="s">
        <v>66</v>
      </c>
      <c r="B10" s="2" t="s">
        <v>208</v>
      </c>
      <c r="C10" s="2" t="s">
        <v>209</v>
      </c>
      <c r="D10" s="2" t="s">
        <v>210</v>
      </c>
      <c r="E10" s="2" t="s">
        <v>211</v>
      </c>
      <c r="F10" s="2" t="s">
        <v>212</v>
      </c>
    </row>
    <row r="11" spans="1:6" x14ac:dyDescent="0.3">
      <c r="A11" s="2" t="s">
        <v>67</v>
      </c>
      <c r="B11" s="2" t="s">
        <v>213</v>
      </c>
      <c r="C11" s="2" t="s">
        <v>214</v>
      </c>
      <c r="D11" s="2" t="s">
        <v>215</v>
      </c>
      <c r="E11" s="2" t="s">
        <v>216</v>
      </c>
      <c r="F11" s="2" t="s">
        <v>157</v>
      </c>
    </row>
    <row r="12" spans="1:6" x14ac:dyDescent="0.3">
      <c r="A12" s="2" t="s">
        <v>68</v>
      </c>
      <c r="B12" s="2" t="s">
        <v>217</v>
      </c>
      <c r="C12" s="2" t="s">
        <v>218</v>
      </c>
      <c r="D12" s="2" t="s">
        <v>219</v>
      </c>
      <c r="E12" s="2" t="s">
        <v>69</v>
      </c>
      <c r="F12" s="2" t="s">
        <v>220</v>
      </c>
    </row>
    <row r="13" spans="1:6" x14ac:dyDescent="0.3">
      <c r="A13" s="2"/>
      <c r="B13" s="2"/>
      <c r="C13" s="2"/>
      <c r="D13" s="2"/>
      <c r="E13" s="2"/>
      <c r="F13" s="2"/>
    </row>
    <row r="14" spans="1:6" x14ac:dyDescent="0.3">
      <c r="A14" s="2"/>
      <c r="B14" s="2"/>
      <c r="C14" s="2"/>
      <c r="D14" s="2"/>
      <c r="E14" s="2"/>
      <c r="F14" s="2"/>
    </row>
    <row r="15" spans="1:6" x14ac:dyDescent="0.3">
      <c r="A15" s="2"/>
      <c r="B15" s="2"/>
      <c r="C15" s="2"/>
      <c r="D15" s="2"/>
      <c r="E15" s="2"/>
      <c r="F15" s="2"/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B8258-9B89-48EA-88A2-C700792BCEBF}">
  <dimension ref="A1:E12"/>
  <sheetViews>
    <sheetView workbookViewId="0">
      <selection sqref="A1:E12"/>
    </sheetView>
  </sheetViews>
  <sheetFormatPr defaultRowHeight="14.4" x14ac:dyDescent="0.3"/>
  <cols>
    <col min="1" max="1" width="19.33203125" bestFit="1" customWidth="1"/>
    <col min="2" max="2" width="56.77734375" bestFit="1" customWidth="1"/>
    <col min="3" max="3" width="48.5546875" bestFit="1" customWidth="1"/>
    <col min="4" max="4" width="46" bestFit="1" customWidth="1"/>
    <col min="5" max="5" width="17.5546875" bestFit="1" customWidth="1"/>
  </cols>
  <sheetData>
    <row r="1" spans="1:5" x14ac:dyDescent="0.3">
      <c r="A1" t="s">
        <v>70</v>
      </c>
      <c r="B1" t="s">
        <v>71</v>
      </c>
      <c r="C1" t="s">
        <v>72</v>
      </c>
      <c r="D1" t="s">
        <v>68</v>
      </c>
      <c r="E1" t="s">
        <v>85</v>
      </c>
    </row>
    <row r="2" spans="1:5" x14ac:dyDescent="0.3">
      <c r="A2" t="s">
        <v>221</v>
      </c>
      <c r="B2" t="s">
        <v>222</v>
      </c>
      <c r="C2" t="s">
        <v>223</v>
      </c>
      <c r="D2" t="s">
        <v>224</v>
      </c>
      <c r="E2" t="s">
        <v>73</v>
      </c>
    </row>
    <row r="3" spans="1:5" x14ac:dyDescent="0.3">
      <c r="A3" t="s">
        <v>74</v>
      </c>
      <c r="B3" t="s">
        <v>225</v>
      </c>
      <c r="C3" t="s">
        <v>214</v>
      </c>
      <c r="D3" t="s">
        <v>226</v>
      </c>
      <c r="E3" t="s">
        <v>227</v>
      </c>
    </row>
    <row r="4" spans="1:5" x14ac:dyDescent="0.3">
      <c r="A4" t="s">
        <v>75</v>
      </c>
      <c r="B4" t="s">
        <v>228</v>
      </c>
      <c r="C4" t="s">
        <v>229</v>
      </c>
      <c r="D4" t="s">
        <v>230</v>
      </c>
      <c r="E4" t="s">
        <v>227</v>
      </c>
    </row>
    <row r="5" spans="1:5" x14ac:dyDescent="0.3">
      <c r="A5" t="s">
        <v>76</v>
      </c>
      <c r="B5" t="s">
        <v>231</v>
      </c>
      <c r="C5" t="s">
        <v>232</v>
      </c>
      <c r="D5" t="s">
        <v>77</v>
      </c>
      <c r="E5" t="s">
        <v>227</v>
      </c>
    </row>
    <row r="6" spans="1:5" x14ac:dyDescent="0.3">
      <c r="A6" t="s">
        <v>144</v>
      </c>
      <c r="B6" t="s">
        <v>233</v>
      </c>
      <c r="C6" t="s">
        <v>234</v>
      </c>
      <c r="D6" t="s">
        <v>235</v>
      </c>
      <c r="E6" t="s">
        <v>73</v>
      </c>
    </row>
    <row r="7" spans="1:5" x14ac:dyDescent="0.3">
      <c r="A7" t="s">
        <v>236</v>
      </c>
      <c r="B7" t="s">
        <v>237</v>
      </c>
      <c r="C7" t="s">
        <v>238</v>
      </c>
      <c r="D7" t="s">
        <v>239</v>
      </c>
      <c r="E7" t="s">
        <v>80</v>
      </c>
    </row>
    <row r="8" spans="1:5" x14ac:dyDescent="0.3">
      <c r="A8" t="s">
        <v>240</v>
      </c>
      <c r="B8" t="s">
        <v>241</v>
      </c>
      <c r="C8" t="s">
        <v>242</v>
      </c>
      <c r="D8" t="s">
        <v>243</v>
      </c>
      <c r="E8" t="s">
        <v>80</v>
      </c>
    </row>
    <row r="9" spans="1:5" x14ac:dyDescent="0.3">
      <c r="A9" t="s">
        <v>64</v>
      </c>
      <c r="B9" t="s">
        <v>244</v>
      </c>
      <c r="C9" t="s">
        <v>245</v>
      </c>
      <c r="D9" t="s">
        <v>246</v>
      </c>
      <c r="E9" t="s">
        <v>80</v>
      </c>
    </row>
    <row r="10" spans="1:5" x14ac:dyDescent="0.3">
      <c r="A10" t="s">
        <v>78</v>
      </c>
      <c r="B10" t="s">
        <v>247</v>
      </c>
      <c r="C10" t="s">
        <v>248</v>
      </c>
      <c r="D10" t="s">
        <v>79</v>
      </c>
      <c r="E10" t="s">
        <v>80</v>
      </c>
    </row>
    <row r="11" spans="1:5" x14ac:dyDescent="0.3">
      <c r="A11" t="s">
        <v>81</v>
      </c>
      <c r="B11" t="s">
        <v>249</v>
      </c>
      <c r="C11" t="s">
        <v>250</v>
      </c>
      <c r="D11" t="s">
        <v>251</v>
      </c>
      <c r="E11" t="s">
        <v>80</v>
      </c>
    </row>
    <row r="12" spans="1:5" x14ac:dyDescent="0.3">
      <c r="A12" t="s">
        <v>252</v>
      </c>
      <c r="B12" t="s">
        <v>253</v>
      </c>
      <c r="C12" t="s">
        <v>254</v>
      </c>
      <c r="D12" t="s">
        <v>255</v>
      </c>
      <c r="E12" t="s">
        <v>82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83885-A8A0-4EDE-8A7D-1FA24C731131}">
  <dimension ref="A1:D19"/>
  <sheetViews>
    <sheetView workbookViewId="0">
      <selection sqref="A1:D19"/>
    </sheetView>
  </sheetViews>
  <sheetFormatPr defaultRowHeight="14.4" x14ac:dyDescent="0.3"/>
  <cols>
    <col min="1" max="1" width="18.21875" bestFit="1" customWidth="1"/>
    <col min="2" max="2" width="41.88671875" bestFit="1" customWidth="1"/>
    <col min="3" max="3" width="29.33203125" bestFit="1" customWidth="1"/>
    <col min="4" max="4" width="42" bestFit="1" customWidth="1"/>
    <col min="5" max="5" width="42.21875" bestFit="1" customWidth="1"/>
  </cols>
  <sheetData>
    <row r="1" spans="1:4" x14ac:dyDescent="0.3">
      <c r="A1" t="s">
        <v>83</v>
      </c>
      <c r="B1" t="s">
        <v>84</v>
      </c>
      <c r="C1" t="s">
        <v>85</v>
      </c>
      <c r="D1" t="s">
        <v>86</v>
      </c>
    </row>
    <row r="2" spans="1:4" x14ac:dyDescent="0.3">
      <c r="A2" t="s">
        <v>35</v>
      </c>
      <c r="B2" t="s">
        <v>256</v>
      </c>
      <c r="C2" t="s">
        <v>257</v>
      </c>
      <c r="D2" t="s">
        <v>258</v>
      </c>
    </row>
    <row r="3" spans="1:4" x14ac:dyDescent="0.3">
      <c r="A3" t="s">
        <v>36</v>
      </c>
      <c r="B3" t="s">
        <v>256</v>
      </c>
      <c r="C3" t="s">
        <v>259</v>
      </c>
      <c r="D3" t="s">
        <v>260</v>
      </c>
    </row>
    <row r="4" spans="1:4" x14ac:dyDescent="0.3">
      <c r="A4" t="s">
        <v>261</v>
      </c>
      <c r="B4" t="s">
        <v>262</v>
      </c>
      <c r="C4" t="s">
        <v>263</v>
      </c>
      <c r="D4" t="s">
        <v>264</v>
      </c>
    </row>
    <row r="5" spans="1:4" x14ac:dyDescent="0.3">
      <c r="A5" t="s">
        <v>265</v>
      </c>
      <c r="B5" t="s">
        <v>262</v>
      </c>
      <c r="C5" t="s">
        <v>263</v>
      </c>
      <c r="D5" t="s">
        <v>266</v>
      </c>
    </row>
    <row r="6" spans="1:4" x14ac:dyDescent="0.3">
      <c r="A6" t="s">
        <v>165</v>
      </c>
      <c r="B6" t="s">
        <v>267</v>
      </c>
      <c r="C6" t="s">
        <v>268</v>
      </c>
      <c r="D6" t="s">
        <v>269</v>
      </c>
    </row>
    <row r="7" spans="1:4" x14ac:dyDescent="0.3">
      <c r="A7" t="s">
        <v>123</v>
      </c>
      <c r="B7" t="s">
        <v>270</v>
      </c>
      <c r="C7" t="s">
        <v>271</v>
      </c>
      <c r="D7" t="s">
        <v>272</v>
      </c>
    </row>
    <row r="8" spans="1:4" x14ac:dyDescent="0.3">
      <c r="A8" t="s">
        <v>108</v>
      </c>
      <c r="B8" t="s">
        <v>109</v>
      </c>
      <c r="C8" t="s">
        <v>273</v>
      </c>
      <c r="D8" t="s">
        <v>274</v>
      </c>
    </row>
    <row r="9" spans="1:4" x14ac:dyDescent="0.3">
      <c r="A9" t="s">
        <v>275</v>
      </c>
      <c r="B9" t="s">
        <v>276</v>
      </c>
      <c r="C9" t="s">
        <v>277</v>
      </c>
      <c r="D9" t="s">
        <v>278</v>
      </c>
    </row>
    <row r="10" spans="1:4" x14ac:dyDescent="0.3">
      <c r="A10" t="s">
        <v>113</v>
      </c>
      <c r="B10" t="s">
        <v>279</v>
      </c>
      <c r="C10" t="s">
        <v>280</v>
      </c>
      <c r="D10" t="s">
        <v>114</v>
      </c>
    </row>
    <row r="11" spans="1:4" x14ac:dyDescent="0.3">
      <c r="A11" t="s">
        <v>281</v>
      </c>
      <c r="B11" t="s">
        <v>279</v>
      </c>
      <c r="C11" t="s">
        <v>280</v>
      </c>
      <c r="D11" t="s">
        <v>282</v>
      </c>
    </row>
    <row r="12" spans="1:4" x14ac:dyDescent="0.3">
      <c r="A12" t="s">
        <v>125</v>
      </c>
      <c r="B12" t="s">
        <v>279</v>
      </c>
      <c r="C12" t="s">
        <v>280</v>
      </c>
      <c r="D12" t="s">
        <v>117</v>
      </c>
    </row>
    <row r="13" spans="1:4" x14ac:dyDescent="0.3">
      <c r="A13" t="s">
        <v>283</v>
      </c>
      <c r="B13" t="s">
        <v>284</v>
      </c>
      <c r="C13" t="s">
        <v>285</v>
      </c>
      <c r="D13" t="s">
        <v>286</v>
      </c>
    </row>
    <row r="14" spans="1:4" x14ac:dyDescent="0.3">
      <c r="A14" t="s">
        <v>87</v>
      </c>
      <c r="B14" t="s">
        <v>88</v>
      </c>
      <c r="C14" t="s">
        <v>15</v>
      </c>
      <c r="D14" t="s">
        <v>287</v>
      </c>
    </row>
    <row r="15" spans="1:4" x14ac:dyDescent="0.3">
      <c r="A15" t="s">
        <v>78</v>
      </c>
      <c r="B15" t="s">
        <v>288</v>
      </c>
      <c r="C15" t="s">
        <v>90</v>
      </c>
      <c r="D15" t="s">
        <v>289</v>
      </c>
    </row>
    <row r="16" spans="1:4" x14ac:dyDescent="0.3">
      <c r="A16" t="s">
        <v>29</v>
      </c>
      <c r="B16" t="s">
        <v>91</v>
      </c>
      <c r="C16" t="s">
        <v>15</v>
      </c>
      <c r="D16" t="s">
        <v>290</v>
      </c>
    </row>
    <row r="17" spans="1:4" x14ac:dyDescent="0.3">
      <c r="A17" t="s">
        <v>291</v>
      </c>
      <c r="B17" t="s">
        <v>292</v>
      </c>
      <c r="C17" t="s">
        <v>15</v>
      </c>
      <c r="D17" t="s">
        <v>293</v>
      </c>
    </row>
    <row r="18" spans="1:4" x14ac:dyDescent="0.3">
      <c r="A18" t="s">
        <v>294</v>
      </c>
      <c r="B18" t="s">
        <v>292</v>
      </c>
      <c r="C18" t="s">
        <v>15</v>
      </c>
      <c r="D18" t="s">
        <v>293</v>
      </c>
    </row>
    <row r="19" spans="1:4" x14ac:dyDescent="0.3">
      <c r="A19" t="s">
        <v>92</v>
      </c>
      <c r="B19" t="s">
        <v>93</v>
      </c>
      <c r="C19" t="s">
        <v>90</v>
      </c>
      <c r="D19" t="s">
        <v>295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7B3B5-F056-4DD5-A9C1-5099915F0368}">
  <dimension ref="A1:E13"/>
  <sheetViews>
    <sheetView tabSelected="1" workbookViewId="0">
      <selection activeCell="D17" sqref="D17"/>
    </sheetView>
  </sheetViews>
  <sheetFormatPr defaultRowHeight="14.4" x14ac:dyDescent="0.3"/>
  <cols>
    <col min="1" max="1" width="17.5546875" bestFit="1" customWidth="1"/>
    <col min="2" max="2" width="30" bestFit="1" customWidth="1"/>
    <col min="3" max="3" width="36.109375" bestFit="1" customWidth="1"/>
    <col min="4" max="4" width="28.6640625" bestFit="1" customWidth="1"/>
    <col min="5" max="5" width="39.21875" bestFit="1" customWidth="1"/>
  </cols>
  <sheetData>
    <row r="1" spans="1:5" x14ac:dyDescent="0.3">
      <c r="A1" t="s">
        <v>94</v>
      </c>
      <c r="B1" t="s">
        <v>296</v>
      </c>
      <c r="C1" t="s">
        <v>95</v>
      </c>
      <c r="D1" t="s">
        <v>297</v>
      </c>
      <c r="E1" t="s">
        <v>96</v>
      </c>
    </row>
    <row r="2" spans="1:5" x14ac:dyDescent="0.3">
      <c r="A2" t="s">
        <v>97</v>
      </c>
      <c r="B2" t="s">
        <v>98</v>
      </c>
      <c r="C2" t="s">
        <v>298</v>
      </c>
      <c r="D2" t="s">
        <v>299</v>
      </c>
      <c r="E2" t="s">
        <v>99</v>
      </c>
    </row>
    <row r="3" spans="1:5" x14ac:dyDescent="0.3">
      <c r="A3" t="s">
        <v>35</v>
      </c>
      <c r="B3" t="s">
        <v>100</v>
      </c>
      <c r="C3" t="s">
        <v>300</v>
      </c>
      <c r="D3" t="s">
        <v>299</v>
      </c>
      <c r="E3" t="s">
        <v>101</v>
      </c>
    </row>
    <row r="4" spans="1:5" x14ac:dyDescent="0.3">
      <c r="A4" t="s">
        <v>102</v>
      </c>
      <c r="B4" t="s">
        <v>103</v>
      </c>
      <c r="C4" t="s">
        <v>104</v>
      </c>
      <c r="D4" t="s">
        <v>301</v>
      </c>
      <c r="E4" t="s">
        <v>302</v>
      </c>
    </row>
    <row r="5" spans="1:5" x14ac:dyDescent="0.3">
      <c r="A5" t="s">
        <v>303</v>
      </c>
      <c r="B5" t="s">
        <v>105</v>
      </c>
      <c r="C5" t="s">
        <v>106</v>
      </c>
      <c r="D5" t="s">
        <v>107</v>
      </c>
      <c r="E5" t="s">
        <v>304</v>
      </c>
    </row>
    <row r="6" spans="1:5" x14ac:dyDescent="0.3">
      <c r="A6" t="s">
        <v>108</v>
      </c>
      <c r="B6" t="s">
        <v>109</v>
      </c>
      <c r="C6" t="s">
        <v>305</v>
      </c>
      <c r="D6" t="s">
        <v>306</v>
      </c>
      <c r="E6" t="s">
        <v>307</v>
      </c>
    </row>
    <row r="7" spans="1:5" x14ac:dyDescent="0.3">
      <c r="A7" t="s">
        <v>308</v>
      </c>
      <c r="B7" t="s">
        <v>110</v>
      </c>
      <c r="C7" t="s">
        <v>309</v>
      </c>
      <c r="D7" t="s">
        <v>310</v>
      </c>
      <c r="E7" t="s">
        <v>311</v>
      </c>
    </row>
    <row r="8" spans="1:5" x14ac:dyDescent="0.3">
      <c r="A8" t="s">
        <v>111</v>
      </c>
      <c r="B8" t="s">
        <v>279</v>
      </c>
      <c r="C8" t="s">
        <v>312</v>
      </c>
      <c r="D8" t="s">
        <v>313</v>
      </c>
      <c r="E8" t="s">
        <v>112</v>
      </c>
    </row>
    <row r="9" spans="1:5" x14ac:dyDescent="0.3">
      <c r="A9" t="s">
        <v>113</v>
      </c>
      <c r="B9" t="s">
        <v>279</v>
      </c>
      <c r="C9" t="s">
        <v>314</v>
      </c>
      <c r="D9" t="s">
        <v>280</v>
      </c>
      <c r="E9" t="s">
        <v>315</v>
      </c>
    </row>
    <row r="10" spans="1:5" x14ac:dyDescent="0.3">
      <c r="A10" t="s">
        <v>115</v>
      </c>
      <c r="B10" t="s">
        <v>279</v>
      </c>
      <c r="C10" t="s">
        <v>316</v>
      </c>
      <c r="D10" t="s">
        <v>280</v>
      </c>
      <c r="E10" t="s">
        <v>114</v>
      </c>
    </row>
    <row r="11" spans="1:5" x14ac:dyDescent="0.3">
      <c r="A11" t="s">
        <v>116</v>
      </c>
      <c r="B11" t="s">
        <v>279</v>
      </c>
      <c r="C11" t="s">
        <v>317</v>
      </c>
      <c r="D11" t="s">
        <v>280</v>
      </c>
      <c r="E11" t="s">
        <v>117</v>
      </c>
    </row>
    <row r="12" spans="1:5" x14ac:dyDescent="0.3">
      <c r="A12" t="s">
        <v>318</v>
      </c>
      <c r="B12" t="s">
        <v>279</v>
      </c>
      <c r="C12" t="s">
        <v>319</v>
      </c>
      <c r="D12" t="s">
        <v>280</v>
      </c>
      <c r="E12" t="s">
        <v>118</v>
      </c>
    </row>
    <row r="13" spans="1:5" x14ac:dyDescent="0.3">
      <c r="A13" t="s">
        <v>119</v>
      </c>
      <c r="B13" t="s">
        <v>120</v>
      </c>
      <c r="C13" t="s">
        <v>121</v>
      </c>
      <c r="D13" t="s">
        <v>90</v>
      </c>
      <c r="E13" t="s">
        <v>320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Inputs_Assumptions</vt:lpstr>
      <vt:lpstr>Course_Price_Reference</vt:lpstr>
      <vt:lpstr>Pricing_Scenarios</vt:lpstr>
      <vt:lpstr>Best_Base_Worst_Case</vt:lpstr>
      <vt:lpstr>Revenue_Analysis</vt:lpstr>
      <vt:lpstr>Sensitivity_Analysis</vt:lpstr>
      <vt:lpstr>Scenario_Comparison</vt:lpstr>
      <vt:lpstr>Recommendations</vt:lpstr>
      <vt:lpstr>Source_Audit</vt:lpstr>
      <vt:lpstr>Payment_Data_Audit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PRANIT VARAT</dc:creator>
  <cp:lastModifiedBy>PRANIT VARAT</cp:lastModifiedBy>
  <dcterms:created xsi:type="dcterms:W3CDTF">2026-10-16T07:51:14Z</dcterms:created>
  <dcterms:modified xsi:type="dcterms:W3CDTF">2026-10-16T10:04:36Z</dcterms:modified>
</cp:coreProperties>
</file>